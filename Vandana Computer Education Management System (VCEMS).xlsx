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D:\VCE\Sagar BCC\1) GIT HUB\4) Resume\1) Excel\1) Vandana Computer Education Management System (VCEMS)\"/>
    </mc:Choice>
  </mc:AlternateContent>
  <xr:revisionPtr revIDLastSave="0" documentId="13_ncr:1_{0A385ADD-A4C6-4E7C-9E39-8135BF19EE13}" xr6:coauthVersionLast="47" xr6:coauthVersionMax="47" xr10:uidLastSave="{00000000-0000-0000-0000-000000000000}"/>
  <bookViews>
    <workbookView xWindow="-120" yWindow="-120" windowWidth="20730" windowHeight="11160" xr2:uid="{00000000-000D-0000-FFFF-FFFF00000000}"/>
  </bookViews>
  <sheets>
    <sheet name="Home Page" sheetId="7" r:id="rId1"/>
    <sheet name="Main Sheet" sheetId="1" r:id="rId2"/>
    <sheet name="Admission Slip" sheetId="2" r:id="rId3"/>
    <sheet name="Course Discontinued" sheetId="4" r:id="rId4"/>
    <sheet name="Course Ongoing" sheetId="6" r:id="rId5"/>
    <sheet name="Pivot Table" sheetId="3" r:id="rId6"/>
    <sheet name="Dashboard" sheetId="8" r:id="rId7"/>
  </sheets>
  <definedNames>
    <definedName name="_xlnm._FilterDatabase" localSheetId="1" hidden="1">'Main Sheet'!$A$1:$BB$376</definedName>
    <definedName name="_xlchart.v1.0" hidden="1">'Pivot Table'!$O$25:$O$28</definedName>
    <definedName name="_xlchart.v1.1" hidden="1">'Pivot Table'!$P$25:$P$28</definedName>
    <definedName name="_xlchart.v2.2" hidden="1">'Pivot Table'!$K$25:$K$27</definedName>
    <definedName name="_xlchart.v2.3" hidden="1">'Pivot Table'!$L$25:$L$27</definedName>
    <definedName name="Slicer_CERTIFICATION_TYPE">#N/A</definedName>
    <definedName name="Slicer_COURSE_CODE">#N/A</definedName>
    <definedName name="Slicer_Course_Duration">#N/A</definedName>
    <definedName name="Slicer_Sess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10" i="3" l="1"/>
  <c r="K25" i="3" a="1"/>
  <c r="K25" i="3" s="1"/>
  <c r="O25" i="3" a="1"/>
  <c r="O25" i="3" s="1"/>
  <c r="G25" i="3" a="1"/>
  <c r="G25" i="3" s="1"/>
  <c r="A7" i="6" a="1"/>
  <c r="A7" i="6" s="1"/>
  <c r="X13" i="3"/>
  <c r="A7" i="4" a="1"/>
  <c r="A7" i="4" s="1"/>
  <c r="I4" i="2" a="1"/>
  <c r="I4" i="2" s="1"/>
  <c r="AE3" i="1"/>
  <c r="AE4" i="1"/>
  <c r="AE5" i="1"/>
  <c r="AE6" i="1"/>
  <c r="AE7" i="1"/>
  <c r="AE8" i="1"/>
  <c r="AE9" i="1"/>
  <c r="AE10" i="1"/>
  <c r="AE11" i="1"/>
  <c r="AE12" i="1"/>
  <c r="AE13" i="1"/>
  <c r="AE14" i="1"/>
  <c r="AE15" i="1"/>
  <c r="AE16" i="1"/>
  <c r="AE17" i="1"/>
  <c r="AE18" i="1"/>
  <c r="AE19" i="1"/>
  <c r="AE20" i="1"/>
  <c r="AE21" i="1"/>
  <c r="AE22" i="1"/>
  <c r="AE23" i="1"/>
  <c r="AE24" i="1"/>
  <c r="AE25" i="1"/>
  <c r="AE26" i="1"/>
  <c r="AE27" i="1"/>
  <c r="AE28" i="1"/>
  <c r="AE29" i="1"/>
  <c r="AE30" i="1"/>
  <c r="AE31" i="1"/>
  <c r="AE32" i="1"/>
  <c r="AE33" i="1"/>
  <c r="AE34" i="1"/>
  <c r="AE35" i="1"/>
  <c r="AE36" i="1"/>
  <c r="AE37" i="1"/>
  <c r="AE38" i="1"/>
  <c r="AE39" i="1"/>
  <c r="AE40" i="1"/>
  <c r="AE41" i="1"/>
  <c r="AE42" i="1"/>
  <c r="AE43" i="1"/>
  <c r="AE44" i="1"/>
  <c r="AE45" i="1"/>
  <c r="AE46" i="1"/>
  <c r="AE47" i="1"/>
  <c r="AE48" i="1"/>
  <c r="AE49" i="1"/>
  <c r="AE50" i="1"/>
  <c r="AE51"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E78" i="1"/>
  <c r="AE79" i="1"/>
  <c r="AE80" i="1"/>
  <c r="AE81" i="1"/>
  <c r="AE82" i="1"/>
  <c r="AE83" i="1"/>
  <c r="AE84" i="1"/>
  <c r="AE85" i="1"/>
  <c r="AE86" i="1"/>
  <c r="AE87" i="1"/>
  <c r="AE88" i="1"/>
  <c r="AE89" i="1"/>
  <c r="AE90" i="1"/>
  <c r="AE91" i="1"/>
  <c r="AE92" i="1"/>
  <c r="AE93" i="1"/>
  <c r="AE94"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E129" i="1"/>
  <c r="AE130" i="1"/>
  <c r="AE131" i="1"/>
  <c r="AE132" i="1"/>
  <c r="AE133" i="1"/>
  <c r="AE134" i="1"/>
  <c r="AE135" i="1"/>
  <c r="AE136" i="1"/>
  <c r="AE137" i="1"/>
  <c r="AE138" i="1"/>
  <c r="AE139" i="1"/>
  <c r="AE140" i="1"/>
  <c r="AE141" i="1"/>
  <c r="AE142"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E206" i="1"/>
  <c r="AE207" i="1"/>
  <c r="AE208" i="1"/>
  <c r="AE209" i="1"/>
  <c r="AE210" i="1"/>
  <c r="AE211" i="1"/>
  <c r="AE212" i="1"/>
  <c r="AE213" i="1"/>
  <c r="AE214" i="1"/>
  <c r="AE215" i="1"/>
  <c r="AE216" i="1"/>
  <c r="AE217" i="1"/>
  <c r="AE218" i="1"/>
  <c r="AE219" i="1"/>
  <c r="AE220" i="1"/>
  <c r="AE221" i="1"/>
  <c r="AE222" i="1"/>
  <c r="AE223" i="1"/>
  <c r="AE224" i="1"/>
  <c r="AE225" i="1"/>
  <c r="AE226" i="1"/>
  <c r="AE227" i="1"/>
  <c r="AE228" i="1"/>
  <c r="AE229" i="1"/>
  <c r="AE230" i="1"/>
  <c r="AE231" i="1"/>
  <c r="AE232" i="1"/>
  <c r="AE233" i="1"/>
  <c r="AE234" i="1"/>
  <c r="AE235" i="1"/>
  <c r="AE236" i="1"/>
  <c r="AE237" i="1"/>
  <c r="AE238" i="1"/>
  <c r="AE239" i="1"/>
  <c r="AE240" i="1"/>
  <c r="AE241" i="1"/>
  <c r="AE242" i="1"/>
  <c r="AE243" i="1"/>
  <c r="AE244" i="1"/>
  <c r="AE245" i="1"/>
  <c r="AE246" i="1"/>
  <c r="AE247" i="1"/>
  <c r="AE248" i="1"/>
  <c r="AE249" i="1"/>
  <c r="AE250" i="1"/>
  <c r="AE251" i="1"/>
  <c r="AE252" i="1"/>
  <c r="AE253" i="1"/>
  <c r="AE254" i="1"/>
  <c r="AE255" i="1"/>
  <c r="AE256" i="1"/>
  <c r="AE257" i="1"/>
  <c r="AE258" i="1"/>
  <c r="AE259" i="1"/>
  <c r="AE260" i="1"/>
  <c r="AE261" i="1"/>
  <c r="AE262" i="1"/>
  <c r="AE263" i="1"/>
  <c r="AE264" i="1"/>
  <c r="AE265" i="1"/>
  <c r="AE266" i="1"/>
  <c r="AE267" i="1"/>
  <c r="AE268" i="1"/>
  <c r="AE269" i="1"/>
  <c r="AE270" i="1"/>
  <c r="AE271" i="1"/>
  <c r="AE272" i="1"/>
  <c r="AE273" i="1"/>
  <c r="AE274" i="1"/>
  <c r="AE275" i="1"/>
  <c r="AE276" i="1"/>
  <c r="AE277" i="1"/>
  <c r="AE278" i="1"/>
  <c r="AE279" i="1"/>
  <c r="AE280" i="1"/>
  <c r="AE281" i="1"/>
  <c r="AE282" i="1"/>
  <c r="AE283" i="1"/>
  <c r="AE284" i="1"/>
  <c r="AE285" i="1"/>
  <c r="AE286" i="1"/>
  <c r="AE287" i="1"/>
  <c r="AE288" i="1"/>
  <c r="AE289" i="1"/>
  <c r="AE290" i="1"/>
  <c r="AE291" i="1"/>
  <c r="AE292" i="1"/>
  <c r="AE293" i="1"/>
  <c r="AE294" i="1"/>
  <c r="AE295" i="1"/>
  <c r="AE296" i="1"/>
  <c r="AE297" i="1"/>
  <c r="AE298" i="1"/>
  <c r="AE299" i="1"/>
  <c r="AE300" i="1"/>
  <c r="AE301" i="1"/>
  <c r="AE302" i="1"/>
  <c r="AE303" i="1"/>
  <c r="AE304" i="1"/>
  <c r="AE305" i="1"/>
  <c r="AE306" i="1"/>
  <c r="AE307" i="1"/>
  <c r="AE308" i="1"/>
  <c r="AE309" i="1"/>
  <c r="AE310" i="1"/>
  <c r="AE311" i="1"/>
  <c r="AE312" i="1"/>
  <c r="AE313" i="1"/>
  <c r="AE314" i="1"/>
  <c r="AE315" i="1"/>
  <c r="AE316" i="1"/>
  <c r="AE317" i="1"/>
  <c r="AE318" i="1"/>
  <c r="AE319" i="1"/>
  <c r="AE320" i="1"/>
  <c r="AE321" i="1"/>
  <c r="AE322" i="1"/>
  <c r="AE323" i="1"/>
  <c r="AE324" i="1"/>
  <c r="AE325" i="1"/>
  <c r="AE326" i="1"/>
  <c r="AE327" i="1"/>
  <c r="AE328" i="1"/>
  <c r="AE329" i="1"/>
  <c r="AE330" i="1"/>
  <c r="AE331" i="1"/>
  <c r="AE332" i="1"/>
  <c r="AE333" i="1"/>
  <c r="AE334" i="1"/>
  <c r="AE335" i="1"/>
  <c r="AE336" i="1"/>
  <c r="AE337" i="1"/>
  <c r="AE338" i="1"/>
  <c r="AE339" i="1"/>
  <c r="AE340" i="1"/>
  <c r="AE341" i="1"/>
  <c r="AE342" i="1"/>
  <c r="AE343" i="1"/>
  <c r="AE344" i="1"/>
  <c r="AE345" i="1"/>
  <c r="AE346" i="1"/>
  <c r="AE347" i="1"/>
  <c r="AE348" i="1"/>
  <c r="AE349" i="1"/>
  <c r="AE350" i="1"/>
  <c r="AE351" i="1"/>
  <c r="AE352" i="1"/>
  <c r="AE353" i="1"/>
  <c r="AE354" i="1"/>
  <c r="AE355" i="1"/>
  <c r="AE356" i="1"/>
  <c r="AE357" i="1"/>
  <c r="AE358" i="1"/>
  <c r="AE359" i="1"/>
  <c r="AE360" i="1"/>
  <c r="AE361" i="1"/>
  <c r="AE362" i="1"/>
  <c r="AE363" i="1"/>
  <c r="AE364" i="1"/>
  <c r="AE365" i="1"/>
  <c r="AE366" i="1"/>
  <c r="AE367" i="1"/>
  <c r="AE368" i="1"/>
  <c r="AE369" i="1"/>
  <c r="AE370" i="1"/>
  <c r="AE371" i="1"/>
  <c r="AE372" i="1"/>
  <c r="AE373" i="1"/>
  <c r="AE374" i="1"/>
  <c r="AE375" i="1"/>
  <c r="AE376" i="1"/>
  <c r="AE2" i="1"/>
  <c r="AH2" i="1" s="1"/>
  <c r="AK2" i="1" s="1"/>
  <c r="AN2" i="1" s="1"/>
  <c r="C10" i="2" l="1"/>
  <c r="I3" i="2"/>
  <c r="I2" i="2"/>
  <c r="D36" i="2"/>
  <c r="AH369" i="1"/>
  <c r="AK369" i="1" s="1"/>
  <c r="AN369" i="1" s="1"/>
  <c r="AH365" i="1"/>
  <c r="AK365" i="1" s="1"/>
  <c r="AN365" i="1" s="1"/>
  <c r="AH361" i="1"/>
  <c r="AK361" i="1" s="1"/>
  <c r="AN361" i="1" s="1"/>
  <c r="AH357" i="1"/>
  <c r="AK357" i="1" s="1"/>
  <c r="AN357" i="1" s="1"/>
  <c r="AH353" i="1"/>
  <c r="AK353" i="1" s="1"/>
  <c r="AN353" i="1" s="1"/>
  <c r="AH349" i="1"/>
  <c r="AK349" i="1" s="1"/>
  <c r="AN349" i="1" s="1"/>
  <c r="AH345" i="1"/>
  <c r="AK345" i="1" s="1"/>
  <c r="AN345" i="1" s="1"/>
  <c r="AH341" i="1"/>
  <c r="AK341" i="1" s="1"/>
  <c r="AN341" i="1" s="1"/>
  <c r="AH337" i="1"/>
  <c r="AK337" i="1" s="1"/>
  <c r="AN337" i="1" s="1"/>
  <c r="AH333" i="1"/>
  <c r="AK333" i="1" s="1"/>
  <c r="AN333" i="1" s="1"/>
  <c r="AH329" i="1"/>
  <c r="AK329" i="1" s="1"/>
  <c r="AN329" i="1" s="1"/>
  <c r="AH325" i="1"/>
  <c r="AK325" i="1" s="1"/>
  <c r="AN325" i="1" s="1"/>
  <c r="AH321" i="1"/>
  <c r="AK321" i="1" s="1"/>
  <c r="AN321" i="1" s="1"/>
  <c r="AH317" i="1"/>
  <c r="AK317" i="1" s="1"/>
  <c r="AN317" i="1" s="1"/>
  <c r="AH313" i="1"/>
  <c r="AK313" i="1" s="1"/>
  <c r="AN313" i="1" s="1"/>
  <c r="AH309" i="1"/>
  <c r="AK309" i="1" s="1"/>
  <c r="AN309" i="1" s="1"/>
  <c r="AH305" i="1"/>
  <c r="AK305" i="1" s="1"/>
  <c r="AN305" i="1" s="1"/>
  <c r="AH301" i="1"/>
  <c r="AK301" i="1" s="1"/>
  <c r="AN301" i="1" s="1"/>
  <c r="AH297" i="1"/>
  <c r="AK297" i="1" s="1"/>
  <c r="AN297" i="1" s="1"/>
  <c r="AH293" i="1"/>
  <c r="AK293" i="1" s="1"/>
  <c r="AN293" i="1" s="1"/>
  <c r="AH289" i="1"/>
  <c r="AK289" i="1" s="1"/>
  <c r="AN289" i="1" s="1"/>
  <c r="AH285" i="1"/>
  <c r="AK285" i="1" s="1"/>
  <c r="AN285" i="1" s="1"/>
  <c r="AH281" i="1"/>
  <c r="AK281" i="1" s="1"/>
  <c r="AN281" i="1" s="1"/>
  <c r="AH277" i="1"/>
  <c r="AK277" i="1" s="1"/>
  <c r="AN277" i="1" s="1"/>
  <c r="AH273" i="1"/>
  <c r="AK273" i="1" s="1"/>
  <c r="AN273" i="1" s="1"/>
  <c r="AH269" i="1"/>
  <c r="AK269" i="1" s="1"/>
  <c r="AN269" i="1" s="1"/>
  <c r="AH265" i="1"/>
  <c r="AK265" i="1" s="1"/>
  <c r="AN265" i="1" s="1"/>
  <c r="AH261" i="1"/>
  <c r="AK261" i="1" s="1"/>
  <c r="AN261" i="1" s="1"/>
  <c r="AH257" i="1"/>
  <c r="AK257" i="1" s="1"/>
  <c r="AN257" i="1" s="1"/>
  <c r="AH253" i="1"/>
  <c r="AK253" i="1" s="1"/>
  <c r="AN253" i="1" s="1"/>
  <c r="AH249" i="1"/>
  <c r="AK249" i="1" s="1"/>
  <c r="AN249" i="1" s="1"/>
  <c r="AH245" i="1"/>
  <c r="AK245" i="1" s="1"/>
  <c r="AN245" i="1" s="1"/>
  <c r="AH241" i="1"/>
  <c r="AK241" i="1" s="1"/>
  <c r="AN241" i="1" s="1"/>
  <c r="AH237" i="1"/>
  <c r="AK237" i="1" s="1"/>
  <c r="AN237" i="1" s="1"/>
  <c r="AH233" i="1"/>
  <c r="AK233" i="1" s="1"/>
  <c r="AN233" i="1" s="1"/>
  <c r="AH229" i="1"/>
  <c r="AK229" i="1" s="1"/>
  <c r="AN229" i="1" s="1"/>
  <c r="AH225" i="1"/>
  <c r="AK225" i="1" s="1"/>
  <c r="AN225" i="1" s="1"/>
  <c r="AH221" i="1"/>
  <c r="AK221" i="1" s="1"/>
  <c r="AN221" i="1" s="1"/>
  <c r="AH217" i="1"/>
  <c r="AK217" i="1" s="1"/>
  <c r="AN217" i="1" s="1"/>
  <c r="AH213" i="1"/>
  <c r="AK213" i="1" s="1"/>
  <c r="AN213" i="1" s="1"/>
  <c r="AH209" i="1"/>
  <c r="AK209" i="1" s="1"/>
  <c r="AN209" i="1" s="1"/>
  <c r="AH205" i="1"/>
  <c r="AK205" i="1" s="1"/>
  <c r="AN205" i="1" s="1"/>
  <c r="AH201" i="1"/>
  <c r="AK201" i="1" s="1"/>
  <c r="AN201" i="1" s="1"/>
  <c r="AH197" i="1"/>
  <c r="AK197" i="1" s="1"/>
  <c r="AN197" i="1" s="1"/>
  <c r="AH193" i="1"/>
  <c r="AK193" i="1" s="1"/>
  <c r="AN193" i="1" s="1"/>
  <c r="AH189" i="1"/>
  <c r="AK189" i="1" s="1"/>
  <c r="AN189" i="1" s="1"/>
  <c r="AH185" i="1"/>
  <c r="AK185" i="1" s="1"/>
  <c r="AN185" i="1" s="1"/>
  <c r="AH181" i="1"/>
  <c r="AK181" i="1" s="1"/>
  <c r="AN181" i="1" s="1"/>
  <c r="AH177" i="1"/>
  <c r="AK177" i="1" s="1"/>
  <c r="AN177" i="1" s="1"/>
  <c r="AH173" i="1"/>
  <c r="AK173" i="1" s="1"/>
  <c r="AN173" i="1" s="1"/>
  <c r="AH169" i="1"/>
  <c r="AK169" i="1" s="1"/>
  <c r="AN169" i="1" s="1"/>
  <c r="AH165" i="1"/>
  <c r="AK165" i="1" s="1"/>
  <c r="AN165" i="1" s="1"/>
  <c r="AH161" i="1"/>
  <c r="AK161" i="1" s="1"/>
  <c r="AN161" i="1" s="1"/>
  <c r="AH157" i="1"/>
  <c r="AK157" i="1" s="1"/>
  <c r="AN157" i="1" s="1"/>
  <c r="AH153" i="1"/>
  <c r="AK153" i="1" s="1"/>
  <c r="AN153" i="1" s="1"/>
  <c r="AH149" i="1"/>
  <c r="AK149" i="1" s="1"/>
  <c r="AN149" i="1" s="1"/>
  <c r="AH145" i="1"/>
  <c r="AK145" i="1" s="1"/>
  <c r="AN145" i="1" s="1"/>
  <c r="AH141" i="1"/>
  <c r="AK141" i="1" s="1"/>
  <c r="AN141" i="1" s="1"/>
  <c r="AH137" i="1"/>
  <c r="AK137" i="1" s="1"/>
  <c r="AN137" i="1" s="1"/>
  <c r="AH133" i="1"/>
  <c r="AK133" i="1" s="1"/>
  <c r="AN133" i="1" s="1"/>
  <c r="AH129" i="1"/>
  <c r="AK129" i="1" s="1"/>
  <c r="AN129" i="1" s="1"/>
  <c r="AH125" i="1"/>
  <c r="AK125" i="1" s="1"/>
  <c r="AN125" i="1" s="1"/>
  <c r="AH121" i="1"/>
  <c r="AK121" i="1" s="1"/>
  <c r="AN121" i="1" s="1"/>
  <c r="AH117" i="1"/>
  <c r="AK117" i="1" s="1"/>
  <c r="AN117" i="1" s="1"/>
  <c r="AH113" i="1"/>
  <c r="AK113" i="1" s="1"/>
  <c r="AN113" i="1" s="1"/>
  <c r="AH109" i="1"/>
  <c r="AK109" i="1" s="1"/>
  <c r="AN109" i="1" s="1"/>
  <c r="AH105" i="1"/>
  <c r="AK105" i="1" s="1"/>
  <c r="AN105" i="1" s="1"/>
  <c r="AH101" i="1"/>
  <c r="AK101" i="1" s="1"/>
  <c r="AN101" i="1" s="1"/>
  <c r="AH97" i="1"/>
  <c r="AK97" i="1" s="1"/>
  <c r="AN97" i="1" s="1"/>
  <c r="AH93" i="1"/>
  <c r="AK93" i="1" s="1"/>
  <c r="AN93" i="1" s="1"/>
  <c r="AH89" i="1"/>
  <c r="AK89" i="1" s="1"/>
  <c r="AN89" i="1" s="1"/>
  <c r="AH85" i="1"/>
  <c r="AK85" i="1" s="1"/>
  <c r="AN85" i="1" s="1"/>
  <c r="AH81" i="1"/>
  <c r="AK81" i="1" s="1"/>
  <c r="AN81" i="1" s="1"/>
  <c r="AH77" i="1"/>
  <c r="AK77" i="1" s="1"/>
  <c r="AN77" i="1" s="1"/>
  <c r="AH73" i="1"/>
  <c r="AK73" i="1" s="1"/>
  <c r="AN73" i="1" s="1"/>
  <c r="AH69" i="1"/>
  <c r="AK69" i="1" s="1"/>
  <c r="AN69" i="1" s="1"/>
  <c r="AH65" i="1"/>
  <c r="AK65" i="1" s="1"/>
  <c r="AN65" i="1" s="1"/>
  <c r="AH61" i="1"/>
  <c r="AK61" i="1" s="1"/>
  <c r="AN61" i="1" s="1"/>
  <c r="AH57" i="1"/>
  <c r="AK57" i="1" s="1"/>
  <c r="AN57" i="1" s="1"/>
  <c r="AH53" i="1"/>
  <c r="AK53" i="1" s="1"/>
  <c r="AN53" i="1" s="1"/>
  <c r="AH49" i="1"/>
  <c r="AK49" i="1" s="1"/>
  <c r="AN49" i="1" s="1"/>
  <c r="AH45" i="1"/>
  <c r="AK45" i="1" s="1"/>
  <c r="AN45" i="1" s="1"/>
  <c r="AH41" i="1"/>
  <c r="AK41" i="1" s="1"/>
  <c r="AN41" i="1" s="1"/>
  <c r="AH37" i="1"/>
  <c r="AK37" i="1" s="1"/>
  <c r="AN37" i="1" s="1"/>
  <c r="AH33" i="1"/>
  <c r="AK33" i="1" s="1"/>
  <c r="AN33" i="1" s="1"/>
  <c r="AH29" i="1"/>
  <c r="AK29" i="1" s="1"/>
  <c r="AN29" i="1" s="1"/>
  <c r="AH25" i="1"/>
  <c r="AK25" i="1" s="1"/>
  <c r="AN25" i="1" s="1"/>
  <c r="AH21" i="1"/>
  <c r="AK21" i="1" s="1"/>
  <c r="AN21" i="1" s="1"/>
  <c r="AH17" i="1"/>
  <c r="AK17" i="1" s="1"/>
  <c r="AN17" i="1" s="1"/>
  <c r="AH13" i="1"/>
  <c r="AK13" i="1" s="1"/>
  <c r="AN13" i="1" s="1"/>
  <c r="AH9" i="1"/>
  <c r="AK9" i="1" s="1"/>
  <c r="AN9" i="1" s="1"/>
  <c r="AH5" i="1"/>
  <c r="AK5" i="1" s="1"/>
  <c r="AN5" i="1" s="1"/>
  <c r="AO2" i="1" a="1"/>
  <c r="AO2" i="1" s="1"/>
  <c r="AX2" i="1" s="1"/>
  <c r="AY2" i="1" s="1"/>
  <c r="AZ2" i="1" s="1"/>
  <c r="AH372" i="1"/>
  <c r="AK372" i="1" s="1"/>
  <c r="AN372" i="1" s="1"/>
  <c r="AH364" i="1"/>
  <c r="AK364" i="1" s="1"/>
  <c r="AN364" i="1" s="1"/>
  <c r="AH360" i="1"/>
  <c r="AK360" i="1" s="1"/>
  <c r="AN360" i="1" s="1"/>
  <c r="AH356" i="1"/>
  <c r="AK356" i="1" s="1"/>
  <c r="AN356" i="1" s="1"/>
  <c r="AH352" i="1"/>
  <c r="AK352" i="1" s="1"/>
  <c r="AN352" i="1" s="1"/>
  <c r="AH348" i="1"/>
  <c r="AK348" i="1" s="1"/>
  <c r="AN348" i="1" s="1"/>
  <c r="AH344" i="1"/>
  <c r="AK344" i="1" s="1"/>
  <c r="AN344" i="1" s="1"/>
  <c r="AH340" i="1"/>
  <c r="AK340" i="1" s="1"/>
  <c r="AN340" i="1" s="1"/>
  <c r="AH336" i="1"/>
  <c r="AK336" i="1" s="1"/>
  <c r="AN336" i="1" s="1"/>
  <c r="AH332" i="1"/>
  <c r="AK332" i="1" s="1"/>
  <c r="AN332" i="1" s="1"/>
  <c r="AH328" i="1"/>
  <c r="AK328" i="1" s="1"/>
  <c r="AN328" i="1" s="1"/>
  <c r="AH324" i="1"/>
  <c r="AK324" i="1" s="1"/>
  <c r="AN324" i="1" s="1"/>
  <c r="AH320" i="1"/>
  <c r="AK320" i="1" s="1"/>
  <c r="AN320" i="1" s="1"/>
  <c r="AH316" i="1"/>
  <c r="AK316" i="1" s="1"/>
  <c r="AN316" i="1" s="1"/>
  <c r="AH312" i="1"/>
  <c r="AK312" i="1" s="1"/>
  <c r="AN312" i="1" s="1"/>
  <c r="AH308" i="1"/>
  <c r="AK308" i="1" s="1"/>
  <c r="AN308" i="1" s="1"/>
  <c r="AH304" i="1"/>
  <c r="AK304" i="1" s="1"/>
  <c r="AN304" i="1" s="1"/>
  <c r="AH300" i="1"/>
  <c r="AK300" i="1" s="1"/>
  <c r="AN300" i="1" s="1"/>
  <c r="AH296" i="1"/>
  <c r="AK296" i="1" s="1"/>
  <c r="AN296" i="1" s="1"/>
  <c r="AH292" i="1"/>
  <c r="AK292" i="1" s="1"/>
  <c r="AN292" i="1" s="1"/>
  <c r="AH288" i="1"/>
  <c r="AK288" i="1" s="1"/>
  <c r="AN288" i="1" s="1"/>
  <c r="AH284" i="1"/>
  <c r="AK284" i="1" s="1"/>
  <c r="AN284" i="1" s="1"/>
  <c r="AH280" i="1"/>
  <c r="AK280" i="1" s="1"/>
  <c r="AN280" i="1" s="1"/>
  <c r="AH276" i="1"/>
  <c r="AK276" i="1" s="1"/>
  <c r="AN276" i="1" s="1"/>
  <c r="AH272" i="1"/>
  <c r="AK272" i="1" s="1"/>
  <c r="AN272" i="1" s="1"/>
  <c r="AH268" i="1"/>
  <c r="AK268" i="1" s="1"/>
  <c r="AN268" i="1" s="1"/>
  <c r="AH264" i="1"/>
  <c r="AK264" i="1" s="1"/>
  <c r="AN264" i="1" s="1"/>
  <c r="AH260" i="1"/>
  <c r="AK260" i="1" s="1"/>
  <c r="AN260" i="1" s="1"/>
  <c r="AH256" i="1"/>
  <c r="AK256" i="1" s="1"/>
  <c r="AN256" i="1" s="1"/>
  <c r="AH252" i="1"/>
  <c r="AK252" i="1" s="1"/>
  <c r="AN252" i="1" s="1"/>
  <c r="AH248" i="1"/>
  <c r="AK248" i="1" s="1"/>
  <c r="AN248" i="1" s="1"/>
  <c r="AH244" i="1"/>
  <c r="AK244" i="1" s="1"/>
  <c r="AN244" i="1" s="1"/>
  <c r="AH240" i="1"/>
  <c r="AK240" i="1" s="1"/>
  <c r="AN240" i="1" s="1"/>
  <c r="AH236" i="1"/>
  <c r="AK236" i="1" s="1"/>
  <c r="AN236" i="1" s="1"/>
  <c r="AH232" i="1"/>
  <c r="AK232" i="1" s="1"/>
  <c r="AN232" i="1" s="1"/>
  <c r="AH228" i="1"/>
  <c r="AK228" i="1" s="1"/>
  <c r="AN228" i="1" s="1"/>
  <c r="AH224" i="1"/>
  <c r="AK224" i="1" s="1"/>
  <c r="AN224" i="1" s="1"/>
  <c r="AH220" i="1"/>
  <c r="AK220" i="1" s="1"/>
  <c r="AN220" i="1" s="1"/>
  <c r="AH216" i="1"/>
  <c r="AK216" i="1" s="1"/>
  <c r="AN216" i="1" s="1"/>
  <c r="AH212" i="1"/>
  <c r="AK212" i="1" s="1"/>
  <c r="AN212" i="1" s="1"/>
  <c r="AH208" i="1"/>
  <c r="AK208" i="1" s="1"/>
  <c r="AN208" i="1" s="1"/>
  <c r="AH204" i="1"/>
  <c r="AK204" i="1" s="1"/>
  <c r="AN204" i="1" s="1"/>
  <c r="AH200" i="1"/>
  <c r="AK200" i="1" s="1"/>
  <c r="AN200" i="1" s="1"/>
  <c r="AH196" i="1"/>
  <c r="AK196" i="1" s="1"/>
  <c r="AN196" i="1" s="1"/>
  <c r="AH192" i="1"/>
  <c r="AK192" i="1" s="1"/>
  <c r="AN192" i="1" s="1"/>
  <c r="AH188" i="1"/>
  <c r="AK188" i="1" s="1"/>
  <c r="AN188" i="1" s="1"/>
  <c r="AH184" i="1"/>
  <c r="AK184" i="1" s="1"/>
  <c r="AN184" i="1" s="1"/>
  <c r="AH180" i="1"/>
  <c r="AK180" i="1" s="1"/>
  <c r="AN180" i="1" s="1"/>
  <c r="AH176" i="1"/>
  <c r="AK176" i="1" s="1"/>
  <c r="AN176" i="1" s="1"/>
  <c r="AH172" i="1"/>
  <c r="AK172" i="1" s="1"/>
  <c r="AN172" i="1" s="1"/>
  <c r="AH168" i="1"/>
  <c r="AK168" i="1" s="1"/>
  <c r="AN168" i="1" s="1"/>
  <c r="AH164" i="1"/>
  <c r="AK164" i="1" s="1"/>
  <c r="AN164" i="1" s="1"/>
  <c r="AH160" i="1"/>
  <c r="AK160" i="1" s="1"/>
  <c r="AN160" i="1" s="1"/>
  <c r="AH156" i="1"/>
  <c r="AK156" i="1" s="1"/>
  <c r="AN156" i="1" s="1"/>
  <c r="AH152" i="1"/>
  <c r="AK152" i="1" s="1"/>
  <c r="AN152" i="1" s="1"/>
  <c r="AH148" i="1"/>
  <c r="AK148" i="1" s="1"/>
  <c r="AN148" i="1" s="1"/>
  <c r="AH144" i="1"/>
  <c r="AK144" i="1" s="1"/>
  <c r="AN144" i="1" s="1"/>
  <c r="AH140" i="1"/>
  <c r="AK140" i="1" s="1"/>
  <c r="AN140" i="1" s="1"/>
  <c r="AH136" i="1"/>
  <c r="AK136" i="1" s="1"/>
  <c r="AN136" i="1" s="1"/>
  <c r="AH132" i="1"/>
  <c r="AK132" i="1" s="1"/>
  <c r="AN132" i="1" s="1"/>
  <c r="AH128" i="1"/>
  <c r="AK128" i="1" s="1"/>
  <c r="AN128" i="1" s="1"/>
  <c r="AH124" i="1"/>
  <c r="AK124" i="1" s="1"/>
  <c r="AN124" i="1" s="1"/>
  <c r="AH120" i="1"/>
  <c r="AK120" i="1" s="1"/>
  <c r="AN120" i="1" s="1"/>
  <c r="AH116" i="1"/>
  <c r="AK116" i="1" s="1"/>
  <c r="AN116" i="1" s="1"/>
  <c r="AH112" i="1"/>
  <c r="AK112" i="1" s="1"/>
  <c r="AN112" i="1" s="1"/>
  <c r="AH108" i="1"/>
  <c r="AK108" i="1" s="1"/>
  <c r="AN108" i="1" s="1"/>
  <c r="AH104" i="1"/>
  <c r="AK104" i="1" s="1"/>
  <c r="AN104" i="1" s="1"/>
  <c r="AH100" i="1"/>
  <c r="AK100" i="1" s="1"/>
  <c r="AN100" i="1" s="1"/>
  <c r="AH96" i="1"/>
  <c r="AK96" i="1" s="1"/>
  <c r="AN96" i="1" s="1"/>
  <c r="AH92" i="1"/>
  <c r="AK92" i="1" s="1"/>
  <c r="AN92" i="1" s="1"/>
  <c r="AH88" i="1"/>
  <c r="AK88" i="1" s="1"/>
  <c r="AN88" i="1" s="1"/>
  <c r="AH84" i="1"/>
  <c r="AK84" i="1" s="1"/>
  <c r="AN84" i="1" s="1"/>
  <c r="AH80" i="1"/>
  <c r="AK80" i="1" s="1"/>
  <c r="AN80" i="1" s="1"/>
  <c r="AH76" i="1"/>
  <c r="AK76" i="1" s="1"/>
  <c r="AN76" i="1" s="1"/>
  <c r="AH72" i="1"/>
  <c r="AK72" i="1" s="1"/>
  <c r="AN72" i="1" s="1"/>
  <c r="AH68" i="1"/>
  <c r="AK68" i="1" s="1"/>
  <c r="AN68" i="1" s="1"/>
  <c r="AH64" i="1"/>
  <c r="AK64" i="1" s="1"/>
  <c r="AN64" i="1" s="1"/>
  <c r="AH60" i="1"/>
  <c r="AK60" i="1" s="1"/>
  <c r="AN60" i="1" s="1"/>
  <c r="AH56" i="1"/>
  <c r="AK56" i="1" s="1"/>
  <c r="AN56" i="1" s="1"/>
  <c r="AH52" i="1"/>
  <c r="AK52" i="1" s="1"/>
  <c r="AN52" i="1" s="1"/>
  <c r="AH48" i="1"/>
  <c r="AK48" i="1" s="1"/>
  <c r="AN48" i="1" s="1"/>
  <c r="AH44" i="1"/>
  <c r="AK44" i="1" s="1"/>
  <c r="AN44" i="1" s="1"/>
  <c r="AH40" i="1"/>
  <c r="AK40" i="1" s="1"/>
  <c r="AN40" i="1" s="1"/>
  <c r="AH36" i="1"/>
  <c r="AK36" i="1" s="1"/>
  <c r="AN36" i="1" s="1"/>
  <c r="AH32" i="1"/>
  <c r="AK32" i="1" s="1"/>
  <c r="AN32" i="1" s="1"/>
  <c r="AH28" i="1"/>
  <c r="AK28" i="1" s="1"/>
  <c r="AN28" i="1" s="1"/>
  <c r="AH24" i="1"/>
  <c r="AK24" i="1" s="1"/>
  <c r="AN24" i="1" s="1"/>
  <c r="AH20" i="1"/>
  <c r="AK20" i="1" s="1"/>
  <c r="AN20" i="1" s="1"/>
  <c r="AH16" i="1"/>
  <c r="AK16" i="1" s="1"/>
  <c r="AN16" i="1" s="1"/>
  <c r="AH12" i="1"/>
  <c r="AK12" i="1" s="1"/>
  <c r="AN12" i="1" s="1"/>
  <c r="AH8" i="1"/>
  <c r="AK8" i="1" s="1"/>
  <c r="AN8" i="1" s="1"/>
  <c r="AH4" i="1"/>
  <c r="AK4" i="1" s="1"/>
  <c r="AN4" i="1" s="1"/>
  <c r="AH376" i="1"/>
  <c r="AK376" i="1" s="1"/>
  <c r="AN376" i="1" s="1"/>
  <c r="AH375" i="1"/>
  <c r="AK375" i="1" s="1"/>
  <c r="AN375" i="1" s="1"/>
  <c r="AH371" i="1"/>
  <c r="AK371" i="1" s="1"/>
  <c r="AN371" i="1" s="1"/>
  <c r="AH367" i="1"/>
  <c r="AK367" i="1" s="1"/>
  <c r="AN367" i="1" s="1"/>
  <c r="AH363" i="1"/>
  <c r="AK363" i="1" s="1"/>
  <c r="AN363" i="1" s="1"/>
  <c r="AH359" i="1"/>
  <c r="AK359" i="1" s="1"/>
  <c r="AN359" i="1" s="1"/>
  <c r="AH355" i="1"/>
  <c r="AK355" i="1" s="1"/>
  <c r="AN355" i="1" s="1"/>
  <c r="AH351" i="1"/>
  <c r="AK351" i="1" s="1"/>
  <c r="AN351" i="1" s="1"/>
  <c r="AH347" i="1"/>
  <c r="AK347" i="1" s="1"/>
  <c r="AN347" i="1" s="1"/>
  <c r="AH343" i="1"/>
  <c r="AK343" i="1" s="1"/>
  <c r="AN343" i="1" s="1"/>
  <c r="AH339" i="1"/>
  <c r="AK339" i="1" s="1"/>
  <c r="AN339" i="1" s="1"/>
  <c r="AH335" i="1"/>
  <c r="AK335" i="1" s="1"/>
  <c r="AN335" i="1" s="1"/>
  <c r="AH331" i="1"/>
  <c r="AK331" i="1" s="1"/>
  <c r="AN331" i="1" s="1"/>
  <c r="AH327" i="1"/>
  <c r="AK327" i="1" s="1"/>
  <c r="AN327" i="1" s="1"/>
  <c r="AH323" i="1"/>
  <c r="AK323" i="1" s="1"/>
  <c r="AN323" i="1" s="1"/>
  <c r="AH319" i="1"/>
  <c r="AK319" i="1" s="1"/>
  <c r="AN319" i="1" s="1"/>
  <c r="AH315" i="1"/>
  <c r="AK315" i="1" s="1"/>
  <c r="AN315" i="1" s="1"/>
  <c r="AH311" i="1"/>
  <c r="AK311" i="1" s="1"/>
  <c r="AN311" i="1" s="1"/>
  <c r="AH307" i="1"/>
  <c r="AK307" i="1" s="1"/>
  <c r="AN307" i="1" s="1"/>
  <c r="AH303" i="1"/>
  <c r="AK303" i="1" s="1"/>
  <c r="AN303" i="1" s="1"/>
  <c r="AH299" i="1"/>
  <c r="AK299" i="1" s="1"/>
  <c r="AN299" i="1" s="1"/>
  <c r="AH295" i="1"/>
  <c r="AK295" i="1" s="1"/>
  <c r="AN295" i="1" s="1"/>
  <c r="AH291" i="1"/>
  <c r="AK291" i="1" s="1"/>
  <c r="AN291" i="1" s="1"/>
  <c r="AH287" i="1"/>
  <c r="AK287" i="1" s="1"/>
  <c r="AN287" i="1" s="1"/>
  <c r="AH283" i="1"/>
  <c r="AK283" i="1" s="1"/>
  <c r="AN283" i="1" s="1"/>
  <c r="AH279" i="1"/>
  <c r="AK279" i="1" s="1"/>
  <c r="AN279" i="1" s="1"/>
  <c r="AH275" i="1"/>
  <c r="AK275" i="1" s="1"/>
  <c r="AN275" i="1" s="1"/>
  <c r="AH271" i="1"/>
  <c r="AK271" i="1" s="1"/>
  <c r="AN271" i="1" s="1"/>
  <c r="AH267" i="1"/>
  <c r="AK267" i="1" s="1"/>
  <c r="AN267" i="1" s="1"/>
  <c r="AH263" i="1"/>
  <c r="AK263" i="1" s="1"/>
  <c r="AN263" i="1" s="1"/>
  <c r="AH259" i="1"/>
  <c r="AK259" i="1" s="1"/>
  <c r="AN259" i="1" s="1"/>
  <c r="AH255" i="1"/>
  <c r="AK255" i="1" s="1"/>
  <c r="AN255" i="1" s="1"/>
  <c r="AH251" i="1"/>
  <c r="AK251" i="1" s="1"/>
  <c r="AN251" i="1" s="1"/>
  <c r="AH247" i="1"/>
  <c r="AK247" i="1" s="1"/>
  <c r="AN247" i="1" s="1"/>
  <c r="AH243" i="1"/>
  <c r="AK243" i="1" s="1"/>
  <c r="AN243" i="1" s="1"/>
  <c r="AH239" i="1"/>
  <c r="AK239" i="1" s="1"/>
  <c r="AN239" i="1" s="1"/>
  <c r="AH235" i="1"/>
  <c r="AK235" i="1" s="1"/>
  <c r="AN235" i="1" s="1"/>
  <c r="AH231" i="1"/>
  <c r="AK231" i="1" s="1"/>
  <c r="AN231" i="1" s="1"/>
  <c r="AH227" i="1"/>
  <c r="AK227" i="1" s="1"/>
  <c r="AN227" i="1" s="1"/>
  <c r="AH223" i="1"/>
  <c r="AK223" i="1" s="1"/>
  <c r="AN223" i="1" s="1"/>
  <c r="AH219" i="1"/>
  <c r="AK219" i="1" s="1"/>
  <c r="AN219" i="1" s="1"/>
  <c r="AH215" i="1"/>
  <c r="AK215" i="1" s="1"/>
  <c r="AN215" i="1" s="1"/>
  <c r="AH211" i="1"/>
  <c r="AK211" i="1" s="1"/>
  <c r="AN211" i="1" s="1"/>
  <c r="AH207" i="1"/>
  <c r="AK207" i="1" s="1"/>
  <c r="AN207" i="1" s="1"/>
  <c r="AH203" i="1"/>
  <c r="AK203" i="1" s="1"/>
  <c r="AN203" i="1" s="1"/>
  <c r="AH199" i="1"/>
  <c r="AK199" i="1" s="1"/>
  <c r="AN199" i="1" s="1"/>
  <c r="AH195" i="1"/>
  <c r="AK195" i="1" s="1"/>
  <c r="AN195" i="1" s="1"/>
  <c r="AH191" i="1"/>
  <c r="AK191" i="1" s="1"/>
  <c r="AN191" i="1" s="1"/>
  <c r="AH187" i="1"/>
  <c r="AK187" i="1" s="1"/>
  <c r="AN187" i="1" s="1"/>
  <c r="AH183" i="1"/>
  <c r="AK183" i="1" s="1"/>
  <c r="AN183" i="1" s="1"/>
  <c r="AH179" i="1"/>
  <c r="AK179" i="1" s="1"/>
  <c r="AN179" i="1" s="1"/>
  <c r="AH175" i="1"/>
  <c r="AK175" i="1" s="1"/>
  <c r="AN175" i="1" s="1"/>
  <c r="AH171" i="1"/>
  <c r="AK171" i="1" s="1"/>
  <c r="AN171" i="1" s="1"/>
  <c r="AH167" i="1"/>
  <c r="AK167" i="1" s="1"/>
  <c r="AN167" i="1" s="1"/>
  <c r="AH163" i="1"/>
  <c r="AK163" i="1" s="1"/>
  <c r="AN163" i="1" s="1"/>
  <c r="AH159" i="1"/>
  <c r="AK159" i="1" s="1"/>
  <c r="AN159" i="1" s="1"/>
  <c r="AH155" i="1"/>
  <c r="AK155" i="1" s="1"/>
  <c r="AN155" i="1" s="1"/>
  <c r="AH151" i="1"/>
  <c r="AK151" i="1" s="1"/>
  <c r="AN151" i="1" s="1"/>
  <c r="AH147" i="1"/>
  <c r="AK147" i="1" s="1"/>
  <c r="AN147" i="1" s="1"/>
  <c r="AH143" i="1"/>
  <c r="AK143" i="1" s="1"/>
  <c r="AN143" i="1" s="1"/>
  <c r="AH139" i="1"/>
  <c r="AK139" i="1" s="1"/>
  <c r="AN139" i="1" s="1"/>
  <c r="AH135" i="1"/>
  <c r="AK135" i="1" s="1"/>
  <c r="AN135" i="1" s="1"/>
  <c r="AH131" i="1"/>
  <c r="AK131" i="1" s="1"/>
  <c r="AN131" i="1" s="1"/>
  <c r="AH127" i="1"/>
  <c r="AK127" i="1" s="1"/>
  <c r="AN127" i="1" s="1"/>
  <c r="AH123" i="1"/>
  <c r="AK123" i="1" s="1"/>
  <c r="AN123" i="1" s="1"/>
  <c r="AH119" i="1"/>
  <c r="AK119" i="1" s="1"/>
  <c r="AN119" i="1" s="1"/>
  <c r="AH115" i="1"/>
  <c r="AK115" i="1" s="1"/>
  <c r="AN115" i="1" s="1"/>
  <c r="AH111" i="1"/>
  <c r="AK111" i="1" s="1"/>
  <c r="AN111" i="1" s="1"/>
  <c r="AH107" i="1"/>
  <c r="AK107" i="1" s="1"/>
  <c r="AN107" i="1" s="1"/>
  <c r="AH103" i="1"/>
  <c r="AK103" i="1" s="1"/>
  <c r="AN103" i="1" s="1"/>
  <c r="AH99" i="1"/>
  <c r="AK99" i="1" s="1"/>
  <c r="AN99" i="1" s="1"/>
  <c r="AH95" i="1"/>
  <c r="AK95" i="1" s="1"/>
  <c r="AN95" i="1" s="1"/>
  <c r="AH91" i="1"/>
  <c r="AK91" i="1" s="1"/>
  <c r="AN91" i="1" s="1"/>
  <c r="AH87" i="1"/>
  <c r="AK87" i="1" s="1"/>
  <c r="AN87" i="1" s="1"/>
  <c r="AH83" i="1"/>
  <c r="AK83" i="1" s="1"/>
  <c r="AN83" i="1" s="1"/>
  <c r="AH79" i="1"/>
  <c r="AK79" i="1" s="1"/>
  <c r="AN79" i="1" s="1"/>
  <c r="AH75" i="1"/>
  <c r="AK75" i="1" s="1"/>
  <c r="AN75" i="1" s="1"/>
  <c r="AH71" i="1"/>
  <c r="AK71" i="1" s="1"/>
  <c r="AN71" i="1" s="1"/>
  <c r="AH67" i="1"/>
  <c r="AK67" i="1" s="1"/>
  <c r="AN67" i="1" s="1"/>
  <c r="AH63" i="1"/>
  <c r="AK63" i="1" s="1"/>
  <c r="AN63" i="1" s="1"/>
  <c r="AH59" i="1"/>
  <c r="AK59" i="1" s="1"/>
  <c r="AN59" i="1" s="1"/>
  <c r="AH55" i="1"/>
  <c r="AK55" i="1" s="1"/>
  <c r="AN55" i="1" s="1"/>
  <c r="AH51" i="1"/>
  <c r="AK51" i="1" s="1"/>
  <c r="AN51" i="1" s="1"/>
  <c r="AH47" i="1"/>
  <c r="AK47" i="1" s="1"/>
  <c r="AN47" i="1" s="1"/>
  <c r="AH43" i="1"/>
  <c r="AK43" i="1" s="1"/>
  <c r="AN43" i="1" s="1"/>
  <c r="AH39" i="1"/>
  <c r="AK39" i="1" s="1"/>
  <c r="AN39" i="1" s="1"/>
  <c r="AH35" i="1"/>
  <c r="AK35" i="1" s="1"/>
  <c r="AN35" i="1" s="1"/>
  <c r="AH31" i="1"/>
  <c r="AK31" i="1" s="1"/>
  <c r="AN31" i="1" s="1"/>
  <c r="AH27" i="1"/>
  <c r="AK27" i="1" s="1"/>
  <c r="AN27" i="1" s="1"/>
  <c r="AH23" i="1"/>
  <c r="AK23" i="1" s="1"/>
  <c r="AN23" i="1" s="1"/>
  <c r="AH19" i="1"/>
  <c r="AK19" i="1" s="1"/>
  <c r="AN19" i="1" s="1"/>
  <c r="AH15" i="1"/>
  <c r="AK15" i="1" s="1"/>
  <c r="AN15" i="1" s="1"/>
  <c r="AH11" i="1"/>
  <c r="AK11" i="1" s="1"/>
  <c r="AN11" i="1" s="1"/>
  <c r="AH7" i="1"/>
  <c r="AK7" i="1" s="1"/>
  <c r="AN7" i="1" s="1"/>
  <c r="AH3" i="1"/>
  <c r="AK3" i="1" s="1"/>
  <c r="AN3" i="1" s="1"/>
  <c r="AH373" i="1"/>
  <c r="AK373" i="1" s="1"/>
  <c r="AN373" i="1" s="1"/>
  <c r="AH368" i="1"/>
  <c r="AK368" i="1" s="1"/>
  <c r="AN368" i="1" s="1"/>
  <c r="AH374" i="1"/>
  <c r="AK374" i="1" s="1"/>
  <c r="AN374" i="1" s="1"/>
  <c r="AH370" i="1"/>
  <c r="AK370" i="1" s="1"/>
  <c r="AN370" i="1" s="1"/>
  <c r="AH366" i="1"/>
  <c r="AK366" i="1" s="1"/>
  <c r="AN366" i="1" s="1"/>
  <c r="AH362" i="1"/>
  <c r="AK362" i="1" s="1"/>
  <c r="AN362" i="1" s="1"/>
  <c r="AH358" i="1"/>
  <c r="AK358" i="1" s="1"/>
  <c r="AN358" i="1" s="1"/>
  <c r="AH354" i="1"/>
  <c r="AK354" i="1" s="1"/>
  <c r="AN354" i="1" s="1"/>
  <c r="AH350" i="1"/>
  <c r="AK350" i="1" s="1"/>
  <c r="AN350" i="1" s="1"/>
  <c r="AH346" i="1"/>
  <c r="AK346" i="1" s="1"/>
  <c r="AN346" i="1" s="1"/>
  <c r="AH342" i="1"/>
  <c r="AK342" i="1" s="1"/>
  <c r="AN342" i="1" s="1"/>
  <c r="AH338" i="1"/>
  <c r="AK338" i="1" s="1"/>
  <c r="AN338" i="1" s="1"/>
  <c r="AH334" i="1"/>
  <c r="AK334" i="1" s="1"/>
  <c r="AN334" i="1" s="1"/>
  <c r="AH330" i="1"/>
  <c r="AK330" i="1" s="1"/>
  <c r="AN330" i="1" s="1"/>
  <c r="AH326" i="1"/>
  <c r="AK326" i="1" s="1"/>
  <c r="AN326" i="1" s="1"/>
  <c r="AH322" i="1"/>
  <c r="AK322" i="1" s="1"/>
  <c r="AN322" i="1" s="1"/>
  <c r="AH318" i="1"/>
  <c r="AK318" i="1" s="1"/>
  <c r="AN318" i="1" s="1"/>
  <c r="AH314" i="1"/>
  <c r="AK314" i="1" s="1"/>
  <c r="AN314" i="1" s="1"/>
  <c r="AH310" i="1"/>
  <c r="AK310" i="1" s="1"/>
  <c r="AN310" i="1" s="1"/>
  <c r="AH306" i="1"/>
  <c r="AK306" i="1" s="1"/>
  <c r="AN306" i="1" s="1"/>
  <c r="AH302" i="1"/>
  <c r="AK302" i="1" s="1"/>
  <c r="AN302" i="1" s="1"/>
  <c r="AH298" i="1"/>
  <c r="AK298" i="1" s="1"/>
  <c r="AN298" i="1" s="1"/>
  <c r="AH294" i="1"/>
  <c r="AK294" i="1" s="1"/>
  <c r="AN294" i="1" s="1"/>
  <c r="AH290" i="1"/>
  <c r="AK290" i="1" s="1"/>
  <c r="AN290" i="1" s="1"/>
  <c r="AH286" i="1"/>
  <c r="AK286" i="1" s="1"/>
  <c r="AN286" i="1" s="1"/>
  <c r="AH282" i="1"/>
  <c r="AK282" i="1" s="1"/>
  <c r="AN282" i="1" s="1"/>
  <c r="AH278" i="1"/>
  <c r="AK278" i="1" s="1"/>
  <c r="AN278" i="1" s="1"/>
  <c r="AH274" i="1"/>
  <c r="AK274" i="1" s="1"/>
  <c r="AN274" i="1" s="1"/>
  <c r="AH270" i="1"/>
  <c r="AK270" i="1" s="1"/>
  <c r="AN270" i="1" s="1"/>
  <c r="AH266" i="1"/>
  <c r="AK266" i="1" s="1"/>
  <c r="AN266" i="1" s="1"/>
  <c r="AH262" i="1"/>
  <c r="AK262" i="1" s="1"/>
  <c r="AN262" i="1" s="1"/>
  <c r="AH258" i="1"/>
  <c r="AK258" i="1" s="1"/>
  <c r="AN258" i="1" s="1"/>
  <c r="AH254" i="1"/>
  <c r="AK254" i="1" s="1"/>
  <c r="AN254" i="1" s="1"/>
  <c r="AH250" i="1"/>
  <c r="AK250" i="1" s="1"/>
  <c r="AN250" i="1" s="1"/>
  <c r="AH246" i="1"/>
  <c r="AK246" i="1" s="1"/>
  <c r="AN246" i="1" s="1"/>
  <c r="AH242" i="1"/>
  <c r="AK242" i="1" s="1"/>
  <c r="AN242" i="1" s="1"/>
  <c r="AH238" i="1"/>
  <c r="AK238" i="1" s="1"/>
  <c r="AN238" i="1" s="1"/>
  <c r="AH234" i="1"/>
  <c r="AK234" i="1" s="1"/>
  <c r="AN234" i="1" s="1"/>
  <c r="AH230" i="1"/>
  <c r="AK230" i="1" s="1"/>
  <c r="AN230" i="1" s="1"/>
  <c r="AH226" i="1"/>
  <c r="AK226" i="1" s="1"/>
  <c r="AN226" i="1" s="1"/>
  <c r="AH222" i="1"/>
  <c r="AK222" i="1" s="1"/>
  <c r="AN222" i="1" s="1"/>
  <c r="AH218" i="1"/>
  <c r="AK218" i="1" s="1"/>
  <c r="AN218" i="1" s="1"/>
  <c r="AH214" i="1"/>
  <c r="AK214" i="1" s="1"/>
  <c r="AN214" i="1" s="1"/>
  <c r="AH210" i="1"/>
  <c r="AK210" i="1" s="1"/>
  <c r="AN210" i="1" s="1"/>
  <c r="AH206" i="1"/>
  <c r="AK206" i="1" s="1"/>
  <c r="AN206" i="1" s="1"/>
  <c r="AH202" i="1"/>
  <c r="AK202" i="1" s="1"/>
  <c r="AN202" i="1" s="1"/>
  <c r="AH198" i="1"/>
  <c r="AK198" i="1" s="1"/>
  <c r="AN198" i="1" s="1"/>
  <c r="AH194" i="1"/>
  <c r="AK194" i="1" s="1"/>
  <c r="AN194" i="1" s="1"/>
  <c r="AH190" i="1"/>
  <c r="AK190" i="1" s="1"/>
  <c r="AN190" i="1" s="1"/>
  <c r="AH186" i="1"/>
  <c r="AK186" i="1" s="1"/>
  <c r="AN186" i="1" s="1"/>
  <c r="AH182" i="1"/>
  <c r="AK182" i="1" s="1"/>
  <c r="AN182" i="1" s="1"/>
  <c r="AH178" i="1"/>
  <c r="AK178" i="1" s="1"/>
  <c r="AN178" i="1" s="1"/>
  <c r="AH174" i="1"/>
  <c r="AK174" i="1" s="1"/>
  <c r="AN174" i="1" s="1"/>
  <c r="AH170" i="1"/>
  <c r="AK170" i="1" s="1"/>
  <c r="AN170" i="1" s="1"/>
  <c r="AH166" i="1"/>
  <c r="AK166" i="1" s="1"/>
  <c r="AN166" i="1" s="1"/>
  <c r="AH162" i="1"/>
  <c r="AK162" i="1" s="1"/>
  <c r="AN162" i="1" s="1"/>
  <c r="AH158" i="1"/>
  <c r="AK158" i="1" s="1"/>
  <c r="AN158" i="1" s="1"/>
  <c r="AH154" i="1"/>
  <c r="AK154" i="1" s="1"/>
  <c r="AN154" i="1" s="1"/>
  <c r="AH150" i="1"/>
  <c r="AK150" i="1" s="1"/>
  <c r="AN150" i="1" s="1"/>
  <c r="AH146" i="1"/>
  <c r="AK146" i="1" s="1"/>
  <c r="AN146" i="1" s="1"/>
  <c r="AH142" i="1"/>
  <c r="AK142" i="1" s="1"/>
  <c r="AN142" i="1" s="1"/>
  <c r="AH138" i="1"/>
  <c r="AK138" i="1" s="1"/>
  <c r="AN138" i="1" s="1"/>
  <c r="AH134" i="1"/>
  <c r="AK134" i="1" s="1"/>
  <c r="AN134" i="1" s="1"/>
  <c r="AH130" i="1"/>
  <c r="AK130" i="1" s="1"/>
  <c r="AN130" i="1" s="1"/>
  <c r="AH126" i="1"/>
  <c r="AK126" i="1" s="1"/>
  <c r="AN126" i="1" s="1"/>
  <c r="AH122" i="1"/>
  <c r="AK122" i="1" s="1"/>
  <c r="AN122" i="1" s="1"/>
  <c r="AH118" i="1"/>
  <c r="AK118" i="1" s="1"/>
  <c r="AN118" i="1" s="1"/>
  <c r="AH114" i="1"/>
  <c r="AK114" i="1" s="1"/>
  <c r="AN114" i="1" s="1"/>
  <c r="AH110" i="1"/>
  <c r="AK110" i="1" s="1"/>
  <c r="AN110" i="1" s="1"/>
  <c r="AH106" i="1"/>
  <c r="AK106" i="1" s="1"/>
  <c r="AN106" i="1" s="1"/>
  <c r="AH102" i="1"/>
  <c r="AK102" i="1" s="1"/>
  <c r="AN102" i="1" s="1"/>
  <c r="AH98" i="1"/>
  <c r="AK98" i="1" s="1"/>
  <c r="AN98" i="1" s="1"/>
  <c r="AH94" i="1"/>
  <c r="AK94" i="1" s="1"/>
  <c r="AN94" i="1" s="1"/>
  <c r="AH90" i="1"/>
  <c r="AK90" i="1" s="1"/>
  <c r="AN90" i="1" s="1"/>
  <c r="AH86" i="1"/>
  <c r="AK86" i="1" s="1"/>
  <c r="AN86" i="1" s="1"/>
  <c r="AH82" i="1"/>
  <c r="AK82" i="1" s="1"/>
  <c r="AN82" i="1" s="1"/>
  <c r="AH78" i="1"/>
  <c r="AK78" i="1" s="1"/>
  <c r="AN78" i="1" s="1"/>
  <c r="AH74" i="1"/>
  <c r="AK74" i="1" s="1"/>
  <c r="AN74" i="1" s="1"/>
  <c r="AH70" i="1"/>
  <c r="AK70" i="1" s="1"/>
  <c r="AN70" i="1" s="1"/>
  <c r="AH66" i="1"/>
  <c r="AK66" i="1" s="1"/>
  <c r="AN66" i="1" s="1"/>
  <c r="AH62" i="1"/>
  <c r="AK62" i="1" s="1"/>
  <c r="AN62" i="1" s="1"/>
  <c r="AH58" i="1"/>
  <c r="AK58" i="1" s="1"/>
  <c r="AN58" i="1" s="1"/>
  <c r="AH54" i="1"/>
  <c r="AK54" i="1" s="1"/>
  <c r="AN54" i="1" s="1"/>
  <c r="AH50" i="1"/>
  <c r="AK50" i="1" s="1"/>
  <c r="AN50" i="1" s="1"/>
  <c r="AH46" i="1"/>
  <c r="AK46" i="1" s="1"/>
  <c r="AN46" i="1" s="1"/>
  <c r="AH42" i="1"/>
  <c r="AK42" i="1" s="1"/>
  <c r="AN42" i="1" s="1"/>
  <c r="AH38" i="1"/>
  <c r="AK38" i="1" s="1"/>
  <c r="AN38" i="1" s="1"/>
  <c r="AH34" i="1"/>
  <c r="AK34" i="1" s="1"/>
  <c r="AN34" i="1" s="1"/>
  <c r="AH30" i="1"/>
  <c r="AK30" i="1" s="1"/>
  <c r="AN30" i="1" s="1"/>
  <c r="AH26" i="1"/>
  <c r="AK26" i="1" s="1"/>
  <c r="AN26" i="1" s="1"/>
  <c r="AH22" i="1"/>
  <c r="AK22" i="1" s="1"/>
  <c r="AN22" i="1" s="1"/>
  <c r="AH18" i="1"/>
  <c r="AK18" i="1" s="1"/>
  <c r="AN18" i="1" s="1"/>
  <c r="AH14" i="1"/>
  <c r="AK14" i="1" s="1"/>
  <c r="AN14" i="1" s="1"/>
  <c r="AH10" i="1"/>
  <c r="AK10" i="1" s="1"/>
  <c r="AN10" i="1" s="1"/>
  <c r="AH6" i="1"/>
  <c r="AK6" i="1" s="1"/>
  <c r="AN6" i="1" s="1"/>
  <c r="C35" i="2" l="1"/>
  <c r="C31" i="2"/>
  <c r="B33" i="2"/>
  <c r="C28" i="2"/>
  <c r="C24" i="2"/>
  <c r="C20" i="2"/>
  <c r="D35" i="2"/>
  <c r="B35" i="2"/>
  <c r="C26" i="2"/>
  <c r="D32" i="2"/>
  <c r="C34" i="2"/>
  <c r="C30" i="2"/>
  <c r="B32" i="2"/>
  <c r="C27" i="2"/>
  <c r="C23" i="2"/>
  <c r="C18" i="2"/>
  <c r="D31" i="2"/>
  <c r="B31" i="2"/>
  <c r="C22" i="2"/>
  <c r="D30" i="2"/>
  <c r="C32" i="2"/>
  <c r="B34" i="2"/>
  <c r="B30" i="2"/>
  <c r="C25" i="2"/>
  <c r="C21" i="2"/>
  <c r="C17" i="2"/>
  <c r="C13" i="2"/>
  <c r="C16" i="2"/>
  <c r="C11" i="2"/>
  <c r="C15" i="2"/>
  <c r="C12" i="2"/>
  <c r="C14" i="2"/>
  <c r="BA2" i="1" a="1"/>
  <c r="BA2" i="1" s="1"/>
  <c r="AQ2" i="1"/>
  <c r="AT2" i="1" s="1"/>
  <c r="AO18" i="1" a="1"/>
  <c r="AO18" i="1" s="1"/>
  <c r="AX18" i="1" s="1"/>
  <c r="AY18" i="1" s="1"/>
  <c r="AZ18" i="1" s="1"/>
  <c r="AO42" i="1" a="1"/>
  <c r="AO42" i="1" s="1"/>
  <c r="AX42" i="1" s="1"/>
  <c r="AY42" i="1" s="1"/>
  <c r="AZ42" i="1" s="1"/>
  <c r="AO74" i="1" a="1"/>
  <c r="AO74" i="1" s="1"/>
  <c r="AX74" i="1" s="1"/>
  <c r="AY74" i="1" s="1"/>
  <c r="AZ74" i="1" s="1"/>
  <c r="AO6" i="1" a="1"/>
  <c r="AO6" i="1" s="1"/>
  <c r="AX6" i="1" s="1"/>
  <c r="AY6" i="1" s="1"/>
  <c r="AZ6" i="1" s="1"/>
  <c r="AO22" i="1" a="1"/>
  <c r="AO22" i="1" s="1"/>
  <c r="AX22" i="1" s="1"/>
  <c r="AY22" i="1" s="1"/>
  <c r="AZ22" i="1" s="1"/>
  <c r="AO38" i="1" a="1"/>
  <c r="AO38" i="1" s="1"/>
  <c r="AX38" i="1" s="1"/>
  <c r="AY38" i="1" s="1"/>
  <c r="AZ38" i="1" s="1"/>
  <c r="AO54" i="1" a="1"/>
  <c r="AO54" i="1" s="1"/>
  <c r="AX54" i="1" s="1"/>
  <c r="AY54" i="1" s="1"/>
  <c r="AZ54" i="1" s="1"/>
  <c r="AO70" i="1" a="1"/>
  <c r="AO70" i="1" s="1"/>
  <c r="AX70" i="1" s="1"/>
  <c r="AY70" i="1" s="1"/>
  <c r="AZ70" i="1" s="1"/>
  <c r="AO86" i="1" a="1"/>
  <c r="AO86" i="1" s="1"/>
  <c r="AX86" i="1" s="1"/>
  <c r="AY86" i="1" s="1"/>
  <c r="AZ86" i="1" s="1"/>
  <c r="AO102" i="1" a="1"/>
  <c r="AO102" i="1" s="1"/>
  <c r="AX102" i="1" s="1"/>
  <c r="AY102" i="1" s="1"/>
  <c r="AZ102" i="1" s="1"/>
  <c r="AO118" i="1" a="1"/>
  <c r="AO118" i="1" s="1"/>
  <c r="AX118" i="1" s="1"/>
  <c r="AY118" i="1" s="1"/>
  <c r="AZ118" i="1" s="1"/>
  <c r="AO134" i="1" a="1"/>
  <c r="AO134" i="1" s="1"/>
  <c r="AX134" i="1" s="1"/>
  <c r="AY134" i="1" s="1"/>
  <c r="AZ134" i="1" s="1"/>
  <c r="AO150" i="1" a="1"/>
  <c r="AO150" i="1" s="1"/>
  <c r="AX150" i="1" s="1"/>
  <c r="AY150" i="1" s="1"/>
  <c r="AZ150" i="1" s="1"/>
  <c r="AO166" i="1" a="1"/>
  <c r="AO166" i="1" s="1"/>
  <c r="AX166" i="1" s="1"/>
  <c r="AY166" i="1" s="1"/>
  <c r="AZ166" i="1" s="1"/>
  <c r="AO182" i="1" a="1"/>
  <c r="AO182" i="1" s="1"/>
  <c r="AX182" i="1" s="1"/>
  <c r="AY182" i="1" s="1"/>
  <c r="AZ182" i="1" s="1"/>
  <c r="AO198" i="1" a="1"/>
  <c r="AO198" i="1" s="1"/>
  <c r="AX198" i="1" s="1"/>
  <c r="AY198" i="1" s="1"/>
  <c r="AZ198" i="1" s="1"/>
  <c r="AO214" i="1" a="1"/>
  <c r="AO214" i="1" s="1"/>
  <c r="AX214" i="1" s="1"/>
  <c r="AY214" i="1" s="1"/>
  <c r="AZ214" i="1" s="1"/>
  <c r="AO230" i="1" a="1"/>
  <c r="AO230" i="1" s="1"/>
  <c r="AX230" i="1" s="1"/>
  <c r="AY230" i="1" s="1"/>
  <c r="AZ230" i="1" s="1"/>
  <c r="AO246" i="1" a="1"/>
  <c r="AO246" i="1" s="1"/>
  <c r="AX246" i="1" s="1"/>
  <c r="AY246" i="1" s="1"/>
  <c r="AZ246" i="1" s="1"/>
  <c r="AX262" i="1"/>
  <c r="AY262" i="1" s="1"/>
  <c r="AZ262" i="1" s="1"/>
  <c r="AO278" i="1" a="1"/>
  <c r="AO278" i="1" s="1"/>
  <c r="AX278" i="1" s="1"/>
  <c r="AY278" i="1" s="1"/>
  <c r="AZ278" i="1" s="1"/>
  <c r="AO294" i="1" a="1"/>
  <c r="AO294" i="1" s="1"/>
  <c r="AX294" i="1" s="1"/>
  <c r="AY294" i="1" s="1"/>
  <c r="AZ294" i="1" s="1"/>
  <c r="AO310" i="1" a="1"/>
  <c r="AO310" i="1" s="1"/>
  <c r="AX310" i="1" s="1"/>
  <c r="AY310" i="1" s="1"/>
  <c r="AZ310" i="1" s="1"/>
  <c r="AO326" i="1" a="1"/>
  <c r="AO326" i="1" s="1"/>
  <c r="AX326" i="1" s="1"/>
  <c r="AY326" i="1" s="1"/>
  <c r="AZ326" i="1" s="1"/>
  <c r="AO342" i="1" a="1"/>
  <c r="AO342" i="1" s="1"/>
  <c r="AX342" i="1" s="1"/>
  <c r="AY342" i="1" s="1"/>
  <c r="AZ342" i="1" s="1"/>
  <c r="AO358" i="1" a="1"/>
  <c r="AO358" i="1" s="1"/>
  <c r="AX358" i="1" s="1"/>
  <c r="AY358" i="1" s="1"/>
  <c r="AZ358" i="1" s="1"/>
  <c r="AO374" i="1" a="1"/>
  <c r="AO374" i="1" s="1"/>
  <c r="AX374" i="1" s="1"/>
  <c r="AY374" i="1" s="1"/>
  <c r="AZ374" i="1" s="1"/>
  <c r="AO7" i="1" a="1"/>
  <c r="AO7" i="1" s="1"/>
  <c r="AX7" i="1" s="1"/>
  <c r="AY7" i="1" s="1"/>
  <c r="AZ7" i="1" s="1"/>
  <c r="AO23" i="1" a="1"/>
  <c r="AO23" i="1" s="1"/>
  <c r="AX23" i="1" s="1"/>
  <c r="AY23" i="1" s="1"/>
  <c r="AZ23" i="1" s="1"/>
  <c r="AO39" i="1" a="1"/>
  <c r="AO39" i="1" s="1"/>
  <c r="AX39" i="1" s="1"/>
  <c r="AY39" i="1" s="1"/>
  <c r="AZ39" i="1" s="1"/>
  <c r="AO55" i="1" a="1"/>
  <c r="AO55" i="1" s="1"/>
  <c r="AX55" i="1" s="1"/>
  <c r="AY55" i="1" s="1"/>
  <c r="AZ55" i="1" s="1"/>
  <c r="AO71" i="1" a="1"/>
  <c r="AO71" i="1" s="1"/>
  <c r="AX71" i="1" s="1"/>
  <c r="AY71" i="1" s="1"/>
  <c r="AZ71" i="1" s="1"/>
  <c r="AO87" i="1" a="1"/>
  <c r="AO87" i="1" s="1"/>
  <c r="AX87" i="1" s="1"/>
  <c r="AY87" i="1" s="1"/>
  <c r="AZ87" i="1" s="1"/>
  <c r="AO103" i="1" a="1"/>
  <c r="AO103" i="1" s="1"/>
  <c r="AX103" i="1" s="1"/>
  <c r="AY103" i="1" s="1"/>
  <c r="AZ103" i="1" s="1"/>
  <c r="AO119" i="1" a="1"/>
  <c r="AO119" i="1" s="1"/>
  <c r="AX119" i="1" s="1"/>
  <c r="AY119" i="1" s="1"/>
  <c r="AZ119" i="1" s="1"/>
  <c r="AO135" i="1" a="1"/>
  <c r="AO135" i="1" s="1"/>
  <c r="AX135" i="1" s="1"/>
  <c r="AY135" i="1" s="1"/>
  <c r="AZ135" i="1" s="1"/>
  <c r="AO151" i="1" a="1"/>
  <c r="AO151" i="1" s="1"/>
  <c r="AX151" i="1" s="1"/>
  <c r="AY151" i="1" s="1"/>
  <c r="AZ151" i="1" s="1"/>
  <c r="AO167" i="1" a="1"/>
  <c r="AO167" i="1" s="1"/>
  <c r="AX167" i="1" s="1"/>
  <c r="AY167" i="1" s="1"/>
  <c r="AZ167" i="1" s="1"/>
  <c r="AX183" i="1"/>
  <c r="AY183" i="1" s="1"/>
  <c r="AZ183" i="1" s="1"/>
  <c r="AO199" i="1" a="1"/>
  <c r="AO199" i="1" s="1"/>
  <c r="AX199" i="1" s="1"/>
  <c r="AY199" i="1" s="1"/>
  <c r="AZ199" i="1" s="1"/>
  <c r="AO215" i="1" a="1"/>
  <c r="AO215" i="1" s="1"/>
  <c r="AX215" i="1" s="1"/>
  <c r="AY215" i="1" s="1"/>
  <c r="AZ215" i="1" s="1"/>
  <c r="AO231" i="1" a="1"/>
  <c r="AO231" i="1" s="1"/>
  <c r="AX231" i="1" s="1"/>
  <c r="AY231" i="1" s="1"/>
  <c r="AZ231" i="1" s="1"/>
  <c r="AO247" i="1" a="1"/>
  <c r="AO247" i="1" s="1"/>
  <c r="AX247" i="1" s="1"/>
  <c r="AY247" i="1" s="1"/>
  <c r="AZ247" i="1" s="1"/>
  <c r="AO263" i="1" a="1"/>
  <c r="AO263" i="1" s="1"/>
  <c r="AX263" i="1" s="1"/>
  <c r="AY263" i="1" s="1"/>
  <c r="AZ263" i="1" s="1"/>
  <c r="AO279" i="1" a="1"/>
  <c r="AO279" i="1" s="1"/>
  <c r="AX279" i="1" s="1"/>
  <c r="AY279" i="1" s="1"/>
  <c r="AZ279" i="1" s="1"/>
  <c r="AO295" i="1" a="1"/>
  <c r="AO295" i="1" s="1"/>
  <c r="AX295" i="1" s="1"/>
  <c r="AY295" i="1" s="1"/>
  <c r="AZ295" i="1" s="1"/>
  <c r="AO311" i="1" a="1"/>
  <c r="AO311" i="1" s="1"/>
  <c r="AX311" i="1" s="1"/>
  <c r="AY311" i="1" s="1"/>
  <c r="AZ311" i="1" s="1"/>
  <c r="AO327" i="1" a="1"/>
  <c r="AO327" i="1" s="1"/>
  <c r="AX327" i="1" s="1"/>
  <c r="AY327" i="1" s="1"/>
  <c r="AZ327" i="1" s="1"/>
  <c r="AO351" i="1" a="1"/>
  <c r="AO351" i="1" s="1"/>
  <c r="AX351" i="1" s="1"/>
  <c r="AY351" i="1" s="1"/>
  <c r="AZ351" i="1" s="1"/>
  <c r="AO12" i="1" a="1"/>
  <c r="AO12" i="1" s="1"/>
  <c r="AX12" i="1" s="1"/>
  <c r="AY12" i="1" s="1"/>
  <c r="AZ12" i="1" s="1"/>
  <c r="AO10" i="1" a="1"/>
  <c r="AO10" i="1" s="1"/>
  <c r="AX10" i="1" s="1"/>
  <c r="AY10" i="1" s="1"/>
  <c r="AZ10" i="1" s="1"/>
  <c r="AO50" i="1" a="1"/>
  <c r="AO50" i="1" s="1"/>
  <c r="AX50" i="1" s="1"/>
  <c r="AY50" i="1" s="1"/>
  <c r="AZ50" i="1" s="1"/>
  <c r="AO82" i="1" a="1"/>
  <c r="AO82" i="1" s="1"/>
  <c r="AX82" i="1" s="1"/>
  <c r="AY82" i="1" s="1"/>
  <c r="AZ82" i="1" s="1"/>
  <c r="AO106" i="1" a="1"/>
  <c r="AO106" i="1" s="1"/>
  <c r="AX106" i="1" s="1"/>
  <c r="AY106" i="1" s="1"/>
  <c r="AZ106" i="1" s="1"/>
  <c r="AO122" i="1" a="1"/>
  <c r="AO122" i="1" s="1"/>
  <c r="AX122" i="1" s="1"/>
  <c r="AY122" i="1" s="1"/>
  <c r="AZ122" i="1" s="1"/>
  <c r="AO138" i="1" a="1"/>
  <c r="AO138" i="1" s="1"/>
  <c r="AX138" i="1" s="1"/>
  <c r="AY138" i="1" s="1"/>
  <c r="AZ138" i="1" s="1"/>
  <c r="AO154" i="1" a="1"/>
  <c r="AO154" i="1" s="1"/>
  <c r="AX154" i="1" s="1"/>
  <c r="AY154" i="1" s="1"/>
  <c r="AZ154" i="1" s="1"/>
  <c r="AO170" i="1" a="1"/>
  <c r="AO170" i="1" s="1"/>
  <c r="AX170" i="1" s="1"/>
  <c r="AY170" i="1" s="1"/>
  <c r="AZ170" i="1" s="1"/>
  <c r="AO186" i="1" a="1"/>
  <c r="AO186" i="1" s="1"/>
  <c r="AX186" i="1" s="1"/>
  <c r="AY186" i="1" s="1"/>
  <c r="AZ186" i="1" s="1"/>
  <c r="AO202" i="1" a="1"/>
  <c r="AO202" i="1" s="1"/>
  <c r="AX202" i="1" s="1"/>
  <c r="AY202" i="1" s="1"/>
  <c r="AZ202" i="1" s="1"/>
  <c r="AO218" i="1" a="1"/>
  <c r="AO218" i="1" s="1"/>
  <c r="AX218" i="1" s="1"/>
  <c r="AY218" i="1" s="1"/>
  <c r="AZ218" i="1" s="1"/>
  <c r="AO234" i="1" a="1"/>
  <c r="AO234" i="1" s="1"/>
  <c r="AX234" i="1" s="1"/>
  <c r="AY234" i="1" s="1"/>
  <c r="AZ234" i="1" s="1"/>
  <c r="AO250" i="1" a="1"/>
  <c r="AO250" i="1" s="1"/>
  <c r="AX250" i="1" s="1"/>
  <c r="AY250" i="1" s="1"/>
  <c r="AZ250" i="1" s="1"/>
  <c r="AO266" i="1" a="1"/>
  <c r="AO266" i="1" s="1"/>
  <c r="AX266" i="1" s="1"/>
  <c r="AY266" i="1" s="1"/>
  <c r="AZ266" i="1" s="1"/>
  <c r="AO282" i="1" a="1"/>
  <c r="AO282" i="1" s="1"/>
  <c r="AX282" i="1" s="1"/>
  <c r="AY282" i="1" s="1"/>
  <c r="AZ282" i="1" s="1"/>
  <c r="AO298" i="1" a="1"/>
  <c r="AO298" i="1" s="1"/>
  <c r="AX298" i="1" s="1"/>
  <c r="AY298" i="1" s="1"/>
  <c r="AZ298" i="1" s="1"/>
  <c r="AO314" i="1" a="1"/>
  <c r="AO314" i="1" s="1"/>
  <c r="AX314" i="1" s="1"/>
  <c r="AY314" i="1" s="1"/>
  <c r="AZ314" i="1" s="1"/>
  <c r="AO330" i="1" a="1"/>
  <c r="AO330" i="1" s="1"/>
  <c r="AX330" i="1" s="1"/>
  <c r="AY330" i="1" s="1"/>
  <c r="AZ330" i="1" s="1"/>
  <c r="AO346" i="1" a="1"/>
  <c r="AO346" i="1" s="1"/>
  <c r="AX346" i="1" s="1"/>
  <c r="AY346" i="1" s="1"/>
  <c r="AZ346" i="1" s="1"/>
  <c r="AO362" i="1" a="1"/>
  <c r="AO362" i="1" s="1"/>
  <c r="AX362" i="1" s="1"/>
  <c r="AY362" i="1" s="1"/>
  <c r="AZ362" i="1" s="1"/>
  <c r="AO368" i="1" a="1"/>
  <c r="AO368" i="1" s="1"/>
  <c r="AX368" i="1" s="1"/>
  <c r="AY368" i="1" s="1"/>
  <c r="AZ368" i="1" s="1"/>
  <c r="AO11" i="1" a="1"/>
  <c r="AO11" i="1" s="1"/>
  <c r="AX11" i="1" s="1"/>
  <c r="AY11" i="1" s="1"/>
  <c r="AZ11" i="1" s="1"/>
  <c r="AO27" i="1" a="1"/>
  <c r="AO27" i="1" s="1"/>
  <c r="AX27" i="1" s="1"/>
  <c r="AY27" i="1" s="1"/>
  <c r="AZ27" i="1" s="1"/>
  <c r="AO43" i="1" a="1"/>
  <c r="AO43" i="1" s="1"/>
  <c r="AX43" i="1" s="1"/>
  <c r="AY43" i="1" s="1"/>
  <c r="AZ43" i="1" s="1"/>
  <c r="AO59" i="1" a="1"/>
  <c r="AO59" i="1" s="1"/>
  <c r="AX59" i="1" s="1"/>
  <c r="AY59" i="1" s="1"/>
  <c r="AZ59" i="1" s="1"/>
  <c r="AO75" i="1" a="1"/>
  <c r="AO75" i="1" s="1"/>
  <c r="AX75" i="1" s="1"/>
  <c r="AY75" i="1" s="1"/>
  <c r="AZ75" i="1" s="1"/>
  <c r="AO91" i="1" a="1"/>
  <c r="AO91" i="1" s="1"/>
  <c r="AX91" i="1" s="1"/>
  <c r="AY91" i="1" s="1"/>
  <c r="AZ91" i="1" s="1"/>
  <c r="AO107" i="1" a="1"/>
  <c r="AO107" i="1" s="1"/>
  <c r="AX107" i="1" s="1"/>
  <c r="AY107" i="1" s="1"/>
  <c r="AZ107" i="1" s="1"/>
  <c r="AO123" i="1" a="1"/>
  <c r="AO123" i="1" s="1"/>
  <c r="AX123" i="1" s="1"/>
  <c r="AY123" i="1" s="1"/>
  <c r="AZ123" i="1" s="1"/>
  <c r="AO139" i="1" a="1"/>
  <c r="AO139" i="1" s="1"/>
  <c r="AX139" i="1" s="1"/>
  <c r="AY139" i="1" s="1"/>
  <c r="AZ139" i="1" s="1"/>
  <c r="AO155" i="1" a="1"/>
  <c r="AO155" i="1" s="1"/>
  <c r="AX155" i="1" s="1"/>
  <c r="AY155" i="1" s="1"/>
  <c r="AZ155" i="1" s="1"/>
  <c r="AO171" i="1" a="1"/>
  <c r="AO171" i="1" s="1"/>
  <c r="AX171" i="1" s="1"/>
  <c r="AY171" i="1" s="1"/>
  <c r="AZ171" i="1" s="1"/>
  <c r="AO179" i="1" a="1"/>
  <c r="AO179" i="1" s="1"/>
  <c r="AX179" i="1" s="1"/>
  <c r="AY179" i="1" s="1"/>
  <c r="AZ179" i="1" s="1"/>
  <c r="AO187" i="1" a="1"/>
  <c r="AO187" i="1" s="1"/>
  <c r="AX187" i="1" s="1"/>
  <c r="AY187" i="1" s="1"/>
  <c r="AZ187" i="1" s="1"/>
  <c r="AO195" i="1" a="1"/>
  <c r="AO195" i="1" s="1"/>
  <c r="AX195" i="1" s="1"/>
  <c r="AY195" i="1" s="1"/>
  <c r="AZ195" i="1" s="1"/>
  <c r="AO211" i="1" a="1"/>
  <c r="AO211" i="1" s="1"/>
  <c r="AX211" i="1" s="1"/>
  <c r="AY211" i="1" s="1"/>
  <c r="AZ211" i="1" s="1"/>
  <c r="AO219" i="1" a="1"/>
  <c r="AO219" i="1" s="1"/>
  <c r="AX219" i="1" s="1"/>
  <c r="AY219" i="1" s="1"/>
  <c r="AZ219" i="1" s="1"/>
  <c r="AO227" i="1" a="1"/>
  <c r="AO227" i="1" s="1"/>
  <c r="AX227" i="1" s="1"/>
  <c r="AY227" i="1" s="1"/>
  <c r="AZ227" i="1" s="1"/>
  <c r="AO235" i="1" a="1"/>
  <c r="AO235" i="1" s="1"/>
  <c r="AX235" i="1" s="1"/>
  <c r="AY235" i="1" s="1"/>
  <c r="AZ235" i="1" s="1"/>
  <c r="AO243" i="1" a="1"/>
  <c r="AO243" i="1" s="1"/>
  <c r="AX243" i="1" s="1"/>
  <c r="AY243" i="1" s="1"/>
  <c r="AZ243" i="1" s="1"/>
  <c r="AO251" i="1" a="1"/>
  <c r="AO251" i="1" s="1"/>
  <c r="AX251" i="1" s="1"/>
  <c r="AY251" i="1" s="1"/>
  <c r="AZ251" i="1" s="1"/>
  <c r="AO259" i="1" a="1"/>
  <c r="AO259" i="1" s="1"/>
  <c r="AX259" i="1" s="1"/>
  <c r="AY259" i="1" s="1"/>
  <c r="AZ259" i="1" s="1"/>
  <c r="AO267" i="1" a="1"/>
  <c r="AO267" i="1" s="1"/>
  <c r="AX267" i="1" s="1"/>
  <c r="AY267" i="1" s="1"/>
  <c r="AZ267" i="1" s="1"/>
  <c r="AO275" i="1" a="1"/>
  <c r="AO275" i="1" s="1"/>
  <c r="AX275" i="1" s="1"/>
  <c r="AY275" i="1" s="1"/>
  <c r="AZ275" i="1" s="1"/>
  <c r="AO283" i="1" a="1"/>
  <c r="AO283" i="1" s="1"/>
  <c r="AX283" i="1" s="1"/>
  <c r="AY283" i="1" s="1"/>
  <c r="AZ283" i="1" s="1"/>
  <c r="AO291" i="1" a="1"/>
  <c r="AO291" i="1" s="1"/>
  <c r="AX291" i="1" s="1"/>
  <c r="AY291" i="1" s="1"/>
  <c r="AZ291" i="1" s="1"/>
  <c r="AO299" i="1" a="1"/>
  <c r="AO299" i="1" s="1"/>
  <c r="AX299" i="1" s="1"/>
  <c r="AY299" i="1" s="1"/>
  <c r="AZ299" i="1" s="1"/>
  <c r="AO307" i="1" a="1"/>
  <c r="AO307" i="1" s="1"/>
  <c r="AX307" i="1" s="1"/>
  <c r="AY307" i="1" s="1"/>
  <c r="AZ307" i="1" s="1"/>
  <c r="AO315" i="1" a="1"/>
  <c r="AO315" i="1" s="1"/>
  <c r="AX315" i="1" s="1"/>
  <c r="AY315" i="1" s="1"/>
  <c r="AZ315" i="1" s="1"/>
  <c r="AO323" i="1" a="1"/>
  <c r="AO323" i="1" s="1"/>
  <c r="AX323" i="1" s="1"/>
  <c r="AY323" i="1" s="1"/>
  <c r="AZ323" i="1" s="1"/>
  <c r="AO331" i="1" a="1"/>
  <c r="AO331" i="1" s="1"/>
  <c r="AX331" i="1" s="1"/>
  <c r="AY331" i="1" s="1"/>
  <c r="AZ331" i="1" s="1"/>
  <c r="AO339" i="1" a="1"/>
  <c r="AO339" i="1" s="1"/>
  <c r="AX339" i="1" s="1"/>
  <c r="AY339" i="1" s="1"/>
  <c r="AZ339" i="1" s="1"/>
  <c r="AO347" i="1" a="1"/>
  <c r="AO347" i="1" s="1"/>
  <c r="AX347" i="1" s="1"/>
  <c r="AY347" i="1" s="1"/>
  <c r="AZ347" i="1" s="1"/>
  <c r="AO355" i="1" a="1"/>
  <c r="AO355" i="1" s="1"/>
  <c r="AX355" i="1" s="1"/>
  <c r="AY355" i="1" s="1"/>
  <c r="AZ355" i="1" s="1"/>
  <c r="AO363" i="1" a="1"/>
  <c r="AO363" i="1" s="1"/>
  <c r="AX363" i="1" s="1"/>
  <c r="AY363" i="1" s="1"/>
  <c r="AZ363" i="1" s="1"/>
  <c r="AO371" i="1" a="1"/>
  <c r="AO371" i="1" s="1"/>
  <c r="AX371" i="1" s="1"/>
  <c r="AY371" i="1" s="1"/>
  <c r="AZ371" i="1" s="1"/>
  <c r="AO376" i="1" a="1"/>
  <c r="AO376" i="1" s="1"/>
  <c r="AX376" i="1" s="1"/>
  <c r="AY376" i="1" s="1"/>
  <c r="AZ376" i="1" s="1"/>
  <c r="AO8" i="1" a="1"/>
  <c r="AO8" i="1" s="1"/>
  <c r="AX8" i="1" s="1"/>
  <c r="AY8" i="1" s="1"/>
  <c r="AZ8" i="1" s="1"/>
  <c r="AO16" i="1" a="1"/>
  <c r="AO16" i="1" s="1"/>
  <c r="AX16" i="1" s="1"/>
  <c r="AY16" i="1" s="1"/>
  <c r="AZ16" i="1" s="1"/>
  <c r="AO24" i="1" a="1"/>
  <c r="AO24" i="1" s="1"/>
  <c r="AX24" i="1" s="1"/>
  <c r="AY24" i="1" s="1"/>
  <c r="AZ24" i="1" s="1"/>
  <c r="AO32" i="1" a="1"/>
  <c r="AO32" i="1" s="1"/>
  <c r="AX32" i="1" s="1"/>
  <c r="AY32" i="1" s="1"/>
  <c r="AZ32" i="1" s="1"/>
  <c r="AO40" i="1" a="1"/>
  <c r="AO40" i="1" s="1"/>
  <c r="AX40" i="1" s="1"/>
  <c r="AY40" i="1" s="1"/>
  <c r="AZ40" i="1" s="1"/>
  <c r="AO48" i="1" a="1"/>
  <c r="AO48" i="1" s="1"/>
  <c r="AX48" i="1" s="1"/>
  <c r="AY48" i="1" s="1"/>
  <c r="AZ48" i="1" s="1"/>
  <c r="AO56" i="1" a="1"/>
  <c r="AO56" i="1" s="1"/>
  <c r="AX56" i="1" s="1"/>
  <c r="AY56" i="1" s="1"/>
  <c r="AZ56" i="1" s="1"/>
  <c r="AO64" i="1" a="1"/>
  <c r="AO64" i="1" s="1"/>
  <c r="AX64" i="1" s="1"/>
  <c r="AY64" i="1" s="1"/>
  <c r="AZ64" i="1" s="1"/>
  <c r="AO72" i="1" a="1"/>
  <c r="AO72" i="1" s="1"/>
  <c r="AX72" i="1" s="1"/>
  <c r="AY72" i="1" s="1"/>
  <c r="AZ72" i="1" s="1"/>
  <c r="AO80" i="1" a="1"/>
  <c r="AO80" i="1" s="1"/>
  <c r="AX80" i="1" s="1"/>
  <c r="AY80" i="1" s="1"/>
  <c r="AZ80" i="1" s="1"/>
  <c r="AO88" i="1" a="1"/>
  <c r="AO88" i="1" s="1"/>
  <c r="AX88" i="1" s="1"/>
  <c r="AY88" i="1" s="1"/>
  <c r="AZ88" i="1" s="1"/>
  <c r="AO96" i="1" a="1"/>
  <c r="AO96" i="1" s="1"/>
  <c r="AX96" i="1" s="1"/>
  <c r="AY96" i="1" s="1"/>
  <c r="AZ96" i="1" s="1"/>
  <c r="AO104" i="1" a="1"/>
  <c r="AO104" i="1" s="1"/>
  <c r="AX104" i="1" s="1"/>
  <c r="AY104" i="1" s="1"/>
  <c r="AZ104" i="1" s="1"/>
  <c r="AO112" i="1" a="1"/>
  <c r="AO112" i="1" s="1"/>
  <c r="AX112" i="1" s="1"/>
  <c r="AY112" i="1" s="1"/>
  <c r="AZ112" i="1" s="1"/>
  <c r="AO120" i="1" a="1"/>
  <c r="AO120" i="1" s="1"/>
  <c r="AX120" i="1" s="1"/>
  <c r="AY120" i="1" s="1"/>
  <c r="AZ120" i="1" s="1"/>
  <c r="AO128" i="1" a="1"/>
  <c r="AO128" i="1" s="1"/>
  <c r="AX128" i="1" s="1"/>
  <c r="AY128" i="1" s="1"/>
  <c r="AZ128" i="1" s="1"/>
  <c r="AO136" i="1" a="1"/>
  <c r="AO136" i="1" s="1"/>
  <c r="AX136" i="1" s="1"/>
  <c r="AY136" i="1" s="1"/>
  <c r="AZ136" i="1" s="1"/>
  <c r="AO144" i="1" a="1"/>
  <c r="AO144" i="1" s="1"/>
  <c r="AX144" i="1" s="1"/>
  <c r="AY144" i="1" s="1"/>
  <c r="AZ144" i="1" s="1"/>
  <c r="AO152" i="1" a="1"/>
  <c r="AO152" i="1" s="1"/>
  <c r="AX152" i="1" s="1"/>
  <c r="AY152" i="1" s="1"/>
  <c r="AZ152" i="1" s="1"/>
  <c r="AO160" i="1" a="1"/>
  <c r="AO160" i="1" s="1"/>
  <c r="AX160" i="1" s="1"/>
  <c r="AY160" i="1" s="1"/>
  <c r="AZ160" i="1" s="1"/>
  <c r="AO168" i="1" a="1"/>
  <c r="AO168" i="1" s="1"/>
  <c r="AX168" i="1" s="1"/>
  <c r="AY168" i="1" s="1"/>
  <c r="AZ168" i="1" s="1"/>
  <c r="AO176" i="1" a="1"/>
  <c r="AO176" i="1" s="1"/>
  <c r="AX176" i="1" s="1"/>
  <c r="AY176" i="1" s="1"/>
  <c r="AZ176" i="1" s="1"/>
  <c r="AO184" i="1" a="1"/>
  <c r="AO184" i="1" s="1"/>
  <c r="AX184" i="1" s="1"/>
  <c r="AY184" i="1" s="1"/>
  <c r="AZ184" i="1" s="1"/>
  <c r="AO192" i="1" a="1"/>
  <c r="AO192" i="1" s="1"/>
  <c r="AX192" i="1" s="1"/>
  <c r="AY192" i="1" s="1"/>
  <c r="AZ192" i="1" s="1"/>
  <c r="AO200" i="1" a="1"/>
  <c r="AO200" i="1" s="1"/>
  <c r="AX200" i="1" s="1"/>
  <c r="AY200" i="1" s="1"/>
  <c r="AZ200" i="1" s="1"/>
  <c r="AO208" i="1" a="1"/>
  <c r="AO208" i="1" s="1"/>
  <c r="AX208" i="1" s="1"/>
  <c r="AY208" i="1" s="1"/>
  <c r="AZ208" i="1" s="1"/>
  <c r="AO216" i="1" a="1"/>
  <c r="AO216" i="1" s="1"/>
  <c r="AX216" i="1" s="1"/>
  <c r="AY216" i="1" s="1"/>
  <c r="AZ216" i="1" s="1"/>
  <c r="AO224" i="1" a="1"/>
  <c r="AO224" i="1" s="1"/>
  <c r="AX224" i="1" s="1"/>
  <c r="AY224" i="1" s="1"/>
  <c r="AZ224" i="1" s="1"/>
  <c r="AO232" i="1" a="1"/>
  <c r="AO232" i="1" s="1"/>
  <c r="AX232" i="1" s="1"/>
  <c r="AY232" i="1" s="1"/>
  <c r="AZ232" i="1" s="1"/>
  <c r="AO240" i="1" a="1"/>
  <c r="AO240" i="1" s="1"/>
  <c r="AX240" i="1" s="1"/>
  <c r="AY240" i="1" s="1"/>
  <c r="AZ240" i="1" s="1"/>
  <c r="AO248" i="1" a="1"/>
  <c r="AO248" i="1" s="1"/>
  <c r="AX248" i="1" s="1"/>
  <c r="AY248" i="1" s="1"/>
  <c r="AZ248" i="1" s="1"/>
  <c r="AO256" i="1" a="1"/>
  <c r="AO256" i="1" s="1"/>
  <c r="AX256" i="1" s="1"/>
  <c r="AY256" i="1" s="1"/>
  <c r="AZ256" i="1" s="1"/>
  <c r="AO264" i="1" a="1"/>
  <c r="AO264" i="1" s="1"/>
  <c r="AX264" i="1" s="1"/>
  <c r="AY264" i="1" s="1"/>
  <c r="AZ264" i="1" s="1"/>
  <c r="AO272" i="1" a="1"/>
  <c r="AO272" i="1" s="1"/>
  <c r="AX272" i="1" s="1"/>
  <c r="AY272" i="1" s="1"/>
  <c r="AZ272" i="1" s="1"/>
  <c r="AO280" i="1" a="1"/>
  <c r="AO280" i="1" s="1"/>
  <c r="AX280" i="1" s="1"/>
  <c r="AY280" i="1" s="1"/>
  <c r="AZ280" i="1" s="1"/>
  <c r="AO288" i="1" a="1"/>
  <c r="AO288" i="1" s="1"/>
  <c r="AX288" i="1" s="1"/>
  <c r="AY288" i="1" s="1"/>
  <c r="AZ288" i="1" s="1"/>
  <c r="AO296" i="1" a="1"/>
  <c r="AO296" i="1" s="1"/>
  <c r="AX296" i="1" s="1"/>
  <c r="AY296" i="1" s="1"/>
  <c r="AZ296" i="1" s="1"/>
  <c r="AO304" i="1" a="1"/>
  <c r="AO304" i="1" s="1"/>
  <c r="AX304" i="1" s="1"/>
  <c r="AY304" i="1" s="1"/>
  <c r="AZ304" i="1" s="1"/>
  <c r="AO312" i="1" a="1"/>
  <c r="AO312" i="1" s="1"/>
  <c r="AX312" i="1" s="1"/>
  <c r="AY312" i="1" s="1"/>
  <c r="AZ312" i="1" s="1"/>
  <c r="AO320" i="1" a="1"/>
  <c r="AO320" i="1" s="1"/>
  <c r="AX320" i="1" s="1"/>
  <c r="AY320" i="1" s="1"/>
  <c r="AZ320" i="1" s="1"/>
  <c r="AO328" i="1" a="1"/>
  <c r="AO328" i="1" s="1"/>
  <c r="AX328" i="1" s="1"/>
  <c r="AY328" i="1" s="1"/>
  <c r="AZ328" i="1" s="1"/>
  <c r="AO336" i="1" a="1"/>
  <c r="AO336" i="1" s="1"/>
  <c r="AX336" i="1" s="1"/>
  <c r="AY336" i="1" s="1"/>
  <c r="AZ336" i="1" s="1"/>
  <c r="AO344" i="1" a="1"/>
  <c r="AO344" i="1" s="1"/>
  <c r="AX344" i="1" s="1"/>
  <c r="AY344" i="1" s="1"/>
  <c r="AZ344" i="1" s="1"/>
  <c r="AO352" i="1" a="1"/>
  <c r="AO352" i="1" s="1"/>
  <c r="AX352" i="1" s="1"/>
  <c r="AY352" i="1" s="1"/>
  <c r="AZ352" i="1" s="1"/>
  <c r="AO360" i="1" a="1"/>
  <c r="AO360" i="1" s="1"/>
  <c r="AX360" i="1" s="1"/>
  <c r="AY360" i="1" s="1"/>
  <c r="AZ360" i="1" s="1"/>
  <c r="AO372" i="1" a="1"/>
  <c r="AO372" i="1" s="1"/>
  <c r="AX372" i="1" s="1"/>
  <c r="AY372" i="1" s="1"/>
  <c r="AZ372" i="1" s="1"/>
  <c r="AO5" i="1" a="1"/>
  <c r="AO5" i="1" s="1"/>
  <c r="AX5" i="1" s="1"/>
  <c r="AY5" i="1" s="1"/>
  <c r="AZ5" i="1" s="1"/>
  <c r="AO13" i="1" a="1"/>
  <c r="AO13" i="1" s="1"/>
  <c r="AX13" i="1" s="1"/>
  <c r="AY13" i="1" s="1"/>
  <c r="AZ13" i="1" s="1"/>
  <c r="AO21" i="1" a="1"/>
  <c r="AO21" i="1" s="1"/>
  <c r="AX21" i="1" s="1"/>
  <c r="AY21" i="1" s="1"/>
  <c r="AZ21" i="1" s="1"/>
  <c r="AO29" i="1" a="1"/>
  <c r="AO29" i="1" s="1"/>
  <c r="AX29" i="1" s="1"/>
  <c r="AY29" i="1" s="1"/>
  <c r="AZ29" i="1" s="1"/>
  <c r="AO37" i="1" a="1"/>
  <c r="AO37" i="1" s="1"/>
  <c r="AX37" i="1" s="1"/>
  <c r="AY37" i="1" s="1"/>
  <c r="AZ37" i="1" s="1"/>
  <c r="AO45" i="1" a="1"/>
  <c r="AO45" i="1" s="1"/>
  <c r="AX45" i="1" s="1"/>
  <c r="AY45" i="1" s="1"/>
  <c r="AZ45" i="1" s="1"/>
  <c r="AO53" i="1" a="1"/>
  <c r="AO53" i="1" s="1"/>
  <c r="AX53" i="1" s="1"/>
  <c r="AY53" i="1" s="1"/>
  <c r="AZ53" i="1" s="1"/>
  <c r="AO61" i="1" a="1"/>
  <c r="AO61" i="1" s="1"/>
  <c r="AX61" i="1" s="1"/>
  <c r="AY61" i="1" s="1"/>
  <c r="AZ61" i="1" s="1"/>
  <c r="AO69" i="1" a="1"/>
  <c r="AO69" i="1" s="1"/>
  <c r="AX69" i="1" s="1"/>
  <c r="AY69" i="1" s="1"/>
  <c r="AZ69" i="1" s="1"/>
  <c r="AO77" i="1" a="1"/>
  <c r="AO77" i="1" s="1"/>
  <c r="AX77" i="1" s="1"/>
  <c r="AY77" i="1" s="1"/>
  <c r="AZ77" i="1" s="1"/>
  <c r="AO85" i="1" a="1"/>
  <c r="AO85" i="1" s="1"/>
  <c r="AX85" i="1" s="1"/>
  <c r="AY85" i="1" s="1"/>
  <c r="AZ85" i="1" s="1"/>
  <c r="AO93" i="1" a="1"/>
  <c r="AO93" i="1" s="1"/>
  <c r="AX93" i="1" s="1"/>
  <c r="AY93" i="1" s="1"/>
  <c r="AZ93" i="1" s="1"/>
  <c r="AO101" i="1" a="1"/>
  <c r="AO101" i="1" s="1"/>
  <c r="AX101" i="1" s="1"/>
  <c r="AY101" i="1" s="1"/>
  <c r="AZ101" i="1" s="1"/>
  <c r="AO109" i="1" a="1"/>
  <c r="AO109" i="1" s="1"/>
  <c r="AX109" i="1" s="1"/>
  <c r="AY109" i="1" s="1"/>
  <c r="AZ109" i="1" s="1"/>
  <c r="AO117" i="1" a="1"/>
  <c r="AO117" i="1" s="1"/>
  <c r="AX117" i="1" s="1"/>
  <c r="AY117" i="1" s="1"/>
  <c r="AZ117" i="1" s="1"/>
  <c r="AX125" i="1"/>
  <c r="AY125" i="1" s="1"/>
  <c r="AZ125" i="1" s="1"/>
  <c r="AO133" i="1" a="1"/>
  <c r="AO133" i="1" s="1"/>
  <c r="AX133" i="1" s="1"/>
  <c r="AY133" i="1" s="1"/>
  <c r="AZ133" i="1" s="1"/>
  <c r="AO141" i="1" a="1"/>
  <c r="AO141" i="1" s="1"/>
  <c r="AX141" i="1" s="1"/>
  <c r="AY141" i="1" s="1"/>
  <c r="AZ141" i="1" s="1"/>
  <c r="AO149" i="1" a="1"/>
  <c r="AO149" i="1" s="1"/>
  <c r="AX149" i="1" s="1"/>
  <c r="AY149" i="1" s="1"/>
  <c r="AZ149" i="1" s="1"/>
  <c r="AO157" i="1" a="1"/>
  <c r="AO157" i="1" s="1"/>
  <c r="AX157" i="1" s="1"/>
  <c r="AY157" i="1" s="1"/>
  <c r="AZ157" i="1" s="1"/>
  <c r="AO165" i="1" a="1"/>
  <c r="AO165" i="1" s="1"/>
  <c r="AX165" i="1" s="1"/>
  <c r="AY165" i="1" s="1"/>
  <c r="AZ165" i="1" s="1"/>
  <c r="AO173" i="1" a="1"/>
  <c r="AO173" i="1" s="1"/>
  <c r="AX173" i="1" s="1"/>
  <c r="AY173" i="1" s="1"/>
  <c r="AZ173" i="1" s="1"/>
  <c r="AO181" i="1" a="1"/>
  <c r="AO181" i="1" s="1"/>
  <c r="AX181" i="1" s="1"/>
  <c r="AY181" i="1" s="1"/>
  <c r="AZ181" i="1" s="1"/>
  <c r="AO189" i="1" a="1"/>
  <c r="AO189" i="1" s="1"/>
  <c r="AX189" i="1" s="1"/>
  <c r="AY189" i="1" s="1"/>
  <c r="AZ189" i="1" s="1"/>
  <c r="AO197" i="1" a="1"/>
  <c r="AO197" i="1" s="1"/>
  <c r="AX197" i="1" s="1"/>
  <c r="AY197" i="1" s="1"/>
  <c r="AZ197" i="1" s="1"/>
  <c r="AO205" i="1" a="1"/>
  <c r="AO205" i="1" s="1"/>
  <c r="AX205" i="1" s="1"/>
  <c r="AY205" i="1" s="1"/>
  <c r="AZ205" i="1" s="1"/>
  <c r="AO213" i="1" a="1"/>
  <c r="AO213" i="1" s="1"/>
  <c r="AX213" i="1" s="1"/>
  <c r="AY213" i="1" s="1"/>
  <c r="AZ213" i="1" s="1"/>
  <c r="AO221" i="1" a="1"/>
  <c r="AO221" i="1" s="1"/>
  <c r="AX221" i="1" s="1"/>
  <c r="AY221" i="1" s="1"/>
  <c r="AZ221" i="1" s="1"/>
  <c r="AO229" i="1" a="1"/>
  <c r="AO229" i="1" s="1"/>
  <c r="AX229" i="1" s="1"/>
  <c r="AY229" i="1" s="1"/>
  <c r="AZ229" i="1" s="1"/>
  <c r="AO237" i="1" a="1"/>
  <c r="AO237" i="1" s="1"/>
  <c r="AX237" i="1" s="1"/>
  <c r="AY237" i="1" s="1"/>
  <c r="AZ237" i="1" s="1"/>
  <c r="AO245" i="1" a="1"/>
  <c r="AO245" i="1" s="1"/>
  <c r="AX245" i="1" s="1"/>
  <c r="AY245" i="1" s="1"/>
  <c r="AZ245" i="1" s="1"/>
  <c r="AO253" i="1" a="1"/>
  <c r="AO253" i="1" s="1"/>
  <c r="AX253" i="1" s="1"/>
  <c r="AY253" i="1" s="1"/>
  <c r="AZ253" i="1" s="1"/>
  <c r="AX261" i="1"/>
  <c r="AY261" i="1" s="1"/>
  <c r="AZ261" i="1" s="1"/>
  <c r="AO269" i="1" a="1"/>
  <c r="AO269" i="1" s="1"/>
  <c r="AX269" i="1" s="1"/>
  <c r="AY269" i="1" s="1"/>
  <c r="AZ269" i="1" s="1"/>
  <c r="AO277" i="1" a="1"/>
  <c r="AO277" i="1" s="1"/>
  <c r="AX277" i="1" s="1"/>
  <c r="AY277" i="1" s="1"/>
  <c r="AZ277" i="1" s="1"/>
  <c r="AO285" i="1" a="1"/>
  <c r="AO285" i="1" s="1"/>
  <c r="AX285" i="1" s="1"/>
  <c r="AY285" i="1" s="1"/>
  <c r="AZ285" i="1" s="1"/>
  <c r="AO293" i="1" a="1"/>
  <c r="AO293" i="1" s="1"/>
  <c r="AX293" i="1" s="1"/>
  <c r="AY293" i="1" s="1"/>
  <c r="AZ293" i="1" s="1"/>
  <c r="AO301" i="1" a="1"/>
  <c r="AO301" i="1" s="1"/>
  <c r="AX301" i="1" s="1"/>
  <c r="AY301" i="1" s="1"/>
  <c r="AZ301" i="1" s="1"/>
  <c r="AO309" i="1" a="1"/>
  <c r="AO309" i="1" s="1"/>
  <c r="AX309" i="1" s="1"/>
  <c r="AY309" i="1" s="1"/>
  <c r="AZ309" i="1" s="1"/>
  <c r="AO317" i="1" a="1"/>
  <c r="AO317" i="1" s="1"/>
  <c r="AX317" i="1" s="1"/>
  <c r="AY317" i="1" s="1"/>
  <c r="AZ317" i="1" s="1"/>
  <c r="AO325" i="1" a="1"/>
  <c r="AO325" i="1" s="1"/>
  <c r="AX325" i="1" s="1"/>
  <c r="AY325" i="1" s="1"/>
  <c r="AZ325" i="1" s="1"/>
  <c r="AO333" i="1" a="1"/>
  <c r="AO333" i="1" s="1"/>
  <c r="AX333" i="1" s="1"/>
  <c r="AY333" i="1" s="1"/>
  <c r="AZ333" i="1" s="1"/>
  <c r="AO341" i="1" a="1"/>
  <c r="AO341" i="1" s="1"/>
  <c r="AX341" i="1" s="1"/>
  <c r="AY341" i="1" s="1"/>
  <c r="AZ341" i="1" s="1"/>
  <c r="AO349" i="1" a="1"/>
  <c r="AO349" i="1" s="1"/>
  <c r="AX349" i="1" s="1"/>
  <c r="AY349" i="1" s="1"/>
  <c r="AZ349" i="1" s="1"/>
  <c r="AO357" i="1" a="1"/>
  <c r="AO357" i="1" s="1"/>
  <c r="AX357" i="1" s="1"/>
  <c r="AY357" i="1" s="1"/>
  <c r="AZ357" i="1" s="1"/>
  <c r="AO365" i="1" a="1"/>
  <c r="AO365" i="1" s="1"/>
  <c r="AX365" i="1" s="1"/>
  <c r="AY365" i="1" s="1"/>
  <c r="AZ365" i="1" s="1"/>
  <c r="AO26" i="1" a="1"/>
  <c r="AO26" i="1" s="1"/>
  <c r="AX26" i="1" s="1"/>
  <c r="AY26" i="1" s="1"/>
  <c r="AZ26" i="1" s="1"/>
  <c r="AO58" i="1" a="1"/>
  <c r="AO58" i="1" s="1"/>
  <c r="AX58" i="1" s="1"/>
  <c r="AY58" i="1" s="1"/>
  <c r="AZ58" i="1" s="1"/>
  <c r="AO90" i="1" a="1"/>
  <c r="AO90" i="1" s="1"/>
  <c r="AX90" i="1" s="1"/>
  <c r="AY90" i="1" s="1"/>
  <c r="AZ90" i="1" s="1"/>
  <c r="AO114" i="1" a="1"/>
  <c r="AO114" i="1" s="1"/>
  <c r="AX114" i="1" s="1"/>
  <c r="AY114" i="1" s="1"/>
  <c r="AZ114" i="1" s="1"/>
  <c r="AO130" i="1" a="1"/>
  <c r="AO130" i="1" s="1"/>
  <c r="AX130" i="1" s="1"/>
  <c r="AY130" i="1" s="1"/>
  <c r="AZ130" i="1" s="1"/>
  <c r="AO146" i="1" a="1"/>
  <c r="AO146" i="1" s="1"/>
  <c r="AX146" i="1" s="1"/>
  <c r="AY146" i="1" s="1"/>
  <c r="AZ146" i="1" s="1"/>
  <c r="AO162" i="1" a="1"/>
  <c r="AO162" i="1" s="1"/>
  <c r="AX162" i="1" s="1"/>
  <c r="AY162" i="1" s="1"/>
  <c r="AZ162" i="1" s="1"/>
  <c r="AO178" i="1" a="1"/>
  <c r="AO178" i="1" s="1"/>
  <c r="AX178" i="1" s="1"/>
  <c r="AY178" i="1" s="1"/>
  <c r="AZ178" i="1" s="1"/>
  <c r="AO194" i="1" a="1"/>
  <c r="AO194" i="1" s="1"/>
  <c r="AX194" i="1" s="1"/>
  <c r="AY194" i="1" s="1"/>
  <c r="AZ194" i="1" s="1"/>
  <c r="AO210" i="1" a="1"/>
  <c r="AO210" i="1" s="1"/>
  <c r="AX210" i="1" s="1"/>
  <c r="AY210" i="1" s="1"/>
  <c r="AZ210" i="1" s="1"/>
  <c r="AO226" i="1" a="1"/>
  <c r="AO226" i="1" s="1"/>
  <c r="AX226" i="1" s="1"/>
  <c r="AY226" i="1" s="1"/>
  <c r="AZ226" i="1" s="1"/>
  <c r="AO242" i="1" a="1"/>
  <c r="AO242" i="1" s="1"/>
  <c r="AX242" i="1" s="1"/>
  <c r="AY242" i="1" s="1"/>
  <c r="AZ242" i="1" s="1"/>
  <c r="AO258" i="1" a="1"/>
  <c r="AO258" i="1" s="1"/>
  <c r="AX258" i="1" s="1"/>
  <c r="AY258" i="1" s="1"/>
  <c r="AZ258" i="1" s="1"/>
  <c r="AO274" i="1" a="1"/>
  <c r="AO274" i="1" s="1"/>
  <c r="AX274" i="1" s="1"/>
  <c r="AY274" i="1" s="1"/>
  <c r="AZ274" i="1" s="1"/>
  <c r="AO290" i="1" a="1"/>
  <c r="AO290" i="1" s="1"/>
  <c r="AX290" i="1" s="1"/>
  <c r="AY290" i="1" s="1"/>
  <c r="AZ290" i="1" s="1"/>
  <c r="AO306" i="1" a="1"/>
  <c r="AO306" i="1" s="1"/>
  <c r="AX306" i="1" s="1"/>
  <c r="AY306" i="1" s="1"/>
  <c r="AZ306" i="1" s="1"/>
  <c r="AO322" i="1" a="1"/>
  <c r="AO322" i="1" s="1"/>
  <c r="AX322" i="1" s="1"/>
  <c r="AY322" i="1" s="1"/>
  <c r="AZ322" i="1" s="1"/>
  <c r="AO338" i="1" a="1"/>
  <c r="AO338" i="1" s="1"/>
  <c r="AX338" i="1" s="1"/>
  <c r="AY338" i="1" s="1"/>
  <c r="AZ338" i="1" s="1"/>
  <c r="AO354" i="1" a="1"/>
  <c r="AO354" i="1" s="1"/>
  <c r="AX354" i="1" s="1"/>
  <c r="AY354" i="1" s="1"/>
  <c r="AZ354" i="1" s="1"/>
  <c r="AO370" i="1" a="1"/>
  <c r="AO370" i="1" s="1"/>
  <c r="AX370" i="1" s="1"/>
  <c r="AY370" i="1" s="1"/>
  <c r="AZ370" i="1" s="1"/>
  <c r="AX3" i="1"/>
  <c r="AY3" i="1" s="1"/>
  <c r="AZ3" i="1" s="1"/>
  <c r="AO19" i="1" a="1"/>
  <c r="AO19" i="1" s="1"/>
  <c r="AX19" i="1" s="1"/>
  <c r="AY19" i="1" s="1"/>
  <c r="AZ19" i="1" s="1"/>
  <c r="AO35" i="1" a="1"/>
  <c r="AO35" i="1" s="1"/>
  <c r="AX35" i="1" s="1"/>
  <c r="AY35" i="1" s="1"/>
  <c r="AZ35" i="1" s="1"/>
  <c r="AO51" i="1" a="1"/>
  <c r="AO51" i="1" s="1"/>
  <c r="AX51" i="1" s="1"/>
  <c r="AY51" i="1" s="1"/>
  <c r="AZ51" i="1" s="1"/>
  <c r="AO67" i="1" a="1"/>
  <c r="AO67" i="1" s="1"/>
  <c r="AX67" i="1" s="1"/>
  <c r="AY67" i="1" s="1"/>
  <c r="AZ67" i="1" s="1"/>
  <c r="AO83" i="1" a="1"/>
  <c r="AO83" i="1" s="1"/>
  <c r="AX83" i="1" s="1"/>
  <c r="AY83" i="1" s="1"/>
  <c r="AZ83" i="1" s="1"/>
  <c r="AO99" i="1" a="1"/>
  <c r="AO99" i="1" s="1"/>
  <c r="AX99" i="1" s="1"/>
  <c r="AY99" i="1" s="1"/>
  <c r="AZ99" i="1" s="1"/>
  <c r="AO115" i="1" a="1"/>
  <c r="AO115" i="1" s="1"/>
  <c r="AX115" i="1" s="1"/>
  <c r="AY115" i="1" s="1"/>
  <c r="AZ115" i="1" s="1"/>
  <c r="AO131" i="1" a="1"/>
  <c r="AO131" i="1" s="1"/>
  <c r="AX131" i="1" s="1"/>
  <c r="AY131" i="1" s="1"/>
  <c r="AZ131" i="1" s="1"/>
  <c r="AO147" i="1" a="1"/>
  <c r="AO147" i="1" s="1"/>
  <c r="AX147" i="1" s="1"/>
  <c r="AY147" i="1" s="1"/>
  <c r="AZ147" i="1" s="1"/>
  <c r="AO163" i="1" a="1"/>
  <c r="AO163" i="1" s="1"/>
  <c r="AX163" i="1" s="1"/>
  <c r="AY163" i="1" s="1"/>
  <c r="AZ163" i="1" s="1"/>
  <c r="AO203" i="1" a="1"/>
  <c r="AO203" i="1" s="1"/>
  <c r="AX203" i="1" s="1"/>
  <c r="AY203" i="1" s="1"/>
  <c r="AZ203" i="1" s="1"/>
  <c r="AO34" i="1" a="1"/>
  <c r="AO34" i="1" s="1"/>
  <c r="AX34" i="1" s="1"/>
  <c r="AY34" i="1" s="1"/>
  <c r="AZ34" i="1" s="1"/>
  <c r="AO66" i="1" a="1"/>
  <c r="AO66" i="1" s="1"/>
  <c r="AX66" i="1" s="1"/>
  <c r="AY66" i="1" s="1"/>
  <c r="AZ66" i="1" s="1"/>
  <c r="AO98" i="1" a="1"/>
  <c r="AO98" i="1" s="1"/>
  <c r="AX98" i="1" s="1"/>
  <c r="AY98" i="1" s="1"/>
  <c r="AZ98" i="1" s="1"/>
  <c r="AO14" i="1" a="1"/>
  <c r="AO14" i="1" s="1"/>
  <c r="AX14" i="1" s="1"/>
  <c r="AY14" i="1" s="1"/>
  <c r="AZ14" i="1" s="1"/>
  <c r="AO30" i="1" a="1"/>
  <c r="AO30" i="1" s="1"/>
  <c r="AX30" i="1" s="1"/>
  <c r="AY30" i="1" s="1"/>
  <c r="AZ30" i="1" s="1"/>
  <c r="AO46" i="1" a="1"/>
  <c r="AO46" i="1" s="1"/>
  <c r="AX46" i="1" s="1"/>
  <c r="AY46" i="1" s="1"/>
  <c r="AZ46" i="1" s="1"/>
  <c r="AO62" i="1" a="1"/>
  <c r="AO62" i="1" s="1"/>
  <c r="AX62" i="1" s="1"/>
  <c r="AY62" i="1" s="1"/>
  <c r="AZ62" i="1" s="1"/>
  <c r="AO78" i="1" a="1"/>
  <c r="AO78" i="1" s="1"/>
  <c r="AX78" i="1" s="1"/>
  <c r="AY78" i="1" s="1"/>
  <c r="AZ78" i="1" s="1"/>
  <c r="AO94" i="1" a="1"/>
  <c r="AO94" i="1" s="1"/>
  <c r="AX94" i="1" s="1"/>
  <c r="AY94" i="1" s="1"/>
  <c r="AZ94" i="1" s="1"/>
  <c r="AO110" i="1" a="1"/>
  <c r="AO110" i="1" s="1"/>
  <c r="AX110" i="1" s="1"/>
  <c r="AY110" i="1" s="1"/>
  <c r="AZ110" i="1" s="1"/>
  <c r="AO126" i="1" a="1"/>
  <c r="AO126" i="1" s="1"/>
  <c r="AX126" i="1" s="1"/>
  <c r="AY126" i="1" s="1"/>
  <c r="AZ126" i="1" s="1"/>
  <c r="AO142" i="1" a="1"/>
  <c r="AO142" i="1" s="1"/>
  <c r="AX142" i="1" s="1"/>
  <c r="AY142" i="1" s="1"/>
  <c r="AZ142" i="1" s="1"/>
  <c r="AO158" i="1" a="1"/>
  <c r="AO158" i="1" s="1"/>
  <c r="AX158" i="1" s="1"/>
  <c r="AY158" i="1" s="1"/>
  <c r="AZ158" i="1" s="1"/>
  <c r="AO174" i="1" a="1"/>
  <c r="AO174" i="1" s="1"/>
  <c r="AX174" i="1" s="1"/>
  <c r="AY174" i="1" s="1"/>
  <c r="AZ174" i="1" s="1"/>
  <c r="AO190" i="1" a="1"/>
  <c r="AO190" i="1" s="1"/>
  <c r="AX190" i="1" s="1"/>
  <c r="AY190" i="1" s="1"/>
  <c r="AZ190" i="1" s="1"/>
  <c r="AO206" i="1" a="1"/>
  <c r="AO206" i="1" s="1"/>
  <c r="AX206" i="1" s="1"/>
  <c r="AY206" i="1" s="1"/>
  <c r="AZ206" i="1" s="1"/>
  <c r="AO222" i="1" a="1"/>
  <c r="AO222" i="1" s="1"/>
  <c r="AX222" i="1" s="1"/>
  <c r="AY222" i="1" s="1"/>
  <c r="AZ222" i="1" s="1"/>
  <c r="AO238" i="1" a="1"/>
  <c r="AO238" i="1" s="1"/>
  <c r="AX238" i="1" s="1"/>
  <c r="AY238" i="1" s="1"/>
  <c r="AZ238" i="1" s="1"/>
  <c r="AO254" i="1" a="1"/>
  <c r="AO254" i="1" s="1"/>
  <c r="AX254" i="1" s="1"/>
  <c r="AY254" i="1" s="1"/>
  <c r="AZ254" i="1" s="1"/>
  <c r="AO270" i="1" a="1"/>
  <c r="AO270" i="1" s="1"/>
  <c r="AX270" i="1" s="1"/>
  <c r="AY270" i="1" s="1"/>
  <c r="AZ270" i="1" s="1"/>
  <c r="AO286" i="1" a="1"/>
  <c r="AO286" i="1" s="1"/>
  <c r="AX286" i="1" s="1"/>
  <c r="AY286" i="1" s="1"/>
  <c r="AZ286" i="1" s="1"/>
  <c r="AO302" i="1" a="1"/>
  <c r="AO302" i="1" s="1"/>
  <c r="AX302" i="1" s="1"/>
  <c r="AY302" i="1" s="1"/>
  <c r="AZ302" i="1" s="1"/>
  <c r="AO318" i="1" a="1"/>
  <c r="AO318" i="1" s="1"/>
  <c r="AX318" i="1" s="1"/>
  <c r="AY318" i="1" s="1"/>
  <c r="AZ318" i="1" s="1"/>
  <c r="AO334" i="1" a="1"/>
  <c r="AO334" i="1" s="1"/>
  <c r="AX334" i="1" s="1"/>
  <c r="AY334" i="1" s="1"/>
  <c r="AZ334" i="1" s="1"/>
  <c r="AO350" i="1" a="1"/>
  <c r="AO350" i="1" s="1"/>
  <c r="AX350" i="1" s="1"/>
  <c r="AY350" i="1" s="1"/>
  <c r="AZ350" i="1" s="1"/>
  <c r="AO366" i="1" a="1"/>
  <c r="AO366" i="1" s="1"/>
  <c r="AX366" i="1" s="1"/>
  <c r="AY366" i="1" s="1"/>
  <c r="AZ366" i="1" s="1"/>
  <c r="AO373" i="1" a="1"/>
  <c r="AO373" i="1" s="1"/>
  <c r="AX373" i="1" s="1"/>
  <c r="AY373" i="1" s="1"/>
  <c r="AZ373" i="1" s="1"/>
  <c r="AO15" i="1" a="1"/>
  <c r="AO15" i="1" s="1"/>
  <c r="AX15" i="1" s="1"/>
  <c r="AY15" i="1" s="1"/>
  <c r="AZ15" i="1" s="1"/>
  <c r="AO31" i="1" a="1"/>
  <c r="AO31" i="1" s="1"/>
  <c r="AX31" i="1" s="1"/>
  <c r="AY31" i="1" s="1"/>
  <c r="AZ31" i="1" s="1"/>
  <c r="AO47" i="1" a="1"/>
  <c r="AO47" i="1" s="1"/>
  <c r="AX47" i="1" s="1"/>
  <c r="AY47" i="1" s="1"/>
  <c r="AZ47" i="1" s="1"/>
  <c r="AO63" i="1" a="1"/>
  <c r="AO63" i="1" s="1"/>
  <c r="AX63" i="1" s="1"/>
  <c r="AY63" i="1" s="1"/>
  <c r="AZ63" i="1" s="1"/>
  <c r="AO79" i="1" a="1"/>
  <c r="AO79" i="1" s="1"/>
  <c r="AX79" i="1" s="1"/>
  <c r="AY79" i="1" s="1"/>
  <c r="AZ79" i="1" s="1"/>
  <c r="AO95" i="1" a="1"/>
  <c r="AO95" i="1" s="1"/>
  <c r="AX95" i="1" s="1"/>
  <c r="AY95" i="1" s="1"/>
  <c r="AZ95" i="1" s="1"/>
  <c r="AO111" i="1" a="1"/>
  <c r="AO111" i="1" s="1"/>
  <c r="AX111" i="1" s="1"/>
  <c r="AY111" i="1" s="1"/>
  <c r="AZ111" i="1" s="1"/>
  <c r="AO127" i="1" a="1"/>
  <c r="AO127" i="1" s="1"/>
  <c r="AX127" i="1" s="1"/>
  <c r="AY127" i="1" s="1"/>
  <c r="AZ127" i="1" s="1"/>
  <c r="AO143" i="1" a="1"/>
  <c r="AO143" i="1" s="1"/>
  <c r="AX143" i="1" s="1"/>
  <c r="AY143" i="1" s="1"/>
  <c r="AZ143" i="1" s="1"/>
  <c r="AO159" i="1" a="1"/>
  <c r="AO159" i="1" s="1"/>
  <c r="AX159" i="1" s="1"/>
  <c r="AY159" i="1" s="1"/>
  <c r="AZ159" i="1" s="1"/>
  <c r="AO175" i="1" a="1"/>
  <c r="AO175" i="1" s="1"/>
  <c r="AX175" i="1" s="1"/>
  <c r="AY175" i="1" s="1"/>
  <c r="AZ175" i="1" s="1"/>
  <c r="AO191" i="1" a="1"/>
  <c r="AO191" i="1" s="1"/>
  <c r="AX191" i="1" s="1"/>
  <c r="AY191" i="1" s="1"/>
  <c r="AZ191" i="1" s="1"/>
  <c r="AO207" i="1" a="1"/>
  <c r="AO207" i="1" s="1"/>
  <c r="AX207" i="1" s="1"/>
  <c r="AY207" i="1" s="1"/>
  <c r="AZ207" i="1" s="1"/>
  <c r="AO223" i="1" a="1"/>
  <c r="AO223" i="1" s="1"/>
  <c r="AX223" i="1" s="1"/>
  <c r="AY223" i="1" s="1"/>
  <c r="AZ223" i="1" s="1"/>
  <c r="AO239" i="1" a="1"/>
  <c r="AO239" i="1" s="1"/>
  <c r="AX239" i="1" s="1"/>
  <c r="AY239" i="1" s="1"/>
  <c r="AZ239" i="1" s="1"/>
  <c r="AO255" i="1" a="1"/>
  <c r="AO255" i="1" s="1"/>
  <c r="AX255" i="1" s="1"/>
  <c r="AY255" i="1" s="1"/>
  <c r="AZ255" i="1" s="1"/>
  <c r="AO271" i="1" a="1"/>
  <c r="AO271" i="1" s="1"/>
  <c r="AX271" i="1" s="1"/>
  <c r="AY271" i="1" s="1"/>
  <c r="AZ271" i="1" s="1"/>
  <c r="AO287" i="1" a="1"/>
  <c r="AO287" i="1" s="1"/>
  <c r="AX287" i="1" s="1"/>
  <c r="AY287" i="1" s="1"/>
  <c r="AZ287" i="1" s="1"/>
  <c r="AO303" i="1" a="1"/>
  <c r="AO303" i="1" s="1"/>
  <c r="AX303" i="1" s="1"/>
  <c r="AY303" i="1" s="1"/>
  <c r="AZ303" i="1" s="1"/>
  <c r="AO319" i="1" a="1"/>
  <c r="AO319" i="1" s="1"/>
  <c r="AX319" i="1" s="1"/>
  <c r="AY319" i="1" s="1"/>
  <c r="AZ319" i="1" s="1"/>
  <c r="A36" i="2" s="1"/>
  <c r="AO335" i="1" a="1"/>
  <c r="AO335" i="1" s="1"/>
  <c r="AX335" i="1" s="1"/>
  <c r="AY335" i="1" s="1"/>
  <c r="AZ335" i="1" s="1"/>
  <c r="AO343" i="1" a="1"/>
  <c r="AO343" i="1" s="1"/>
  <c r="AX343" i="1" s="1"/>
  <c r="AY343" i="1" s="1"/>
  <c r="AZ343" i="1" s="1"/>
  <c r="AO359" i="1" a="1"/>
  <c r="AO359" i="1" s="1"/>
  <c r="AX359" i="1" s="1"/>
  <c r="AY359" i="1" s="1"/>
  <c r="AZ359" i="1" s="1"/>
  <c r="AO367" i="1" a="1"/>
  <c r="AO367" i="1" s="1"/>
  <c r="AX367" i="1" s="1"/>
  <c r="AY367" i="1" s="1"/>
  <c r="AZ367" i="1" s="1"/>
  <c r="AO375" i="1" a="1"/>
  <c r="AO375" i="1" s="1"/>
  <c r="AX375" i="1" s="1"/>
  <c r="AY375" i="1" s="1"/>
  <c r="AZ375" i="1" s="1"/>
  <c r="AO4" i="1" a="1"/>
  <c r="AO4" i="1" s="1"/>
  <c r="AX4" i="1" s="1"/>
  <c r="AY4" i="1" s="1"/>
  <c r="AZ4" i="1" s="1"/>
  <c r="AO20" i="1" a="1"/>
  <c r="AO20" i="1" s="1"/>
  <c r="AX20" i="1" s="1"/>
  <c r="AY20" i="1" s="1"/>
  <c r="AZ20" i="1" s="1"/>
  <c r="AO28" i="1" a="1"/>
  <c r="AO28" i="1" s="1"/>
  <c r="AX28" i="1" s="1"/>
  <c r="AY28" i="1" s="1"/>
  <c r="AZ28" i="1" s="1"/>
  <c r="AO36" i="1" a="1"/>
  <c r="AO36" i="1" s="1"/>
  <c r="AX36" i="1" s="1"/>
  <c r="AY36" i="1" s="1"/>
  <c r="AZ36" i="1" s="1"/>
  <c r="AO44" i="1" a="1"/>
  <c r="AO44" i="1" s="1"/>
  <c r="AX44" i="1" s="1"/>
  <c r="AY44" i="1" s="1"/>
  <c r="AZ44" i="1" s="1"/>
  <c r="AO52" i="1" a="1"/>
  <c r="AO52" i="1" s="1"/>
  <c r="AX52" i="1" s="1"/>
  <c r="AY52" i="1" s="1"/>
  <c r="AZ52" i="1" s="1"/>
  <c r="AO60" i="1" a="1"/>
  <c r="AO60" i="1" s="1"/>
  <c r="AX60" i="1" s="1"/>
  <c r="AY60" i="1" s="1"/>
  <c r="AZ60" i="1" s="1"/>
  <c r="AO68" i="1" a="1"/>
  <c r="AO68" i="1" s="1"/>
  <c r="AX68" i="1" s="1"/>
  <c r="AY68" i="1" s="1"/>
  <c r="AZ68" i="1" s="1"/>
  <c r="AO76" i="1" a="1"/>
  <c r="AO76" i="1" s="1"/>
  <c r="AX76" i="1" s="1"/>
  <c r="AY76" i="1" s="1"/>
  <c r="AZ76" i="1" s="1"/>
  <c r="AO84" i="1" a="1"/>
  <c r="AO84" i="1" s="1"/>
  <c r="AX84" i="1" s="1"/>
  <c r="AY84" i="1" s="1"/>
  <c r="AZ84" i="1" s="1"/>
  <c r="AO92" i="1" a="1"/>
  <c r="AO92" i="1" s="1"/>
  <c r="AX92" i="1" s="1"/>
  <c r="AY92" i="1" s="1"/>
  <c r="AZ92" i="1" s="1"/>
  <c r="AO100" i="1" a="1"/>
  <c r="AO100" i="1" s="1"/>
  <c r="AX100" i="1" s="1"/>
  <c r="AY100" i="1" s="1"/>
  <c r="AZ100" i="1" s="1"/>
  <c r="AO108" i="1" a="1"/>
  <c r="AO108" i="1" s="1"/>
  <c r="AX108" i="1" s="1"/>
  <c r="AY108" i="1" s="1"/>
  <c r="AZ108" i="1" s="1"/>
  <c r="AO116" i="1" a="1"/>
  <c r="AO116" i="1" s="1"/>
  <c r="AX116" i="1" s="1"/>
  <c r="AY116" i="1" s="1"/>
  <c r="AZ116" i="1" s="1"/>
  <c r="AO124" i="1" a="1"/>
  <c r="AO124" i="1" s="1"/>
  <c r="AX124" i="1" s="1"/>
  <c r="AY124" i="1" s="1"/>
  <c r="AZ124" i="1" s="1"/>
  <c r="AO132" i="1" a="1"/>
  <c r="AO132" i="1" s="1"/>
  <c r="AX132" i="1" s="1"/>
  <c r="AY132" i="1" s="1"/>
  <c r="AZ132" i="1" s="1"/>
  <c r="AO140" i="1" a="1"/>
  <c r="AO140" i="1" s="1"/>
  <c r="AX140" i="1" s="1"/>
  <c r="AY140" i="1" s="1"/>
  <c r="AZ140" i="1" s="1"/>
  <c r="AO148" i="1" a="1"/>
  <c r="AO148" i="1" s="1"/>
  <c r="AX148" i="1" s="1"/>
  <c r="AY148" i="1" s="1"/>
  <c r="AZ148" i="1" s="1"/>
  <c r="AO156" i="1" a="1"/>
  <c r="AO156" i="1" s="1"/>
  <c r="AX156" i="1" s="1"/>
  <c r="AY156" i="1" s="1"/>
  <c r="AZ156" i="1" s="1"/>
  <c r="AO164" i="1" a="1"/>
  <c r="AO164" i="1" s="1"/>
  <c r="AX164" i="1" s="1"/>
  <c r="AY164" i="1" s="1"/>
  <c r="AZ164" i="1" s="1"/>
  <c r="AO172" i="1" a="1"/>
  <c r="AO172" i="1" s="1"/>
  <c r="AX172" i="1" s="1"/>
  <c r="AY172" i="1" s="1"/>
  <c r="AZ172" i="1" s="1"/>
  <c r="AO180" i="1" a="1"/>
  <c r="AO180" i="1" s="1"/>
  <c r="AX180" i="1" s="1"/>
  <c r="AY180" i="1" s="1"/>
  <c r="AZ180" i="1" s="1"/>
  <c r="AO188" i="1" a="1"/>
  <c r="AO188" i="1" s="1"/>
  <c r="AX188" i="1" s="1"/>
  <c r="AY188" i="1" s="1"/>
  <c r="AZ188" i="1" s="1"/>
  <c r="AO196" i="1" a="1"/>
  <c r="AO196" i="1" s="1"/>
  <c r="AX196" i="1" s="1"/>
  <c r="AY196" i="1" s="1"/>
  <c r="AZ196" i="1" s="1"/>
  <c r="AO204" i="1" a="1"/>
  <c r="AO204" i="1" s="1"/>
  <c r="AX204" i="1" s="1"/>
  <c r="AY204" i="1" s="1"/>
  <c r="AZ204" i="1" s="1"/>
  <c r="AO212" i="1" a="1"/>
  <c r="AO212" i="1" s="1"/>
  <c r="AX212" i="1" s="1"/>
  <c r="AY212" i="1" s="1"/>
  <c r="AZ212" i="1" s="1"/>
  <c r="AO220" i="1" a="1"/>
  <c r="AO220" i="1" s="1"/>
  <c r="AX220" i="1" s="1"/>
  <c r="AY220" i="1" s="1"/>
  <c r="AZ220" i="1" s="1"/>
  <c r="AO228" i="1" a="1"/>
  <c r="AO228" i="1" s="1"/>
  <c r="AX228" i="1" s="1"/>
  <c r="AY228" i="1" s="1"/>
  <c r="AZ228" i="1" s="1"/>
  <c r="AO236" i="1" a="1"/>
  <c r="AO236" i="1" s="1"/>
  <c r="AX236" i="1" s="1"/>
  <c r="AY236" i="1" s="1"/>
  <c r="AZ236" i="1" s="1"/>
  <c r="AO244" i="1" a="1"/>
  <c r="AO244" i="1" s="1"/>
  <c r="AX244" i="1" s="1"/>
  <c r="AY244" i="1" s="1"/>
  <c r="AZ244" i="1" s="1"/>
  <c r="AO252" i="1" a="1"/>
  <c r="AO252" i="1" s="1"/>
  <c r="AX252" i="1" s="1"/>
  <c r="AY252" i="1" s="1"/>
  <c r="AZ252" i="1" s="1"/>
  <c r="AO260" i="1" a="1"/>
  <c r="AO260" i="1" s="1"/>
  <c r="AX260" i="1" s="1"/>
  <c r="AY260" i="1" s="1"/>
  <c r="AZ260" i="1" s="1"/>
  <c r="AO268" i="1" a="1"/>
  <c r="AO268" i="1" s="1"/>
  <c r="AX268" i="1" s="1"/>
  <c r="AY268" i="1" s="1"/>
  <c r="AZ268" i="1" s="1"/>
  <c r="AO276" i="1" a="1"/>
  <c r="AO276" i="1" s="1"/>
  <c r="AX276" i="1" s="1"/>
  <c r="AY276" i="1" s="1"/>
  <c r="AZ276" i="1" s="1"/>
  <c r="AO284" i="1" a="1"/>
  <c r="AO284" i="1" s="1"/>
  <c r="AX284" i="1" s="1"/>
  <c r="AY284" i="1" s="1"/>
  <c r="AZ284" i="1" s="1"/>
  <c r="AO292" i="1" a="1"/>
  <c r="AO292" i="1" s="1"/>
  <c r="AX292" i="1" s="1"/>
  <c r="AY292" i="1" s="1"/>
  <c r="AZ292" i="1" s="1"/>
  <c r="AO300" i="1" a="1"/>
  <c r="AO300" i="1" s="1"/>
  <c r="AX300" i="1" s="1"/>
  <c r="AY300" i="1" s="1"/>
  <c r="AZ300" i="1" s="1"/>
  <c r="AO308" i="1" a="1"/>
  <c r="AO308" i="1" s="1"/>
  <c r="AX308" i="1" s="1"/>
  <c r="AY308" i="1" s="1"/>
  <c r="AZ308" i="1" s="1"/>
  <c r="AO316" i="1" a="1"/>
  <c r="AO316" i="1" s="1"/>
  <c r="AX316" i="1" s="1"/>
  <c r="AY316" i="1" s="1"/>
  <c r="AZ316" i="1" s="1"/>
  <c r="AO324" i="1" a="1"/>
  <c r="AO324" i="1" s="1"/>
  <c r="AX324" i="1" s="1"/>
  <c r="AY324" i="1" s="1"/>
  <c r="AZ324" i="1" s="1"/>
  <c r="AO332" i="1" a="1"/>
  <c r="AO332" i="1" s="1"/>
  <c r="AX332" i="1" s="1"/>
  <c r="AY332" i="1" s="1"/>
  <c r="AZ332" i="1" s="1"/>
  <c r="AO340" i="1" a="1"/>
  <c r="AO340" i="1" s="1"/>
  <c r="AX340" i="1" s="1"/>
  <c r="AY340" i="1" s="1"/>
  <c r="AZ340" i="1" s="1"/>
  <c r="AO348" i="1" a="1"/>
  <c r="AO348" i="1" s="1"/>
  <c r="AX348" i="1" s="1"/>
  <c r="AY348" i="1" s="1"/>
  <c r="AZ348" i="1" s="1"/>
  <c r="AO356" i="1" a="1"/>
  <c r="AO356" i="1" s="1"/>
  <c r="AX356" i="1" s="1"/>
  <c r="AY356" i="1" s="1"/>
  <c r="AZ356" i="1" s="1"/>
  <c r="AO364" i="1" a="1"/>
  <c r="AO364" i="1" s="1"/>
  <c r="AX364" i="1" s="1"/>
  <c r="AY364" i="1" s="1"/>
  <c r="AZ364" i="1" s="1"/>
  <c r="AO9" i="1" a="1"/>
  <c r="AO9" i="1" s="1"/>
  <c r="AX9" i="1" s="1"/>
  <c r="AY9" i="1" s="1"/>
  <c r="AZ9" i="1" s="1"/>
  <c r="AO17" i="1" a="1"/>
  <c r="AO17" i="1" s="1"/>
  <c r="AX17" i="1" s="1"/>
  <c r="AY17" i="1" s="1"/>
  <c r="AZ17" i="1" s="1"/>
  <c r="AO25" i="1" a="1"/>
  <c r="AO25" i="1" s="1"/>
  <c r="AX25" i="1" s="1"/>
  <c r="AY25" i="1" s="1"/>
  <c r="AZ25" i="1" s="1"/>
  <c r="AO33" i="1" a="1"/>
  <c r="AO33" i="1" s="1"/>
  <c r="AX33" i="1" s="1"/>
  <c r="AY33" i="1" s="1"/>
  <c r="AZ33" i="1" s="1"/>
  <c r="AX41" i="1"/>
  <c r="AY41" i="1" s="1"/>
  <c r="AZ41" i="1" s="1"/>
  <c r="AO49" i="1" a="1"/>
  <c r="AO49" i="1" s="1"/>
  <c r="AX49" i="1" s="1"/>
  <c r="AY49" i="1" s="1"/>
  <c r="AZ49" i="1" s="1"/>
  <c r="AO57" i="1" a="1"/>
  <c r="AO57" i="1" s="1"/>
  <c r="AX57" i="1" s="1"/>
  <c r="AY57" i="1" s="1"/>
  <c r="AZ57" i="1" s="1"/>
  <c r="AO65" i="1" a="1"/>
  <c r="AO65" i="1" s="1"/>
  <c r="AX65" i="1" s="1"/>
  <c r="AY65" i="1" s="1"/>
  <c r="AZ65" i="1" s="1"/>
  <c r="AO73" i="1" a="1"/>
  <c r="AO73" i="1" s="1"/>
  <c r="AX73" i="1" s="1"/>
  <c r="AY73" i="1" s="1"/>
  <c r="AZ73" i="1" s="1"/>
  <c r="AO81" i="1" a="1"/>
  <c r="AO81" i="1" s="1"/>
  <c r="AX81" i="1" s="1"/>
  <c r="AY81" i="1" s="1"/>
  <c r="AZ81" i="1" s="1"/>
  <c r="AO89" i="1" a="1"/>
  <c r="AO89" i="1" s="1"/>
  <c r="AX89" i="1" s="1"/>
  <c r="AY89" i="1" s="1"/>
  <c r="AZ89" i="1" s="1"/>
  <c r="AO97" i="1" a="1"/>
  <c r="AO97" i="1" s="1"/>
  <c r="AX97" i="1" s="1"/>
  <c r="AY97" i="1" s="1"/>
  <c r="AZ97" i="1" s="1"/>
  <c r="AO105" i="1" a="1"/>
  <c r="AO105" i="1" s="1"/>
  <c r="AX105" i="1" s="1"/>
  <c r="AY105" i="1" s="1"/>
  <c r="AZ105" i="1" s="1"/>
  <c r="AO113" i="1" a="1"/>
  <c r="AO113" i="1" s="1"/>
  <c r="AX113" i="1" s="1"/>
  <c r="AY113" i="1" s="1"/>
  <c r="AZ113" i="1" s="1"/>
  <c r="AO121" i="1" a="1"/>
  <c r="AO121" i="1" s="1"/>
  <c r="AX121" i="1" s="1"/>
  <c r="AY121" i="1" s="1"/>
  <c r="AZ121" i="1" s="1"/>
  <c r="AO129" i="1" a="1"/>
  <c r="AO129" i="1" s="1"/>
  <c r="AX129" i="1" s="1"/>
  <c r="AY129" i="1" s="1"/>
  <c r="AZ129" i="1" s="1"/>
  <c r="AO137" i="1" a="1"/>
  <c r="AO137" i="1" s="1"/>
  <c r="AX137" i="1" s="1"/>
  <c r="AY137" i="1" s="1"/>
  <c r="AZ137" i="1" s="1"/>
  <c r="AO145" i="1" a="1"/>
  <c r="AO145" i="1" s="1"/>
  <c r="AX145" i="1" s="1"/>
  <c r="AY145" i="1" s="1"/>
  <c r="AZ145" i="1" s="1"/>
  <c r="AO153" i="1" a="1"/>
  <c r="AO153" i="1" s="1"/>
  <c r="AX153" i="1" s="1"/>
  <c r="AY153" i="1" s="1"/>
  <c r="AZ153" i="1" s="1"/>
  <c r="AO161" i="1" a="1"/>
  <c r="AO161" i="1" s="1"/>
  <c r="AX161" i="1" s="1"/>
  <c r="AY161" i="1" s="1"/>
  <c r="AZ161" i="1" s="1"/>
  <c r="AO169" i="1" a="1"/>
  <c r="AO169" i="1" s="1"/>
  <c r="AX169" i="1" s="1"/>
  <c r="AY169" i="1" s="1"/>
  <c r="AZ169" i="1" s="1"/>
  <c r="AO177" i="1" a="1"/>
  <c r="AO177" i="1" s="1"/>
  <c r="AX177" i="1" s="1"/>
  <c r="AY177" i="1" s="1"/>
  <c r="AZ177" i="1" s="1"/>
  <c r="AO185" i="1" a="1"/>
  <c r="AO185" i="1" s="1"/>
  <c r="AX185" i="1" s="1"/>
  <c r="AY185" i="1" s="1"/>
  <c r="AZ185" i="1" s="1"/>
  <c r="AO193" i="1" a="1"/>
  <c r="AO193" i="1" s="1"/>
  <c r="AX193" i="1" s="1"/>
  <c r="AY193" i="1" s="1"/>
  <c r="AZ193" i="1" s="1"/>
  <c r="AO201" i="1" a="1"/>
  <c r="AO201" i="1" s="1"/>
  <c r="AX201" i="1" s="1"/>
  <c r="AY201" i="1" s="1"/>
  <c r="AZ201" i="1" s="1"/>
  <c r="AO209" i="1" a="1"/>
  <c r="AO209" i="1" s="1"/>
  <c r="AX209" i="1" s="1"/>
  <c r="AY209" i="1" s="1"/>
  <c r="AZ209" i="1" s="1"/>
  <c r="AO217" i="1" a="1"/>
  <c r="AO217" i="1" s="1"/>
  <c r="AX217" i="1" s="1"/>
  <c r="AY217" i="1" s="1"/>
  <c r="AZ217" i="1" s="1"/>
  <c r="AO225" i="1" a="1"/>
  <c r="AO225" i="1" s="1"/>
  <c r="AX225" i="1" s="1"/>
  <c r="AY225" i="1" s="1"/>
  <c r="AZ225" i="1" s="1"/>
  <c r="AO233" i="1" a="1"/>
  <c r="AO233" i="1" s="1"/>
  <c r="AX233" i="1" s="1"/>
  <c r="AY233" i="1" s="1"/>
  <c r="AZ233" i="1" s="1"/>
  <c r="AO241" i="1" a="1"/>
  <c r="AO241" i="1" s="1"/>
  <c r="AX241" i="1" s="1"/>
  <c r="AY241" i="1" s="1"/>
  <c r="AZ241" i="1" s="1"/>
  <c r="AO249" i="1" a="1"/>
  <c r="AO249" i="1" s="1"/>
  <c r="AX249" i="1" s="1"/>
  <c r="AY249" i="1" s="1"/>
  <c r="AZ249" i="1" s="1"/>
  <c r="AO257" i="1" a="1"/>
  <c r="AO257" i="1" s="1"/>
  <c r="AX257" i="1" s="1"/>
  <c r="AY257" i="1" s="1"/>
  <c r="AZ257" i="1" s="1"/>
  <c r="AO265" i="1" a="1"/>
  <c r="AO265" i="1" s="1"/>
  <c r="AX265" i="1" s="1"/>
  <c r="AY265" i="1" s="1"/>
  <c r="AZ265" i="1" s="1"/>
  <c r="AO273" i="1" a="1"/>
  <c r="AO273" i="1" s="1"/>
  <c r="AX273" i="1" s="1"/>
  <c r="AY273" i="1" s="1"/>
  <c r="AZ273" i="1" s="1"/>
  <c r="AO281" i="1" a="1"/>
  <c r="AO281" i="1" s="1"/>
  <c r="AX281" i="1" s="1"/>
  <c r="AY281" i="1" s="1"/>
  <c r="AZ281" i="1" s="1"/>
  <c r="AO289" i="1" a="1"/>
  <c r="AO289" i="1" s="1"/>
  <c r="AX289" i="1" s="1"/>
  <c r="AY289" i="1" s="1"/>
  <c r="AZ289" i="1" s="1"/>
  <c r="AO297" i="1" a="1"/>
  <c r="AO297" i="1" s="1"/>
  <c r="AX297" i="1" s="1"/>
  <c r="AY297" i="1" s="1"/>
  <c r="AZ297" i="1" s="1"/>
  <c r="AO305" i="1" a="1"/>
  <c r="AO305" i="1" s="1"/>
  <c r="AX305" i="1" s="1"/>
  <c r="AY305" i="1" s="1"/>
  <c r="AZ305" i="1" s="1"/>
  <c r="AO313" i="1" a="1"/>
  <c r="AO313" i="1" s="1"/>
  <c r="AX313" i="1" s="1"/>
  <c r="AY313" i="1" s="1"/>
  <c r="AZ313" i="1" s="1"/>
  <c r="AO321" i="1" a="1"/>
  <c r="AO321" i="1" s="1"/>
  <c r="AX321" i="1" s="1"/>
  <c r="AY321" i="1" s="1"/>
  <c r="AZ321" i="1" s="1"/>
  <c r="AO329" i="1" a="1"/>
  <c r="AO329" i="1" s="1"/>
  <c r="AX329" i="1" s="1"/>
  <c r="AY329" i="1" s="1"/>
  <c r="AZ329" i="1" s="1"/>
  <c r="AO337" i="1" a="1"/>
  <c r="AO337" i="1" s="1"/>
  <c r="AX337" i="1" s="1"/>
  <c r="AY337" i="1" s="1"/>
  <c r="AZ337" i="1" s="1"/>
  <c r="AO345" i="1" a="1"/>
  <c r="AO345" i="1" s="1"/>
  <c r="AX345" i="1" s="1"/>
  <c r="AY345" i="1" s="1"/>
  <c r="AZ345" i="1" s="1"/>
  <c r="AO353" i="1" a="1"/>
  <c r="AO353" i="1" s="1"/>
  <c r="AX353" i="1" s="1"/>
  <c r="AY353" i="1" s="1"/>
  <c r="AZ353" i="1" s="1"/>
  <c r="AO361" i="1" a="1"/>
  <c r="AO361" i="1" s="1"/>
  <c r="AX361" i="1" s="1"/>
  <c r="AY361" i="1" s="1"/>
  <c r="AZ361" i="1" s="1"/>
  <c r="AO369" i="1" a="1"/>
  <c r="AO369" i="1" s="1"/>
  <c r="AX369" i="1" s="1"/>
  <c r="AY369" i="1" s="1"/>
  <c r="AZ369" i="1" s="1"/>
  <c r="C33" i="2" l="1"/>
  <c r="BA37" i="1" a="1"/>
  <c r="BA37" i="1" s="1"/>
  <c r="BA5" i="1" a="1"/>
  <c r="BA5" i="1" s="1"/>
  <c r="BA312" i="1" a="1"/>
  <c r="BA312" i="1" s="1"/>
  <c r="BA216" i="1" a="1"/>
  <c r="BA216" i="1" s="1"/>
  <c r="BA152" i="1" a="1"/>
  <c r="BA152" i="1" s="1"/>
  <c r="BA56" i="1" a="1"/>
  <c r="BA56" i="1" s="1"/>
  <c r="BA307" i="1" a="1"/>
  <c r="BA307" i="1" s="1"/>
  <c r="BA211" i="1" a="1"/>
  <c r="BA211" i="1" s="1"/>
  <c r="BA171" i="1" a="1"/>
  <c r="BA171" i="1" s="1"/>
  <c r="BA362" i="1" a="1"/>
  <c r="BA362" i="1" s="1"/>
  <c r="BA170" i="1" a="1"/>
  <c r="BA170" i="1" s="1"/>
  <c r="BA295" i="1" a="1"/>
  <c r="BA295" i="1" s="1"/>
  <c r="BA103" i="1" a="1"/>
  <c r="BA103" i="1" s="1"/>
  <c r="BA230" i="1" a="1"/>
  <c r="BA230" i="1" s="1"/>
  <c r="BA38" i="1" a="1"/>
  <c r="BA38" i="1" s="1"/>
  <c r="BA361" i="1" a="1"/>
  <c r="BA361" i="1" s="1"/>
  <c r="BA265" i="1" a="1"/>
  <c r="BA265" i="1" s="1"/>
  <c r="BA169" i="1" a="1"/>
  <c r="BA169" i="1" s="1"/>
  <c r="BA73" i="1" a="1"/>
  <c r="BA73" i="1" s="1"/>
  <c r="BA340" i="1" a="1"/>
  <c r="BA340" i="1" s="1"/>
  <c r="BA244" i="1" a="1"/>
  <c r="BA244" i="1" s="1"/>
  <c r="BA180" i="1" a="1"/>
  <c r="BA180" i="1" s="1"/>
  <c r="BA52" i="1" a="1"/>
  <c r="BA52" i="1" s="1"/>
  <c r="BA303" i="1" a="1"/>
  <c r="BA303" i="1" s="1"/>
  <c r="BA175" i="1" a="1"/>
  <c r="BA175" i="1" s="1"/>
  <c r="BA302" i="1" a="1"/>
  <c r="BA302" i="1" s="1"/>
  <c r="BA110" i="1" a="1"/>
  <c r="BA110" i="1" s="1"/>
  <c r="BA66" i="1" a="1"/>
  <c r="BA66" i="1" s="1"/>
  <c r="BA338" i="1" a="1"/>
  <c r="BA338" i="1" s="1"/>
  <c r="BA210" i="1" a="1"/>
  <c r="BA210" i="1" s="1"/>
  <c r="BA349" i="1" a="1"/>
  <c r="BA349" i="1" s="1"/>
  <c r="BA253" i="1" a="1"/>
  <c r="BA253" i="1" s="1"/>
  <c r="BA157" i="1" a="1"/>
  <c r="BA157" i="1" s="1"/>
  <c r="BA61" i="1" a="1"/>
  <c r="BA61" i="1" s="1"/>
  <c r="BA336" i="1" a="1"/>
  <c r="BA336" i="1" s="1"/>
  <c r="BA304" i="1" a="1"/>
  <c r="BA304" i="1" s="1"/>
  <c r="BA208" i="1" a="1"/>
  <c r="BA208" i="1" s="1"/>
  <c r="BA112" i="1" a="1"/>
  <c r="BA112" i="1" s="1"/>
  <c r="BA16" i="1" a="1"/>
  <c r="BA16" i="1" s="1"/>
  <c r="BA267" i="1" a="1"/>
  <c r="BA267" i="1" s="1"/>
  <c r="BA155" i="1" a="1"/>
  <c r="BA155" i="1" s="1"/>
  <c r="BA346" i="1" a="1"/>
  <c r="BA346" i="1" s="1"/>
  <c r="BA154" i="1" a="1"/>
  <c r="BA154" i="1" s="1"/>
  <c r="BA351" i="1" a="1"/>
  <c r="BA351" i="1" s="1"/>
  <c r="BA151" i="1" a="1"/>
  <c r="BA151" i="1" s="1"/>
  <c r="BA23" i="1" a="1"/>
  <c r="BA23" i="1" s="1"/>
  <c r="BA86" i="1" a="1"/>
  <c r="BA86" i="1" s="1"/>
  <c r="BA241" i="1" a="1"/>
  <c r="BA241" i="1" s="1"/>
  <c r="BA177" i="1" a="1"/>
  <c r="BA177" i="1" s="1"/>
  <c r="BA145" i="1" a="1"/>
  <c r="BA145" i="1" s="1"/>
  <c r="BA81" i="1" a="1"/>
  <c r="BA81" i="1" s="1"/>
  <c r="BA17" i="1" a="1"/>
  <c r="BA17" i="1" s="1"/>
  <c r="BA348" i="1" a="1"/>
  <c r="BA348" i="1" s="1"/>
  <c r="BA284" i="1" a="1"/>
  <c r="BA284" i="1" s="1"/>
  <c r="BA220" i="1" a="1"/>
  <c r="BA220" i="1" s="1"/>
  <c r="BA188" i="1" a="1"/>
  <c r="BA188" i="1" s="1"/>
  <c r="BA124" i="1" a="1"/>
  <c r="BA124" i="1" s="1"/>
  <c r="BA92" i="1" a="1"/>
  <c r="BA92" i="1" s="1"/>
  <c r="BA60" i="1" a="1"/>
  <c r="BA60" i="1" s="1"/>
  <c r="BA28" i="1" a="1"/>
  <c r="BA28" i="1" s="1"/>
  <c r="BA367" i="1" a="1"/>
  <c r="BA367" i="1" s="1"/>
  <c r="BA319" i="1" a="1"/>
  <c r="BA319" i="1" s="1"/>
  <c r="BA255" i="1" a="1"/>
  <c r="BA255" i="1" s="1"/>
  <c r="BA127" i="1" a="1"/>
  <c r="BA127" i="1" s="1"/>
  <c r="BA63" i="1" a="1"/>
  <c r="BA63" i="1" s="1"/>
  <c r="BA318" i="1" a="1"/>
  <c r="BA318" i="1" s="1"/>
  <c r="BA190" i="1" a="1"/>
  <c r="BA190" i="1" s="1"/>
  <c r="BA126" i="1" a="1"/>
  <c r="BA126" i="1" s="1"/>
  <c r="BA98" i="1" a="1"/>
  <c r="BA98" i="1" s="1"/>
  <c r="BA99" i="1" a="1"/>
  <c r="BA99" i="1" s="1"/>
  <c r="BA354" i="1" a="1"/>
  <c r="BA354" i="1" s="1"/>
  <c r="BA290" i="1" a="1"/>
  <c r="BA290" i="1" s="1"/>
  <c r="BA162" i="1" a="1"/>
  <c r="BA162" i="1" s="1"/>
  <c r="BA357" i="1" a="1"/>
  <c r="BA357" i="1" s="1"/>
  <c r="BA261" i="1" a="1"/>
  <c r="BA261" i="1" s="1"/>
  <c r="BA344" i="1" a="1"/>
  <c r="BA344" i="1" s="1"/>
  <c r="BA248" i="1" a="1"/>
  <c r="BA248" i="1" s="1"/>
  <c r="BA120" i="1" a="1"/>
  <c r="BA120" i="1" s="1"/>
  <c r="BA24" i="1" a="1"/>
  <c r="BA24" i="1" s="1"/>
  <c r="BA339" i="1" a="1"/>
  <c r="BA339" i="1" s="1"/>
  <c r="BA275" i="1" a="1"/>
  <c r="BA275" i="1" s="1"/>
  <c r="BA107" i="1" a="1"/>
  <c r="BA107" i="1" s="1"/>
  <c r="BA298" i="1" a="1"/>
  <c r="BA298" i="1" s="1"/>
  <c r="BA106" i="1" a="1"/>
  <c r="BA106" i="1" s="1"/>
  <c r="BA231" i="1" a="1"/>
  <c r="BA231" i="1" s="1"/>
  <c r="BA39" i="1" a="1"/>
  <c r="BA39" i="1" s="1"/>
  <c r="BA294" i="1" a="1"/>
  <c r="BA294" i="1" s="1"/>
  <c r="BA102" i="1" a="1"/>
  <c r="BA102" i="1" s="1"/>
  <c r="BA297" i="1" a="1"/>
  <c r="BA297" i="1" s="1"/>
  <c r="BA233" i="1" a="1"/>
  <c r="BA233" i="1" s="1"/>
  <c r="BA137" i="1" a="1"/>
  <c r="BA137" i="1" s="1"/>
  <c r="BA41" i="1" a="1"/>
  <c r="BA41" i="1" s="1"/>
  <c r="BA308" i="1" a="1"/>
  <c r="BA308" i="1" s="1"/>
  <c r="BA212" i="1" a="1"/>
  <c r="BA212" i="1" s="1"/>
  <c r="BA148" i="1" a="1"/>
  <c r="BA148" i="1" s="1"/>
  <c r="BA84" i="1" a="1"/>
  <c r="BA84" i="1" s="1"/>
  <c r="BA359" i="1" a="1"/>
  <c r="BA359" i="1" s="1"/>
  <c r="BA111" i="1" a="1"/>
  <c r="BA111" i="1" s="1"/>
  <c r="BA366" i="1" a="1"/>
  <c r="BA366" i="1" s="1"/>
  <c r="BA174" i="1" a="1"/>
  <c r="BA174" i="1" s="1"/>
  <c r="BA147" i="1" a="1"/>
  <c r="BA147" i="1" s="1"/>
  <c r="BA19" i="1" a="1"/>
  <c r="BA19" i="1" s="1"/>
  <c r="BA274" i="1" a="1"/>
  <c r="BA274" i="1" s="1"/>
  <c r="BA58" i="1" a="1"/>
  <c r="BA58" i="1" s="1"/>
  <c r="BA285" i="1" a="1"/>
  <c r="BA285" i="1" s="1"/>
  <c r="BA189" i="1" a="1"/>
  <c r="BA189" i="1" s="1"/>
  <c r="BA93" i="1" a="1"/>
  <c r="BA93" i="1" s="1"/>
  <c r="BA372" i="1" a="1"/>
  <c r="BA372" i="1" s="1"/>
  <c r="BA272" i="1" a="1"/>
  <c r="BA272" i="1" s="1"/>
  <c r="BA176" i="1" a="1"/>
  <c r="BA176" i="1" s="1"/>
  <c r="BA80" i="1" a="1"/>
  <c r="BA80" i="1" s="1"/>
  <c r="BA363" i="1" a="1"/>
  <c r="BA363" i="1" s="1"/>
  <c r="BA299" i="1" a="1"/>
  <c r="BA299" i="1" s="1"/>
  <c r="BA195" i="1" a="1"/>
  <c r="BA195" i="1" s="1"/>
  <c r="BA27" i="1" a="1"/>
  <c r="BA27" i="1" s="1"/>
  <c r="BA282" i="1" a="1"/>
  <c r="BA282" i="1" s="1"/>
  <c r="BA82" i="1" a="1"/>
  <c r="BA82" i="1" s="1"/>
  <c r="BA215" i="1" a="1"/>
  <c r="BA215" i="1" s="1"/>
  <c r="BA342" i="1" a="1"/>
  <c r="BA342" i="1" s="1"/>
  <c r="BA214" i="1" a="1"/>
  <c r="BA214" i="1" s="1"/>
  <c r="BA353" i="1" a="1"/>
  <c r="BA353" i="1" s="1"/>
  <c r="BA289" i="1" a="1"/>
  <c r="BA289" i="1" s="1"/>
  <c r="BA225" i="1" a="1"/>
  <c r="BA225" i="1" s="1"/>
  <c r="BA129" i="1" a="1"/>
  <c r="BA129" i="1" s="1"/>
  <c r="BA65" i="1" a="1"/>
  <c r="BA65" i="1" s="1"/>
  <c r="BA364" i="1" a="1"/>
  <c r="BA364" i="1" s="1"/>
  <c r="BA300" i="1" a="1"/>
  <c r="BA300" i="1" s="1"/>
  <c r="BA268" i="1" a="1"/>
  <c r="BA268" i="1" s="1"/>
  <c r="BA204" i="1" a="1"/>
  <c r="BA204" i="1" s="1"/>
  <c r="BA140" i="1" a="1"/>
  <c r="BA140" i="1" s="1"/>
  <c r="BA76" i="1" a="1"/>
  <c r="BA76" i="1" s="1"/>
  <c r="BA4" i="1" a="1"/>
  <c r="BA4" i="1" s="1"/>
  <c r="BA287" i="1" a="1"/>
  <c r="BA287" i="1" s="1"/>
  <c r="BA159" i="1" a="1"/>
  <c r="BA159" i="1" s="1"/>
  <c r="BA31" i="1" a="1"/>
  <c r="BA31" i="1" s="1"/>
  <c r="BA286" i="1" a="1"/>
  <c r="BA286" i="1" s="1"/>
  <c r="BA158" i="1" a="1"/>
  <c r="BA158" i="1" s="1"/>
  <c r="BA94" i="1" a="1"/>
  <c r="BA94" i="1" s="1"/>
  <c r="BA34" i="1" a="1"/>
  <c r="BA34" i="1" s="1"/>
  <c r="BA131" i="1" a="1"/>
  <c r="BA131" i="1" s="1"/>
  <c r="BA67" i="1" a="1"/>
  <c r="BA67" i="1" s="1"/>
  <c r="BA3" i="1" a="1"/>
  <c r="BA3" i="1" s="1"/>
  <c r="BA322" i="1" a="1"/>
  <c r="BA322" i="1" s="1"/>
  <c r="BA258" i="1" a="1"/>
  <c r="BA258" i="1" s="1"/>
  <c r="BA194" i="1" a="1"/>
  <c r="BA194" i="1" s="1"/>
  <c r="BA130" i="1" a="1"/>
  <c r="BA130" i="1" s="1"/>
  <c r="BA26" i="1" a="1"/>
  <c r="BA26" i="1" s="1"/>
  <c r="BA309" i="1" a="1"/>
  <c r="BA309" i="1" s="1"/>
  <c r="BA245" i="1" a="1"/>
  <c r="BA245" i="1" s="1"/>
  <c r="BA181" i="1" a="1"/>
  <c r="BA181" i="1" s="1"/>
  <c r="BA117" i="1" a="1"/>
  <c r="BA117" i="1" s="1"/>
  <c r="BA53" i="1" a="1"/>
  <c r="BA53" i="1" s="1"/>
  <c r="BA360" i="1" a="1"/>
  <c r="BA360" i="1" s="1"/>
  <c r="BA328" i="1" a="1"/>
  <c r="BA328" i="1" s="1"/>
  <c r="BA264" i="1" a="1"/>
  <c r="BA264" i="1" s="1"/>
  <c r="BA200" i="1" a="1"/>
  <c r="BA200" i="1" s="1"/>
  <c r="BA136" i="1" a="1"/>
  <c r="BA136" i="1" s="1"/>
  <c r="BA72" i="1" a="1"/>
  <c r="BA72" i="1" s="1"/>
  <c r="BA8" i="1" a="1"/>
  <c r="BA8" i="1" s="1"/>
  <c r="BA355" i="1" a="1"/>
  <c r="BA355" i="1" s="1"/>
  <c r="BA291" i="1" a="1"/>
  <c r="BA291" i="1" s="1"/>
  <c r="BA227" i="1" a="1"/>
  <c r="BA227" i="1" s="1"/>
  <c r="BA139" i="1" a="1"/>
  <c r="BA139" i="1" s="1"/>
  <c r="BA75" i="1" a="1"/>
  <c r="BA75" i="1" s="1"/>
  <c r="BA330" i="1" a="1"/>
  <c r="BA330" i="1" s="1"/>
  <c r="BA202" i="1" a="1"/>
  <c r="BA202" i="1" s="1"/>
  <c r="BA138" i="1" a="1"/>
  <c r="BA138" i="1" s="1"/>
  <c r="BA50" i="1" a="1"/>
  <c r="BA50" i="1" s="1"/>
  <c r="BA263" i="1" a="1"/>
  <c r="BA263" i="1" s="1"/>
  <c r="BA199" i="1" a="1"/>
  <c r="BA199" i="1" s="1"/>
  <c r="BA135" i="1" a="1"/>
  <c r="BA135" i="1" s="1"/>
  <c r="BA71" i="1" a="1"/>
  <c r="BA71" i="1" s="1"/>
  <c r="BA7" i="1" a="1"/>
  <c r="BA7" i="1" s="1"/>
  <c r="BA326" i="1" a="1"/>
  <c r="BA326" i="1" s="1"/>
  <c r="BA198" i="1" a="1"/>
  <c r="BA198" i="1" s="1"/>
  <c r="BA134" i="1" a="1"/>
  <c r="BA134" i="1" s="1"/>
  <c r="BA6" i="1" a="1"/>
  <c r="BA6" i="1" s="1"/>
  <c r="BA369" i="1" a="1"/>
  <c r="BA369" i="1" s="1"/>
  <c r="BA337" i="1" a="1"/>
  <c r="BA337" i="1" s="1"/>
  <c r="BA305" i="1" a="1"/>
  <c r="BA305" i="1" s="1"/>
  <c r="BA273" i="1" a="1"/>
  <c r="BA273" i="1" s="1"/>
  <c r="BA209" i="1" a="1"/>
  <c r="BA209" i="1" s="1"/>
  <c r="BA113" i="1" a="1"/>
  <c r="BA113" i="1" s="1"/>
  <c r="BA49" i="1" a="1"/>
  <c r="BA49" i="1" s="1"/>
  <c r="BA316" i="1" a="1"/>
  <c r="BA316" i="1" s="1"/>
  <c r="BA252" i="1" a="1"/>
  <c r="BA252" i="1" s="1"/>
  <c r="BA156" i="1" a="1"/>
  <c r="BA156" i="1" s="1"/>
  <c r="BA191" i="1" a="1"/>
  <c r="BA191" i="1" s="1"/>
  <c r="BA373" i="1" a="1"/>
  <c r="BA373" i="1" s="1"/>
  <c r="BA254" i="1" a="1"/>
  <c r="BA254" i="1" s="1"/>
  <c r="BA62" i="1" a="1"/>
  <c r="BA62" i="1" s="1"/>
  <c r="BA163" i="1" a="1"/>
  <c r="BA163" i="1" s="1"/>
  <c r="BA35" i="1" a="1"/>
  <c r="BA35" i="1" s="1"/>
  <c r="BA226" i="1" a="1"/>
  <c r="BA226" i="1" s="1"/>
  <c r="BA90" i="1" a="1"/>
  <c r="BA90" i="1" s="1"/>
  <c r="BA325" i="1" a="1"/>
  <c r="BA325" i="1" s="1"/>
  <c r="BA293" i="1" a="1"/>
  <c r="BA293" i="1" s="1"/>
  <c r="BA229" i="1" a="1"/>
  <c r="BA229" i="1" s="1"/>
  <c r="BA197" i="1" a="1"/>
  <c r="BA197" i="1" s="1"/>
  <c r="BA165" i="1" a="1"/>
  <c r="BA165" i="1" s="1"/>
  <c r="BA133" i="1" a="1"/>
  <c r="BA133" i="1" s="1"/>
  <c r="BA101" i="1" a="1"/>
  <c r="BA101" i="1" s="1"/>
  <c r="BA69" i="1" a="1"/>
  <c r="BA69" i="1" s="1"/>
  <c r="BA280" i="1" a="1"/>
  <c r="BA280" i="1" s="1"/>
  <c r="BA184" i="1" a="1"/>
  <c r="BA184" i="1" s="1"/>
  <c r="BA88" i="1" a="1"/>
  <c r="BA88" i="1" s="1"/>
  <c r="BA371" i="1" a="1"/>
  <c r="BA371" i="1" s="1"/>
  <c r="BA243" i="1" a="1"/>
  <c r="BA243" i="1" s="1"/>
  <c r="BA43" i="1" a="1"/>
  <c r="BA43" i="1" s="1"/>
  <c r="BA234" i="1" a="1"/>
  <c r="BA234" i="1" s="1"/>
  <c r="BA12" i="1" a="1"/>
  <c r="BA12" i="1" s="1"/>
  <c r="BA167" i="1" a="1"/>
  <c r="BA167" i="1" s="1"/>
  <c r="BA358" i="1" a="1"/>
  <c r="BA358" i="1" s="1"/>
  <c r="BA166" i="1" a="1"/>
  <c r="BA166" i="1" s="1"/>
  <c r="BA42" i="1" a="1"/>
  <c r="BA42" i="1" s="1"/>
  <c r="BA329" i="1" a="1"/>
  <c r="BA329" i="1" s="1"/>
  <c r="BA201" i="1" a="1"/>
  <c r="BA201" i="1" s="1"/>
  <c r="BA105" i="1" a="1"/>
  <c r="BA105" i="1" s="1"/>
  <c r="BA9" i="1" a="1"/>
  <c r="BA9" i="1" s="1"/>
  <c r="BA276" i="1" a="1"/>
  <c r="BA276" i="1" s="1"/>
  <c r="BA116" i="1" a="1"/>
  <c r="BA116" i="1" s="1"/>
  <c r="BA20" i="1" a="1"/>
  <c r="BA20" i="1" s="1"/>
  <c r="BA239" i="1" a="1"/>
  <c r="BA239" i="1" s="1"/>
  <c r="BA47" i="1" a="1"/>
  <c r="BA47" i="1" s="1"/>
  <c r="BA238" i="1" a="1"/>
  <c r="BA238" i="1" s="1"/>
  <c r="BA46" i="1" a="1"/>
  <c r="BA46" i="1" s="1"/>
  <c r="BA83" i="1" a="1"/>
  <c r="BA83" i="1" s="1"/>
  <c r="BA146" i="1" a="1"/>
  <c r="BA146" i="1" s="1"/>
  <c r="BA317" i="1" a="1"/>
  <c r="BA317" i="1" s="1"/>
  <c r="BA221" i="1" a="1"/>
  <c r="BA221" i="1" s="1"/>
  <c r="BA125" i="1" a="1"/>
  <c r="BA125" i="1" s="1"/>
  <c r="BA29" i="1" a="1"/>
  <c r="BA29" i="1" s="1"/>
  <c r="BA240" i="1" a="1"/>
  <c r="BA240" i="1" s="1"/>
  <c r="BA144" i="1" a="1"/>
  <c r="BA144" i="1" s="1"/>
  <c r="BA48" i="1" a="1"/>
  <c r="BA48" i="1" s="1"/>
  <c r="BA331" i="1" a="1"/>
  <c r="BA331" i="1" s="1"/>
  <c r="BA235" i="1" a="1"/>
  <c r="BA235" i="1" s="1"/>
  <c r="BA91" i="1" a="1"/>
  <c r="BA91" i="1" s="1"/>
  <c r="BA218" i="1" a="1"/>
  <c r="BA218" i="1" s="1"/>
  <c r="BA279" i="1" a="1"/>
  <c r="BA279" i="1" s="1"/>
  <c r="BA87" i="1" a="1"/>
  <c r="BA87" i="1" s="1"/>
  <c r="BA278" i="1" a="1"/>
  <c r="BA278" i="1" s="1"/>
  <c r="BA150" i="1" a="1"/>
  <c r="BA150" i="1" s="1"/>
  <c r="BA22" i="1" a="1"/>
  <c r="BA22" i="1" s="1"/>
  <c r="BA18" i="1" a="1"/>
  <c r="BA18" i="1" s="1"/>
  <c r="BA321" i="1" a="1"/>
  <c r="BA321" i="1" s="1"/>
  <c r="BA257" i="1" a="1"/>
  <c r="BA257" i="1" s="1"/>
  <c r="BA193" i="1" a="1"/>
  <c r="BA193" i="1" s="1"/>
  <c r="BA161" i="1" a="1"/>
  <c r="BA161" i="1" s="1"/>
  <c r="BA97" i="1" a="1"/>
  <c r="BA97" i="1" s="1"/>
  <c r="BA33" i="1" a="1"/>
  <c r="BA33" i="1" s="1"/>
  <c r="BA332" i="1" a="1"/>
  <c r="BA332" i="1" s="1"/>
  <c r="BA236" i="1" a="1"/>
  <c r="BA236" i="1" s="1"/>
  <c r="BA172" i="1" a="1"/>
  <c r="BA172" i="1" s="1"/>
  <c r="BA108" i="1" a="1"/>
  <c r="BA108" i="1" s="1"/>
  <c r="BA44" i="1" a="1"/>
  <c r="BA44" i="1" s="1"/>
  <c r="BA343" i="1" a="1"/>
  <c r="BA343" i="1" s="1"/>
  <c r="BA223" i="1" a="1"/>
  <c r="BA223" i="1" s="1"/>
  <c r="BA95" i="1" a="1"/>
  <c r="BA95" i="1" s="1"/>
  <c r="BA350" i="1" a="1"/>
  <c r="BA350" i="1" s="1"/>
  <c r="BA222" i="1" a="1"/>
  <c r="BA222" i="1" s="1"/>
  <c r="BA30" i="1" a="1"/>
  <c r="BA30" i="1" s="1"/>
  <c r="BA341" i="1" a="1"/>
  <c r="BA341" i="1" s="1"/>
  <c r="BA277" i="1" a="1"/>
  <c r="BA277" i="1" s="1"/>
  <c r="BA213" i="1" a="1"/>
  <c r="BA213" i="1" s="1"/>
  <c r="BA149" i="1" a="1"/>
  <c r="BA149" i="1" s="1"/>
  <c r="BA85" i="1" a="1"/>
  <c r="BA85" i="1" s="1"/>
  <c r="BA21" i="1" a="1"/>
  <c r="BA21" i="1" s="1"/>
  <c r="BA296" i="1" a="1"/>
  <c r="BA296" i="1" s="1"/>
  <c r="BA232" i="1" a="1"/>
  <c r="BA232" i="1" s="1"/>
  <c r="BA168" i="1" a="1"/>
  <c r="BA168" i="1" s="1"/>
  <c r="BA104" i="1" a="1"/>
  <c r="BA104" i="1" s="1"/>
  <c r="BA40" i="1" a="1"/>
  <c r="BA40" i="1" s="1"/>
  <c r="BA323" i="1" a="1"/>
  <c r="BA323" i="1" s="1"/>
  <c r="BA259" i="1" a="1"/>
  <c r="BA259" i="1" s="1"/>
  <c r="BA187" i="1" a="1"/>
  <c r="BA187" i="1" s="1"/>
  <c r="BA11" i="1" a="1"/>
  <c r="BA11" i="1" s="1"/>
  <c r="BA266" i="1" a="1"/>
  <c r="BA266" i="1" s="1"/>
  <c r="BA327" i="1" a="1"/>
  <c r="BA327" i="1" s="1"/>
  <c r="BA262" i="1" a="1"/>
  <c r="BA262" i="1" s="1"/>
  <c r="BA70" i="1" a="1"/>
  <c r="BA70" i="1" s="1"/>
  <c r="BA345" i="1" a="1"/>
  <c r="BA345" i="1" s="1"/>
  <c r="BA313" i="1" a="1"/>
  <c r="BA313" i="1" s="1"/>
  <c r="BA281" i="1" a="1"/>
  <c r="BA281" i="1" s="1"/>
  <c r="BA249" i="1" a="1"/>
  <c r="BA249" i="1" s="1"/>
  <c r="BA217" i="1" a="1"/>
  <c r="BA217" i="1" s="1"/>
  <c r="BA185" i="1" a="1"/>
  <c r="BA185" i="1" s="1"/>
  <c r="BA153" i="1" a="1"/>
  <c r="BA153" i="1" s="1"/>
  <c r="BA121" i="1" a="1"/>
  <c r="BA121" i="1" s="1"/>
  <c r="BA89" i="1" a="1"/>
  <c r="BA89" i="1" s="1"/>
  <c r="BA57" i="1" a="1"/>
  <c r="BA57" i="1" s="1"/>
  <c r="BA25" i="1" a="1"/>
  <c r="BA25" i="1" s="1"/>
  <c r="BA356" i="1" a="1"/>
  <c r="BA356" i="1" s="1"/>
  <c r="BA324" i="1" a="1"/>
  <c r="BA324" i="1" s="1"/>
  <c r="BA292" i="1" a="1"/>
  <c r="BA292" i="1" s="1"/>
  <c r="BA260" i="1" a="1"/>
  <c r="BA260" i="1" s="1"/>
  <c r="BA228" i="1" a="1"/>
  <c r="BA228" i="1" s="1"/>
  <c r="BA196" i="1" a="1"/>
  <c r="BA196" i="1" s="1"/>
  <c r="BA164" i="1" a="1"/>
  <c r="BA164" i="1" s="1"/>
  <c r="BA132" i="1" a="1"/>
  <c r="BA132" i="1" s="1"/>
  <c r="BA100" i="1" a="1"/>
  <c r="BA100" i="1" s="1"/>
  <c r="BA68" i="1" a="1"/>
  <c r="BA68" i="1" s="1"/>
  <c r="BA36" i="1" a="1"/>
  <c r="BA36" i="1" s="1"/>
  <c r="BA375" i="1" a="1"/>
  <c r="BA375" i="1" s="1"/>
  <c r="BA335" i="1" a="1"/>
  <c r="BA335" i="1" s="1"/>
  <c r="BA271" i="1" a="1"/>
  <c r="BA271" i="1" s="1"/>
  <c r="BA207" i="1" a="1"/>
  <c r="BA207" i="1" s="1"/>
  <c r="BA143" i="1" a="1"/>
  <c r="BA143" i="1" s="1"/>
  <c r="BA79" i="1" a="1"/>
  <c r="BA79" i="1" s="1"/>
  <c r="BA15" i="1" a="1"/>
  <c r="BA15" i="1" s="1"/>
  <c r="BA334" i="1" a="1"/>
  <c r="BA334" i="1" s="1"/>
  <c r="BA270" i="1" a="1"/>
  <c r="BA270" i="1" s="1"/>
  <c r="BA206" i="1" a="1"/>
  <c r="BA206" i="1" s="1"/>
  <c r="BA142" i="1" a="1"/>
  <c r="BA142" i="1" s="1"/>
  <c r="BA78" i="1" a="1"/>
  <c r="BA78" i="1" s="1"/>
  <c r="BA14" i="1" a="1"/>
  <c r="BA14" i="1" s="1"/>
  <c r="BA203" i="1" a="1"/>
  <c r="BA203" i="1" s="1"/>
  <c r="BA115" i="1" a="1"/>
  <c r="BA115" i="1" s="1"/>
  <c r="BA51" i="1" a="1"/>
  <c r="BA51" i="1" s="1"/>
  <c r="BA370" i="1" a="1"/>
  <c r="BA370" i="1" s="1"/>
  <c r="BA306" i="1" a="1"/>
  <c r="BA306" i="1" s="1"/>
  <c r="BA242" i="1" a="1"/>
  <c r="BA242" i="1" s="1"/>
  <c r="BA178" i="1" a="1"/>
  <c r="BA178" i="1" s="1"/>
  <c r="BA114" i="1" a="1"/>
  <c r="BA114" i="1" s="1"/>
  <c r="BA365" i="1" a="1"/>
  <c r="BA365" i="1" s="1"/>
  <c r="BA333" i="1" a="1"/>
  <c r="BA333" i="1" s="1"/>
  <c r="BA301" i="1" a="1"/>
  <c r="BA301" i="1" s="1"/>
  <c r="BA269" i="1" a="1"/>
  <c r="BA269" i="1" s="1"/>
  <c r="BA237" i="1" a="1"/>
  <c r="BA237" i="1" s="1"/>
  <c r="BA205" i="1" a="1"/>
  <c r="BA205" i="1" s="1"/>
  <c r="BA173" i="1" a="1"/>
  <c r="BA173" i="1" s="1"/>
  <c r="BA141" i="1" a="1"/>
  <c r="BA141" i="1" s="1"/>
  <c r="BA109" i="1" a="1"/>
  <c r="BA109" i="1" s="1"/>
  <c r="BA77" i="1" a="1"/>
  <c r="BA77" i="1" s="1"/>
  <c r="BA45" i="1" a="1"/>
  <c r="BA45" i="1" s="1"/>
  <c r="BA13" i="1" a="1"/>
  <c r="BA13" i="1" s="1"/>
  <c r="BA352" i="1" a="1"/>
  <c r="BA352" i="1" s="1"/>
  <c r="BA320" i="1" a="1"/>
  <c r="BA320" i="1" s="1"/>
  <c r="BA288" i="1" a="1"/>
  <c r="BA288" i="1" s="1"/>
  <c r="BA256" i="1" a="1"/>
  <c r="BA256" i="1" s="1"/>
  <c r="BA224" i="1" a="1"/>
  <c r="BA224" i="1" s="1"/>
  <c r="BA192" i="1" a="1"/>
  <c r="BA192" i="1" s="1"/>
  <c r="BA160" i="1" a="1"/>
  <c r="BA160" i="1" s="1"/>
  <c r="BA128" i="1" a="1"/>
  <c r="BA128" i="1" s="1"/>
  <c r="BA96" i="1" a="1"/>
  <c r="BA96" i="1" s="1"/>
  <c r="BA64" i="1" a="1"/>
  <c r="BA64" i="1" s="1"/>
  <c r="BA32" i="1" a="1"/>
  <c r="BA32" i="1" s="1"/>
  <c r="BA376" i="1" a="1"/>
  <c r="BA376" i="1" s="1"/>
  <c r="BA347" i="1" a="1"/>
  <c r="BA347" i="1" s="1"/>
  <c r="BA315" i="1" a="1"/>
  <c r="BA315" i="1" s="1"/>
  <c r="BA283" i="1" a="1"/>
  <c r="BA283" i="1" s="1"/>
  <c r="BA251" i="1" a="1"/>
  <c r="BA251" i="1" s="1"/>
  <c r="BA219" i="1" a="1"/>
  <c r="BA219" i="1" s="1"/>
  <c r="BA179" i="1" a="1"/>
  <c r="BA179" i="1" s="1"/>
  <c r="BA123" i="1" a="1"/>
  <c r="BA123" i="1" s="1"/>
  <c r="BA59" i="1" a="1"/>
  <c r="BA59" i="1" s="1"/>
  <c r="BA368" i="1" a="1"/>
  <c r="BA368" i="1" s="1"/>
  <c r="BA314" i="1" a="1"/>
  <c r="BA314" i="1" s="1"/>
  <c r="BA250" i="1" a="1"/>
  <c r="BA250" i="1" s="1"/>
  <c r="BA186" i="1" a="1"/>
  <c r="BA186" i="1" s="1"/>
  <c r="BA122" i="1" a="1"/>
  <c r="BA122" i="1" s="1"/>
  <c r="BA10" i="1" a="1"/>
  <c r="BA10" i="1" s="1"/>
  <c r="BA311" i="1" a="1"/>
  <c r="BA311" i="1" s="1"/>
  <c r="BA247" i="1" a="1"/>
  <c r="BA247" i="1" s="1"/>
  <c r="BA183" i="1" a="1"/>
  <c r="BA183" i="1" s="1"/>
  <c r="BA119" i="1" a="1"/>
  <c r="BA119" i="1" s="1"/>
  <c r="BA55" i="1" a="1"/>
  <c r="BA55" i="1" s="1"/>
  <c r="BA374" i="1" a="1"/>
  <c r="BA374" i="1" s="1"/>
  <c r="BA310" i="1" a="1"/>
  <c r="BA310" i="1" s="1"/>
  <c r="BA246" i="1" a="1"/>
  <c r="BA246" i="1" s="1"/>
  <c r="BA182" i="1" a="1"/>
  <c r="BA182" i="1" s="1"/>
  <c r="BA118" i="1" a="1"/>
  <c r="BA118" i="1" s="1"/>
  <c r="BA54" i="1" a="1"/>
  <c r="BA54" i="1" s="1"/>
  <c r="BA74" i="1" a="1"/>
  <c r="BA74" i="1" s="1"/>
  <c r="AQ20" i="1"/>
  <c r="AT20" i="1" s="1"/>
  <c r="AQ243" i="1"/>
  <c r="AT243" i="1" s="1"/>
  <c r="AQ70" i="1"/>
  <c r="AT70" i="1" s="1"/>
  <c r="AQ212" i="1"/>
  <c r="AT212" i="1" s="1"/>
  <c r="AQ79" i="1"/>
  <c r="AT79" i="1" s="1"/>
  <c r="AQ31" i="1"/>
  <c r="AT31" i="1" s="1"/>
  <c r="AQ43" i="1"/>
  <c r="AT43" i="1" s="1"/>
  <c r="AQ182" i="1"/>
  <c r="AT182" i="1" s="1"/>
  <c r="AQ4" i="1"/>
  <c r="AT4" i="1" s="1"/>
  <c r="AQ142" i="1"/>
  <c r="AT142" i="1" s="1"/>
  <c r="AQ94" i="1"/>
  <c r="AT94" i="1" s="1"/>
  <c r="AQ46" i="1"/>
  <c r="AT46" i="1" s="1"/>
  <c r="AQ35" i="1"/>
  <c r="AT35" i="1" s="1"/>
  <c r="AQ214" i="1"/>
  <c r="AT214" i="1" s="1"/>
  <c r="AQ180" i="1"/>
  <c r="AT180" i="1" s="1"/>
  <c r="AQ26" i="1"/>
  <c r="AT26" i="1" s="1"/>
  <c r="AQ248" i="1"/>
  <c r="AT248" i="1" s="1"/>
  <c r="AQ232" i="1"/>
  <c r="AT232" i="1" s="1"/>
  <c r="AQ216" i="1"/>
  <c r="AT216" i="1" s="1"/>
  <c r="AQ200" i="1"/>
  <c r="AT200" i="1" s="1"/>
  <c r="AQ184" i="1"/>
  <c r="AT184" i="1" s="1"/>
  <c r="AQ56" i="1"/>
  <c r="AT56" i="1" s="1"/>
  <c r="AQ40" i="1"/>
  <c r="AT40" i="1" s="1"/>
  <c r="AQ24" i="1"/>
  <c r="AT24" i="1" s="1"/>
  <c r="AQ8" i="1"/>
  <c r="AT8" i="1" s="1"/>
  <c r="AQ211" i="1"/>
  <c r="AT211" i="1" s="1"/>
  <c r="AQ106" i="1"/>
  <c r="AT106" i="1" s="1"/>
  <c r="AQ135" i="1"/>
  <c r="AT135" i="1" s="1"/>
  <c r="AQ59" i="1"/>
  <c r="AT59" i="1" s="1"/>
  <c r="AQ276" i="1"/>
  <c r="AT276" i="1" s="1"/>
  <c r="AQ130" i="1"/>
  <c r="AT130" i="1" s="1"/>
  <c r="AQ58" i="1"/>
  <c r="AT58" i="1" s="1"/>
  <c r="AQ256" i="1"/>
  <c r="AT256" i="1" s="1"/>
  <c r="AQ240" i="1"/>
  <c r="AT240" i="1" s="1"/>
  <c r="AQ224" i="1"/>
  <c r="AT224" i="1" s="1"/>
  <c r="AQ208" i="1"/>
  <c r="AT208" i="1" s="1"/>
  <c r="AQ192" i="1"/>
  <c r="AT192" i="1" s="1"/>
  <c r="AQ176" i="1"/>
  <c r="AT176" i="1" s="1"/>
  <c r="AQ88" i="1"/>
  <c r="AT88" i="1" s="1"/>
  <c r="AQ64" i="1"/>
  <c r="AT64" i="1" s="1"/>
  <c r="AQ48" i="1"/>
  <c r="AT48" i="1" s="1"/>
  <c r="AQ32" i="1"/>
  <c r="AT32" i="1" s="1"/>
  <c r="AQ16" i="1"/>
  <c r="AT16" i="1" s="1"/>
  <c r="AQ195" i="1"/>
  <c r="AT195" i="1" s="1"/>
  <c r="AQ151" i="1"/>
  <c r="AT151" i="1" s="1"/>
  <c r="AQ55" i="1"/>
  <c r="AT55" i="1" s="1"/>
  <c r="AQ166" i="1"/>
  <c r="AT166" i="1" s="1"/>
  <c r="AQ244" i="1"/>
  <c r="AT244" i="1" s="1"/>
  <c r="AQ196" i="1"/>
  <c r="AT196" i="1" s="1"/>
  <c r="AQ156" i="1"/>
  <c r="AT156" i="1" s="1"/>
  <c r="AQ140" i="1"/>
  <c r="AT140" i="1" s="1"/>
  <c r="AQ124" i="1"/>
  <c r="AT124" i="1" s="1"/>
  <c r="AQ108" i="1"/>
  <c r="AT108" i="1" s="1"/>
  <c r="AQ92" i="1"/>
  <c r="AT92" i="1" s="1"/>
  <c r="AQ76" i="1"/>
  <c r="AT76" i="1" s="1"/>
  <c r="AQ60" i="1"/>
  <c r="AT60" i="1" s="1"/>
  <c r="AQ44" i="1"/>
  <c r="AT44" i="1" s="1"/>
  <c r="AQ111" i="1"/>
  <c r="AT111" i="1" s="1"/>
  <c r="AQ14" i="1"/>
  <c r="AT14" i="1" s="1"/>
  <c r="AQ3" i="1"/>
  <c r="AT3" i="1" s="1"/>
  <c r="AQ160" i="1"/>
  <c r="AT160" i="1" s="1"/>
  <c r="AQ144" i="1"/>
  <c r="AT144" i="1" s="1"/>
  <c r="AQ128" i="1"/>
  <c r="AT128" i="1" s="1"/>
  <c r="AQ112" i="1"/>
  <c r="AT112" i="1" s="1"/>
  <c r="AQ96" i="1"/>
  <c r="AT96" i="1" s="1"/>
  <c r="AQ80" i="1"/>
  <c r="AT80" i="1" s="1"/>
  <c r="AQ227" i="1"/>
  <c r="AT227" i="1" s="1"/>
  <c r="AQ179" i="1"/>
  <c r="AT179" i="1" s="1"/>
  <c r="AQ139" i="1"/>
  <c r="AT139" i="1" s="1"/>
  <c r="AQ91" i="1"/>
  <c r="AT91" i="1" s="1"/>
  <c r="AQ11" i="1"/>
  <c r="AT11" i="1" s="1"/>
  <c r="AQ154" i="1"/>
  <c r="AT154" i="1" s="1"/>
  <c r="AQ103" i="1"/>
  <c r="AT103" i="1" s="1"/>
  <c r="AQ23" i="1"/>
  <c r="AT23" i="1" s="1"/>
  <c r="AQ246" i="1"/>
  <c r="AT246" i="1" s="1"/>
  <c r="AQ164" i="1"/>
  <c r="AT164" i="1" s="1"/>
  <c r="AQ148" i="1"/>
  <c r="AT148" i="1" s="1"/>
  <c r="AQ132" i="1"/>
  <c r="AT132" i="1" s="1"/>
  <c r="AQ116" i="1"/>
  <c r="AT116" i="1" s="1"/>
  <c r="AQ100" i="1"/>
  <c r="AT100" i="1" s="1"/>
  <c r="AQ84" i="1"/>
  <c r="AT84" i="1" s="1"/>
  <c r="AQ68" i="1"/>
  <c r="AT68" i="1" s="1"/>
  <c r="AQ52" i="1"/>
  <c r="AT52" i="1" s="1"/>
  <c r="AQ36" i="1"/>
  <c r="AT36" i="1" s="1"/>
  <c r="AQ127" i="1"/>
  <c r="AT127" i="1" s="1"/>
  <c r="AQ163" i="1"/>
  <c r="AT163" i="1" s="1"/>
  <c r="AQ115" i="1"/>
  <c r="AT115" i="1" s="1"/>
  <c r="AQ67" i="1"/>
  <c r="AT67" i="1" s="1"/>
  <c r="AQ152" i="1"/>
  <c r="AT152" i="1" s="1"/>
  <c r="AQ136" i="1"/>
  <c r="AT136" i="1" s="1"/>
  <c r="AQ120" i="1"/>
  <c r="AT120" i="1" s="1"/>
  <c r="AQ104" i="1"/>
  <c r="AT104" i="1" s="1"/>
  <c r="AQ259" i="1"/>
  <c r="AT259" i="1" s="1"/>
  <c r="AQ82" i="1"/>
  <c r="AT82" i="1" s="1"/>
  <c r="AQ12" i="1"/>
  <c r="AT12" i="1" s="1"/>
  <c r="AQ87" i="1"/>
  <c r="AT87" i="1" s="1"/>
  <c r="AQ262" i="1"/>
  <c r="AT262" i="1" s="1"/>
  <c r="AQ230" i="1"/>
  <c r="AT230" i="1" s="1"/>
  <c r="AQ198" i="1"/>
  <c r="AT198" i="1" s="1"/>
  <c r="AQ369" i="1"/>
  <c r="AT369" i="1" s="1"/>
  <c r="AQ353" i="1"/>
  <c r="AT353" i="1" s="1"/>
  <c r="AQ337" i="1"/>
  <c r="AT337" i="1" s="1"/>
  <c r="AQ321" i="1"/>
  <c r="AT321" i="1" s="1"/>
  <c r="AQ305" i="1"/>
  <c r="AT305" i="1" s="1"/>
  <c r="AQ289" i="1"/>
  <c r="AT289" i="1" s="1"/>
  <c r="AQ273" i="1"/>
  <c r="AT273" i="1" s="1"/>
  <c r="AQ257" i="1"/>
  <c r="AT257" i="1" s="1"/>
  <c r="AQ241" i="1"/>
  <c r="AT241" i="1" s="1"/>
  <c r="AQ225" i="1"/>
  <c r="AT225" i="1" s="1"/>
  <c r="AQ209" i="1"/>
  <c r="AT209" i="1" s="1"/>
  <c r="AQ193" i="1"/>
  <c r="AT193" i="1" s="1"/>
  <c r="AQ177" i="1"/>
  <c r="AT177" i="1" s="1"/>
  <c r="AQ161" i="1"/>
  <c r="AT161" i="1" s="1"/>
  <c r="AQ145" i="1"/>
  <c r="AT145" i="1" s="1"/>
  <c r="AQ129" i="1"/>
  <c r="AT129" i="1" s="1"/>
  <c r="AQ113" i="1"/>
  <c r="AT113" i="1" s="1"/>
  <c r="AQ97" i="1"/>
  <c r="AT97" i="1" s="1"/>
  <c r="AQ81" i="1"/>
  <c r="AT81" i="1" s="1"/>
  <c r="AQ65" i="1"/>
  <c r="AT65" i="1" s="1"/>
  <c r="AQ49" i="1"/>
  <c r="AT49" i="1" s="1"/>
  <c r="AQ33" i="1"/>
  <c r="AT33" i="1" s="1"/>
  <c r="AQ17" i="1"/>
  <c r="AT17" i="1" s="1"/>
  <c r="AQ364" i="1"/>
  <c r="AT364" i="1" s="1"/>
  <c r="AQ348" i="1"/>
  <c r="AT348" i="1" s="1"/>
  <c r="AQ332" i="1"/>
  <c r="AT332" i="1" s="1"/>
  <c r="AQ316" i="1"/>
  <c r="AT316" i="1" s="1"/>
  <c r="AQ300" i="1"/>
  <c r="AT300" i="1" s="1"/>
  <c r="AQ284" i="1"/>
  <c r="AT284" i="1" s="1"/>
  <c r="AQ268" i="1"/>
  <c r="AT268" i="1" s="1"/>
  <c r="AQ252" i="1"/>
  <c r="AT252" i="1" s="1"/>
  <c r="AQ236" i="1"/>
  <c r="AT236" i="1" s="1"/>
  <c r="AQ220" i="1"/>
  <c r="AT220" i="1" s="1"/>
  <c r="AQ204" i="1"/>
  <c r="AT204" i="1" s="1"/>
  <c r="AQ188" i="1"/>
  <c r="AT188" i="1" s="1"/>
  <c r="AQ172" i="1"/>
  <c r="AT172" i="1" s="1"/>
  <c r="AQ28" i="1"/>
  <c r="AT28" i="1" s="1"/>
  <c r="AQ367" i="1"/>
  <c r="AT367" i="1" s="1"/>
  <c r="AQ343" i="1"/>
  <c r="AT343" i="1" s="1"/>
  <c r="AQ319" i="1"/>
  <c r="D33" i="2" s="1"/>
  <c r="AQ287" i="1"/>
  <c r="AT287" i="1" s="1"/>
  <c r="AQ255" i="1"/>
  <c r="AT255" i="1" s="1"/>
  <c r="AQ223" i="1"/>
  <c r="AT223" i="1" s="1"/>
  <c r="AQ191" i="1"/>
  <c r="AT191" i="1" s="1"/>
  <c r="AQ159" i="1"/>
  <c r="AT159" i="1" s="1"/>
  <c r="AQ95" i="1"/>
  <c r="AT95" i="1" s="1"/>
  <c r="AQ63" i="1"/>
  <c r="AT63" i="1" s="1"/>
  <c r="AQ373" i="1"/>
  <c r="AT373" i="1" s="1"/>
  <c r="AQ350" i="1"/>
  <c r="AT350" i="1" s="1"/>
  <c r="AQ318" i="1"/>
  <c r="AT318" i="1" s="1"/>
  <c r="AQ286" i="1"/>
  <c r="AT286" i="1" s="1"/>
  <c r="AQ254" i="1"/>
  <c r="AT254" i="1" s="1"/>
  <c r="AQ222" i="1"/>
  <c r="AT222" i="1" s="1"/>
  <c r="AQ190" i="1"/>
  <c r="AT190" i="1" s="1"/>
  <c r="AQ158" i="1"/>
  <c r="AT158" i="1" s="1"/>
  <c r="AQ126" i="1"/>
  <c r="AT126" i="1" s="1"/>
  <c r="AQ62" i="1"/>
  <c r="AT62" i="1" s="1"/>
  <c r="AQ30" i="1"/>
  <c r="AT30" i="1" s="1"/>
  <c r="AQ98" i="1"/>
  <c r="AT98" i="1" s="1"/>
  <c r="AQ34" i="1"/>
  <c r="AT34" i="1" s="1"/>
  <c r="AQ131" i="1"/>
  <c r="AT131" i="1" s="1"/>
  <c r="AQ99" i="1"/>
  <c r="AT99" i="1" s="1"/>
  <c r="AQ354" i="1"/>
  <c r="AT354" i="1" s="1"/>
  <c r="AQ322" i="1"/>
  <c r="AT322" i="1" s="1"/>
  <c r="AQ290" i="1"/>
  <c r="AT290" i="1" s="1"/>
  <c r="AQ258" i="1"/>
  <c r="AT258" i="1" s="1"/>
  <c r="AQ226" i="1"/>
  <c r="AT226" i="1" s="1"/>
  <c r="AQ194" i="1"/>
  <c r="AT194" i="1" s="1"/>
  <c r="AQ162" i="1"/>
  <c r="AT162" i="1" s="1"/>
  <c r="AQ90" i="1"/>
  <c r="AT90" i="1" s="1"/>
  <c r="AQ357" i="1"/>
  <c r="AT357" i="1" s="1"/>
  <c r="AQ341" i="1"/>
  <c r="AT341" i="1" s="1"/>
  <c r="AQ325" i="1"/>
  <c r="AT325" i="1" s="1"/>
  <c r="AQ309" i="1"/>
  <c r="AT309" i="1" s="1"/>
  <c r="AQ293" i="1"/>
  <c r="AT293" i="1" s="1"/>
  <c r="AQ277" i="1"/>
  <c r="AT277" i="1" s="1"/>
  <c r="AQ261" i="1"/>
  <c r="AT261" i="1" s="1"/>
  <c r="AQ245" i="1"/>
  <c r="AT245" i="1" s="1"/>
  <c r="AQ229" i="1"/>
  <c r="AT229" i="1" s="1"/>
  <c r="AQ213" i="1"/>
  <c r="AT213" i="1" s="1"/>
  <c r="AQ197" i="1"/>
  <c r="AT197" i="1" s="1"/>
  <c r="AQ181" i="1"/>
  <c r="AT181" i="1" s="1"/>
  <c r="AQ165" i="1"/>
  <c r="AT165" i="1" s="1"/>
  <c r="AQ149" i="1"/>
  <c r="AT149" i="1" s="1"/>
  <c r="AQ133" i="1"/>
  <c r="AT133" i="1" s="1"/>
  <c r="AQ117" i="1"/>
  <c r="AT117" i="1" s="1"/>
  <c r="AQ101" i="1"/>
  <c r="AT101" i="1" s="1"/>
  <c r="AQ85" i="1"/>
  <c r="AT85" i="1" s="1"/>
  <c r="AQ69" i="1"/>
  <c r="AT69" i="1" s="1"/>
  <c r="AQ53" i="1"/>
  <c r="AT53" i="1" s="1"/>
  <c r="AQ37" i="1"/>
  <c r="AT37" i="1" s="1"/>
  <c r="AQ21" i="1"/>
  <c r="AT21" i="1" s="1"/>
  <c r="AQ5" i="1"/>
  <c r="AT5" i="1" s="1"/>
  <c r="AQ360" i="1"/>
  <c r="AT360" i="1" s="1"/>
  <c r="AQ344" i="1"/>
  <c r="AT344" i="1" s="1"/>
  <c r="AQ328" i="1"/>
  <c r="AT328" i="1" s="1"/>
  <c r="AQ312" i="1"/>
  <c r="AT312" i="1" s="1"/>
  <c r="AQ296" i="1"/>
  <c r="AT296" i="1" s="1"/>
  <c r="AQ280" i="1"/>
  <c r="AT280" i="1" s="1"/>
  <c r="AQ264" i="1"/>
  <c r="AT264" i="1" s="1"/>
  <c r="AQ168" i="1"/>
  <c r="AT168" i="1" s="1"/>
  <c r="AQ72" i="1"/>
  <c r="AT72" i="1" s="1"/>
  <c r="AQ371" i="1"/>
  <c r="AT371" i="1" s="1"/>
  <c r="AQ355" i="1"/>
  <c r="AT355" i="1" s="1"/>
  <c r="AQ339" i="1"/>
  <c r="AT339" i="1" s="1"/>
  <c r="AQ323" i="1"/>
  <c r="AT323" i="1" s="1"/>
  <c r="AQ307" i="1"/>
  <c r="AT307" i="1" s="1"/>
  <c r="AQ291" i="1"/>
  <c r="AT291" i="1" s="1"/>
  <c r="AQ275" i="1"/>
  <c r="AT275" i="1" s="1"/>
  <c r="AQ187" i="1"/>
  <c r="AT187" i="1" s="1"/>
  <c r="AQ171" i="1"/>
  <c r="AT171" i="1" s="1"/>
  <c r="AQ107" i="1"/>
  <c r="AT107" i="1" s="1"/>
  <c r="AQ75" i="1"/>
  <c r="AT75" i="1" s="1"/>
  <c r="AQ362" i="1"/>
  <c r="AT362" i="1" s="1"/>
  <c r="AQ330" i="1"/>
  <c r="AT330" i="1" s="1"/>
  <c r="AQ298" i="1"/>
  <c r="AT298" i="1" s="1"/>
  <c r="AQ266" i="1"/>
  <c r="AT266" i="1" s="1"/>
  <c r="AQ234" i="1"/>
  <c r="AT234" i="1" s="1"/>
  <c r="AQ202" i="1"/>
  <c r="AT202" i="1" s="1"/>
  <c r="AQ170" i="1"/>
  <c r="AT170" i="1" s="1"/>
  <c r="AQ138" i="1"/>
  <c r="AT138" i="1" s="1"/>
  <c r="AQ50" i="1"/>
  <c r="AT50" i="1" s="1"/>
  <c r="AQ327" i="1"/>
  <c r="AT327" i="1" s="1"/>
  <c r="AQ295" i="1"/>
  <c r="AT295" i="1" s="1"/>
  <c r="AQ263" i="1"/>
  <c r="AT263" i="1" s="1"/>
  <c r="AQ231" i="1"/>
  <c r="AT231" i="1" s="1"/>
  <c r="AQ199" i="1"/>
  <c r="AT199" i="1" s="1"/>
  <c r="AQ167" i="1"/>
  <c r="AT167" i="1" s="1"/>
  <c r="AQ71" i="1"/>
  <c r="AT71" i="1" s="1"/>
  <c r="AQ39" i="1"/>
  <c r="AT39" i="1" s="1"/>
  <c r="AQ7" i="1"/>
  <c r="AT7" i="1" s="1"/>
  <c r="AQ358" i="1"/>
  <c r="AT358" i="1" s="1"/>
  <c r="AQ326" i="1"/>
  <c r="AT326" i="1" s="1"/>
  <c r="AQ294" i="1"/>
  <c r="AT294" i="1" s="1"/>
  <c r="AQ134" i="1"/>
  <c r="AT134" i="1" s="1"/>
  <c r="AQ102" i="1"/>
  <c r="AT102" i="1" s="1"/>
  <c r="AQ38" i="1"/>
  <c r="AT38" i="1" s="1"/>
  <c r="AQ6" i="1"/>
  <c r="AT6" i="1" s="1"/>
  <c r="AQ42" i="1"/>
  <c r="AT42" i="1" s="1"/>
  <c r="AQ361" i="1"/>
  <c r="AT361" i="1" s="1"/>
  <c r="AQ345" i="1"/>
  <c r="AT345" i="1" s="1"/>
  <c r="AQ329" i="1"/>
  <c r="AT329" i="1" s="1"/>
  <c r="AQ313" i="1"/>
  <c r="AT313" i="1" s="1"/>
  <c r="AQ297" i="1"/>
  <c r="AT297" i="1" s="1"/>
  <c r="AQ281" i="1"/>
  <c r="AT281" i="1" s="1"/>
  <c r="AQ265" i="1"/>
  <c r="AT265" i="1" s="1"/>
  <c r="AQ249" i="1"/>
  <c r="AT249" i="1" s="1"/>
  <c r="AQ233" i="1"/>
  <c r="AT233" i="1" s="1"/>
  <c r="AQ217" i="1"/>
  <c r="AT217" i="1" s="1"/>
  <c r="AQ201" i="1"/>
  <c r="AT201" i="1" s="1"/>
  <c r="AQ185" i="1"/>
  <c r="AT185" i="1" s="1"/>
  <c r="AQ169" i="1"/>
  <c r="AT169" i="1" s="1"/>
  <c r="AQ153" i="1"/>
  <c r="AT153" i="1" s="1"/>
  <c r="AQ137" i="1"/>
  <c r="AT137" i="1" s="1"/>
  <c r="AQ121" i="1"/>
  <c r="AT121" i="1" s="1"/>
  <c r="AQ105" i="1"/>
  <c r="AT105" i="1" s="1"/>
  <c r="AQ89" i="1"/>
  <c r="AT89" i="1" s="1"/>
  <c r="AQ73" i="1"/>
  <c r="AT73" i="1" s="1"/>
  <c r="AQ57" i="1"/>
  <c r="AT57" i="1" s="1"/>
  <c r="AQ41" i="1"/>
  <c r="AT41" i="1" s="1"/>
  <c r="AQ25" i="1"/>
  <c r="AT25" i="1" s="1"/>
  <c r="AQ9" i="1"/>
  <c r="AT9" i="1" s="1"/>
  <c r="AQ356" i="1"/>
  <c r="AT356" i="1" s="1"/>
  <c r="AQ340" i="1"/>
  <c r="AT340" i="1" s="1"/>
  <c r="AQ324" i="1"/>
  <c r="AT324" i="1" s="1"/>
  <c r="AQ308" i="1"/>
  <c r="AT308" i="1" s="1"/>
  <c r="AQ292" i="1"/>
  <c r="AT292" i="1" s="1"/>
  <c r="AQ260" i="1"/>
  <c r="AT260" i="1" s="1"/>
  <c r="AQ228" i="1"/>
  <c r="AT228" i="1" s="1"/>
  <c r="AQ375" i="1"/>
  <c r="AT375" i="1" s="1"/>
  <c r="AQ359" i="1"/>
  <c r="AT359" i="1" s="1"/>
  <c r="AQ335" i="1"/>
  <c r="AT335" i="1" s="1"/>
  <c r="AQ303" i="1"/>
  <c r="AT303" i="1" s="1"/>
  <c r="AQ271" i="1"/>
  <c r="AT271" i="1" s="1"/>
  <c r="AQ239" i="1"/>
  <c r="AT239" i="1" s="1"/>
  <c r="AQ207" i="1"/>
  <c r="AT207" i="1" s="1"/>
  <c r="AQ175" i="1"/>
  <c r="AT175" i="1" s="1"/>
  <c r="AQ143" i="1"/>
  <c r="AT143" i="1" s="1"/>
  <c r="AQ47" i="1"/>
  <c r="AT47" i="1" s="1"/>
  <c r="AQ15" i="1"/>
  <c r="AT15" i="1" s="1"/>
  <c r="AQ366" i="1"/>
  <c r="AT366" i="1" s="1"/>
  <c r="AQ334" i="1"/>
  <c r="AT334" i="1" s="1"/>
  <c r="AQ302" i="1"/>
  <c r="AT302" i="1" s="1"/>
  <c r="AQ270" i="1"/>
  <c r="AT270" i="1" s="1"/>
  <c r="AQ238" i="1"/>
  <c r="AT238" i="1" s="1"/>
  <c r="AQ206" i="1"/>
  <c r="AT206" i="1" s="1"/>
  <c r="AQ174" i="1"/>
  <c r="AT174" i="1" s="1"/>
  <c r="AQ110" i="1"/>
  <c r="AT110" i="1" s="1"/>
  <c r="AQ78" i="1"/>
  <c r="AT78" i="1" s="1"/>
  <c r="AQ66" i="1"/>
  <c r="AT66" i="1" s="1"/>
  <c r="AQ203" i="1"/>
  <c r="AT203" i="1" s="1"/>
  <c r="AQ147" i="1"/>
  <c r="AT147" i="1" s="1"/>
  <c r="AQ83" i="1"/>
  <c r="AT83" i="1" s="1"/>
  <c r="AQ51" i="1"/>
  <c r="AT51" i="1" s="1"/>
  <c r="AQ19" i="1"/>
  <c r="AT19" i="1" s="1"/>
  <c r="AQ370" i="1"/>
  <c r="AT370" i="1" s="1"/>
  <c r="AQ338" i="1"/>
  <c r="AT338" i="1" s="1"/>
  <c r="AQ306" i="1"/>
  <c r="AT306" i="1" s="1"/>
  <c r="AQ274" i="1"/>
  <c r="AT274" i="1" s="1"/>
  <c r="AQ242" i="1"/>
  <c r="AT242" i="1" s="1"/>
  <c r="AQ210" i="1"/>
  <c r="AT210" i="1" s="1"/>
  <c r="AQ178" i="1"/>
  <c r="AT178" i="1" s="1"/>
  <c r="AQ146" i="1"/>
  <c r="AT146" i="1" s="1"/>
  <c r="AQ114" i="1"/>
  <c r="AT114" i="1" s="1"/>
  <c r="AQ365" i="1"/>
  <c r="AT365" i="1" s="1"/>
  <c r="AQ349" i="1"/>
  <c r="AT349" i="1" s="1"/>
  <c r="AQ333" i="1"/>
  <c r="AT333" i="1" s="1"/>
  <c r="AQ317" i="1"/>
  <c r="AT317" i="1" s="1"/>
  <c r="AQ301" i="1"/>
  <c r="AT301" i="1" s="1"/>
  <c r="AQ285" i="1"/>
  <c r="AT285" i="1" s="1"/>
  <c r="AQ269" i="1"/>
  <c r="AT269" i="1" s="1"/>
  <c r="AQ253" i="1"/>
  <c r="AT253" i="1" s="1"/>
  <c r="AQ237" i="1"/>
  <c r="AT237" i="1" s="1"/>
  <c r="AQ221" i="1"/>
  <c r="AT221" i="1" s="1"/>
  <c r="AQ205" i="1"/>
  <c r="AT205" i="1" s="1"/>
  <c r="AQ189" i="1"/>
  <c r="AT189" i="1" s="1"/>
  <c r="AQ173" i="1"/>
  <c r="AT173" i="1" s="1"/>
  <c r="AQ157" i="1"/>
  <c r="AT157" i="1" s="1"/>
  <c r="AQ141" i="1"/>
  <c r="AT141" i="1" s="1"/>
  <c r="AQ125" i="1"/>
  <c r="AT125" i="1" s="1"/>
  <c r="AQ109" i="1"/>
  <c r="AT109" i="1" s="1"/>
  <c r="AQ93" i="1"/>
  <c r="AT93" i="1" s="1"/>
  <c r="AQ77" i="1"/>
  <c r="AT77" i="1" s="1"/>
  <c r="AQ61" i="1"/>
  <c r="AT61" i="1" s="1"/>
  <c r="AQ45" i="1"/>
  <c r="AT45" i="1" s="1"/>
  <c r="AQ29" i="1"/>
  <c r="AT29" i="1" s="1"/>
  <c r="AQ13" i="1"/>
  <c r="AT13" i="1" s="1"/>
  <c r="AQ372" i="1"/>
  <c r="AT372" i="1" s="1"/>
  <c r="AQ352" i="1"/>
  <c r="AT352" i="1" s="1"/>
  <c r="AQ336" i="1"/>
  <c r="AT336" i="1" s="1"/>
  <c r="AQ320" i="1"/>
  <c r="AT320" i="1" s="1"/>
  <c r="AQ304" i="1"/>
  <c r="AT304" i="1" s="1"/>
  <c r="AQ288" i="1"/>
  <c r="AT288" i="1" s="1"/>
  <c r="AQ272" i="1"/>
  <c r="AT272" i="1" s="1"/>
  <c r="AQ376" i="1"/>
  <c r="AT376" i="1" s="1"/>
  <c r="AQ363" i="1"/>
  <c r="AT363" i="1" s="1"/>
  <c r="AQ347" i="1"/>
  <c r="AT347" i="1" s="1"/>
  <c r="AQ331" i="1"/>
  <c r="AT331" i="1" s="1"/>
  <c r="AQ315" i="1"/>
  <c r="AT315" i="1" s="1"/>
  <c r="AQ299" i="1"/>
  <c r="AT299" i="1" s="1"/>
  <c r="AQ283" i="1"/>
  <c r="AT283" i="1" s="1"/>
  <c r="AQ267" i="1"/>
  <c r="AT267" i="1" s="1"/>
  <c r="AQ251" i="1"/>
  <c r="AT251" i="1" s="1"/>
  <c r="AQ235" i="1"/>
  <c r="AT235" i="1" s="1"/>
  <c r="AQ219" i="1"/>
  <c r="AT219" i="1" s="1"/>
  <c r="AQ155" i="1"/>
  <c r="AT155" i="1" s="1"/>
  <c r="AQ123" i="1"/>
  <c r="AT123" i="1" s="1"/>
  <c r="AQ27" i="1"/>
  <c r="AT27" i="1" s="1"/>
  <c r="AQ368" i="1"/>
  <c r="AT368" i="1" s="1"/>
  <c r="AQ346" i="1"/>
  <c r="AT346" i="1" s="1"/>
  <c r="AQ314" i="1"/>
  <c r="AT314" i="1" s="1"/>
  <c r="AQ282" i="1"/>
  <c r="AT282" i="1" s="1"/>
  <c r="AQ250" i="1"/>
  <c r="AT250" i="1" s="1"/>
  <c r="AQ218" i="1"/>
  <c r="AT218" i="1" s="1"/>
  <c r="AQ186" i="1"/>
  <c r="AT186" i="1" s="1"/>
  <c r="AQ122" i="1"/>
  <c r="AT122" i="1" s="1"/>
  <c r="AQ10" i="1"/>
  <c r="AT10" i="1" s="1"/>
  <c r="AQ351" i="1"/>
  <c r="AT351" i="1" s="1"/>
  <c r="AQ311" i="1"/>
  <c r="AT311" i="1" s="1"/>
  <c r="AQ279" i="1"/>
  <c r="AT279" i="1" s="1"/>
  <c r="AQ247" i="1"/>
  <c r="AT247" i="1" s="1"/>
  <c r="AQ215" i="1"/>
  <c r="AT215" i="1" s="1"/>
  <c r="AQ183" i="1"/>
  <c r="AT183" i="1" s="1"/>
  <c r="AQ119" i="1"/>
  <c r="AT119" i="1" s="1"/>
  <c r="AQ374" i="1"/>
  <c r="AT374" i="1" s="1"/>
  <c r="AQ342" i="1"/>
  <c r="AT342" i="1" s="1"/>
  <c r="AQ310" i="1"/>
  <c r="AT310" i="1" s="1"/>
  <c r="AQ278" i="1"/>
  <c r="AT278" i="1" s="1"/>
  <c r="AQ150" i="1"/>
  <c r="AT150" i="1" s="1"/>
  <c r="AQ118" i="1"/>
  <c r="AT118" i="1" s="1"/>
  <c r="AQ86" i="1"/>
  <c r="AT86" i="1" s="1"/>
  <c r="AQ54" i="1"/>
  <c r="AT54" i="1" s="1"/>
  <c r="AQ22" i="1"/>
  <c r="AT22" i="1" s="1"/>
  <c r="AQ74" i="1"/>
  <c r="AT74" i="1" s="1"/>
  <c r="AQ18" i="1"/>
  <c r="AT18" i="1" s="1"/>
  <c r="AT319" i="1" l="1"/>
  <c r="D34"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<sst xmlns="http://schemas.openxmlformats.org/spreadsheetml/2006/main" count="9247" uniqueCount="2862">
  <si>
    <t>S. No</t>
  </si>
  <si>
    <t>Form No.</t>
  </si>
  <si>
    <t>User ID</t>
  </si>
  <si>
    <t>Password</t>
  </si>
  <si>
    <t>Student Roll No.</t>
  </si>
  <si>
    <t>DATE OF ADMISSION</t>
  </si>
  <si>
    <t>EMCE834604@emaxindia.in</t>
  </si>
  <si>
    <t>EMCE834604</t>
  </si>
  <si>
    <t>Diploma in Computer Application (DCA)</t>
  </si>
  <si>
    <t>Diploma Course</t>
  </si>
  <si>
    <t>2024-25</t>
  </si>
  <si>
    <t>EMCE841967@emaxindia.in</t>
  </si>
  <si>
    <t>EMCE841967</t>
  </si>
  <si>
    <t>Advanced Excel &amp; MIS</t>
  </si>
  <si>
    <t>Certification Course</t>
  </si>
  <si>
    <t>2024</t>
  </si>
  <si>
    <t>EMCE878479@emaxindia.in</t>
  </si>
  <si>
    <t>EMCE878479</t>
  </si>
  <si>
    <t>Web Designing</t>
  </si>
  <si>
    <t>EMCE832654@emaxindia.in</t>
  </si>
  <si>
    <t>EMCE832654</t>
  </si>
  <si>
    <t>CDTP (Certificate in DTP)</t>
  </si>
  <si>
    <t>EMCE844507@emaxindia.in</t>
  </si>
  <si>
    <t>EMCE844507</t>
  </si>
  <si>
    <t>EMCE859927@emaxindia.in</t>
  </si>
  <si>
    <t>EMCE859927</t>
  </si>
  <si>
    <t>Post Graduation Diploma in Computer Application (PGDCA)</t>
  </si>
  <si>
    <t>EMCE859707@emaxindia.in</t>
  </si>
  <si>
    <t>EMCE859707</t>
  </si>
  <si>
    <t>CCC (Course on Computer Concepts)</t>
  </si>
  <si>
    <t>EMCE853148@emaxindia.in</t>
  </si>
  <si>
    <t>EMCE853148</t>
  </si>
  <si>
    <t>Hindi Typing (25 WPM)</t>
  </si>
  <si>
    <t>EMCE850578@emaxindia.in</t>
  </si>
  <si>
    <t>EMCE850578</t>
  </si>
  <si>
    <t>Data Entry Operator (DEO)</t>
  </si>
  <si>
    <t>EMCE837917@emaxindia.in</t>
  </si>
  <si>
    <t>EMCE837917</t>
  </si>
  <si>
    <t>DDTP (Diploma in Desktop Publishing)</t>
  </si>
  <si>
    <t>EMCE846705@emaxindia.in</t>
  </si>
  <si>
    <t>EMCE846705</t>
  </si>
  <si>
    <t>EMCE852666@emaxindia.in</t>
  </si>
  <si>
    <t>EMCE852666</t>
  </si>
  <si>
    <t>EMCE835726@emaxindia.in</t>
  </si>
  <si>
    <t>EMCE835726</t>
  </si>
  <si>
    <t>English Typing (30 WPM)</t>
  </si>
  <si>
    <t>EMCE851646@emaxindia.in</t>
  </si>
  <si>
    <t>EMCE851646</t>
  </si>
  <si>
    <t>90 Days Basic Computer Course (BCC)</t>
  </si>
  <si>
    <t>EMCE853851@emaxindia.in</t>
  </si>
  <si>
    <t>EMCE853851</t>
  </si>
  <si>
    <t>EMCE839149@emaxindia.in</t>
  </si>
  <si>
    <t>EMCE839149</t>
  </si>
  <si>
    <t>EMCE838634@emaxindia.in</t>
  </si>
  <si>
    <t>EMCE838634</t>
  </si>
  <si>
    <t>EMCE845431@emaxindia.in</t>
  </si>
  <si>
    <t>EMCE845431</t>
  </si>
  <si>
    <t>EMCE885254@emaxindia.in</t>
  </si>
  <si>
    <t>EMCE885254</t>
  </si>
  <si>
    <t>EMCE835100@emaxindia.in</t>
  </si>
  <si>
    <t>EMCE835100</t>
  </si>
  <si>
    <t>EMCE837481@emaxindia.in</t>
  </si>
  <si>
    <t>EMCE837481</t>
  </si>
  <si>
    <t>EMCE832902@emaxindia.in</t>
  </si>
  <si>
    <t>EMCE832902</t>
  </si>
  <si>
    <t>MS-CIT</t>
  </si>
  <si>
    <t>EMCE852939@emaxindia.in</t>
  </si>
  <si>
    <t>EMCE852939</t>
  </si>
  <si>
    <t>EMCE860567@emaxindia.in</t>
  </si>
  <si>
    <t>EMCE860567</t>
  </si>
  <si>
    <t>Hardware &amp; Networking</t>
  </si>
  <si>
    <t>EMCE831448@emaxindia.in</t>
  </si>
  <si>
    <t>EMCE831448</t>
  </si>
  <si>
    <t>EMCE844742@emaxindia.in</t>
  </si>
  <si>
    <t>EMCE844742</t>
  </si>
  <si>
    <t>EMCE840729@emaxindia.in</t>
  </si>
  <si>
    <t>EMCE840729</t>
  </si>
  <si>
    <t>EMCE856128@emaxindia.in</t>
  </si>
  <si>
    <t>EMCE856128</t>
  </si>
  <si>
    <t>EMCE881436@emaxindia.in</t>
  </si>
  <si>
    <t>EMCE881436</t>
  </si>
  <si>
    <t>EMCE879584@emaxindia.in</t>
  </si>
  <si>
    <t>EMCE879584</t>
  </si>
  <si>
    <t>EMCE830099@emaxindia.in</t>
  </si>
  <si>
    <t>EMCE830099</t>
  </si>
  <si>
    <t>EMCE854945@emaxindia.in</t>
  </si>
  <si>
    <t>EMCE854945</t>
  </si>
  <si>
    <t>EMCE864338@emaxindia.in</t>
  </si>
  <si>
    <t>EMCE864338</t>
  </si>
  <si>
    <t>EMCE863168@emaxindia.in</t>
  </si>
  <si>
    <t>EMCE863168</t>
  </si>
  <si>
    <t>EMCE866232@emaxindia.in</t>
  </si>
  <si>
    <t>EMCE866232</t>
  </si>
  <si>
    <t>EMCE833758@emaxindia.in</t>
  </si>
  <si>
    <t>EMCE833758</t>
  </si>
  <si>
    <t>Tally Prime with GST</t>
  </si>
  <si>
    <t>EMCE864961@emaxindia.in</t>
  </si>
  <si>
    <t>EMCE864961</t>
  </si>
  <si>
    <t>EMCE865537@emaxindia.in</t>
  </si>
  <si>
    <t>EMCE865537</t>
  </si>
  <si>
    <t>EMCE832293@emaxindia.in</t>
  </si>
  <si>
    <t>EMCE832293</t>
  </si>
  <si>
    <t>EMCE852847@emaxindia.in</t>
  </si>
  <si>
    <t>EMCE852847</t>
  </si>
  <si>
    <t>EMCE854911@emaxindia.in</t>
  </si>
  <si>
    <t>EMCE854911</t>
  </si>
  <si>
    <t>EMCE875930@emaxindia.in</t>
  </si>
  <si>
    <t>EMCE875930</t>
  </si>
  <si>
    <t>EMCE879845@emaxindia.in</t>
  </si>
  <si>
    <t>EMCE879845</t>
  </si>
  <si>
    <t>EMCE882904@emaxindia.in</t>
  </si>
  <si>
    <t>EMCE882904</t>
  </si>
  <si>
    <t>EMCE883450@emaxindia.in</t>
  </si>
  <si>
    <t>EMCE883450</t>
  </si>
  <si>
    <t>EMCE835322@emaxindia.in</t>
  </si>
  <si>
    <t>EMCE835322</t>
  </si>
  <si>
    <t>EMCE877256@emaxindia.in</t>
  </si>
  <si>
    <t>EMCE877256</t>
  </si>
  <si>
    <t>EMCE833359@emaxindia.in</t>
  </si>
  <si>
    <t>EMCE833359</t>
  </si>
  <si>
    <t>EMCE839630@emaxindia.in</t>
  </si>
  <si>
    <t>EMCE839630</t>
  </si>
  <si>
    <t>EMCE857668@emaxindia.in</t>
  </si>
  <si>
    <t>EMCE857668</t>
  </si>
  <si>
    <t>EMCE867321@emaxindia.in</t>
  </si>
  <si>
    <t>EMCE867321</t>
  </si>
  <si>
    <t>EMCE830281@emaxindia.in</t>
  </si>
  <si>
    <t>EMCE830281</t>
  </si>
  <si>
    <t>EMCE845299@emaxindia.in</t>
  </si>
  <si>
    <t>EMCE845299</t>
  </si>
  <si>
    <t>EMCE833412@emaxindia.in</t>
  </si>
  <si>
    <t>EMCE833412</t>
  </si>
  <si>
    <t>EMCE876689@emaxindia.in</t>
  </si>
  <si>
    <t>EMCE876689</t>
  </si>
  <si>
    <t>EMCE880517@emaxindia.in</t>
  </si>
  <si>
    <t>EMCE880517</t>
  </si>
  <si>
    <t>EMCE858500@emaxindia.in</t>
  </si>
  <si>
    <t>EMCE858500</t>
  </si>
  <si>
    <t>EMCE827846@emaxindia.in</t>
  </si>
  <si>
    <t>EMCE827846</t>
  </si>
  <si>
    <t>EMCE828210@emaxindia.in</t>
  </si>
  <si>
    <t>EMCE828210</t>
  </si>
  <si>
    <t>EMCE828899@emaxindia.in</t>
  </si>
  <si>
    <t>EMCE828899</t>
  </si>
  <si>
    <t>EMCE839722@emaxindia.in</t>
  </si>
  <si>
    <t>EMCE839722</t>
  </si>
  <si>
    <t>EMCE853449@emaxindia.in</t>
  </si>
  <si>
    <t>EMCE853449</t>
  </si>
  <si>
    <t>EMCE846072@emaxindia.in</t>
  </si>
  <si>
    <t>EMCE846072</t>
  </si>
  <si>
    <t>EMCE831614@emaxindia.in</t>
  </si>
  <si>
    <t>EMCE831614</t>
  </si>
  <si>
    <t>EMCE846429@emaxindia.in</t>
  </si>
  <si>
    <t>EMCE846429</t>
  </si>
  <si>
    <t>EMCE851355@emaxindia.in</t>
  </si>
  <si>
    <t>EMCE851355</t>
  </si>
  <si>
    <t>EMCE871944@emaxindia.in</t>
  </si>
  <si>
    <t>EMCE871944</t>
  </si>
  <si>
    <t>EMCE879426@emaxindia.in</t>
  </si>
  <si>
    <t>EMCE879426</t>
  </si>
  <si>
    <t>EMCE841540@emaxindia.in</t>
  </si>
  <si>
    <t>EMCE841540</t>
  </si>
  <si>
    <t>EMCE874189@emaxindia.in</t>
  </si>
  <si>
    <t>EMCE874189</t>
  </si>
  <si>
    <t>EMCE877031@emaxindia.in</t>
  </si>
  <si>
    <t>EMCE877031</t>
  </si>
  <si>
    <t>EMCE829750@emaxindia.in</t>
  </si>
  <si>
    <t>EMCE829750</t>
  </si>
  <si>
    <t>EMCE831291@emaxindia.in</t>
  </si>
  <si>
    <t>EMCE831291</t>
  </si>
  <si>
    <t>EMCE845621@emaxindia.in</t>
  </si>
  <si>
    <t>EMCE845621</t>
  </si>
  <si>
    <t>EMCE858656@emaxindia.in</t>
  </si>
  <si>
    <t>EMCE858656</t>
  </si>
  <si>
    <t>EMCE882756@emaxindia.in</t>
  </si>
  <si>
    <t>EMCE882756</t>
  </si>
  <si>
    <t>EMCE836842@emaxindia.in</t>
  </si>
  <si>
    <t>EMCE836842</t>
  </si>
  <si>
    <t>EMCE865936@emaxindia.in</t>
  </si>
  <si>
    <t>EMCE865936</t>
  </si>
  <si>
    <t>EMCE873360@emaxindia.in</t>
  </si>
  <si>
    <t>EMCE873360</t>
  </si>
  <si>
    <t>EMCE873837@emaxindia.in</t>
  </si>
  <si>
    <t>EMCE873837</t>
  </si>
  <si>
    <t>EMCE832732@emaxindia.in</t>
  </si>
  <si>
    <t>EMCE832732</t>
  </si>
  <si>
    <t>EMCE838520@emaxindia.in</t>
  </si>
  <si>
    <t>EMCE838520</t>
  </si>
  <si>
    <t>EMCE870579@emaxindia.in</t>
  </si>
  <si>
    <t>EMCE870579</t>
  </si>
  <si>
    <t>EMCE871382@emaxindia.in</t>
  </si>
  <si>
    <t>EMCE871382</t>
  </si>
  <si>
    <t>EMCE866027@emaxindia.in</t>
  </si>
  <si>
    <t>EMCE866027</t>
  </si>
  <si>
    <t>EMCE831891@emaxindia.in</t>
  </si>
  <si>
    <t>EMCE831891</t>
  </si>
  <si>
    <t>EMCE865351@emaxindia.in</t>
  </si>
  <si>
    <t>EMCE865351</t>
  </si>
  <si>
    <t>EMCE832076@emaxindia.in</t>
  </si>
  <si>
    <t>EMCE832076</t>
  </si>
  <si>
    <t>EMCE873937@emaxindia.in</t>
  </si>
  <si>
    <t>EMCE873937</t>
  </si>
  <si>
    <t>EMCE860099@emaxindia.in</t>
  </si>
  <si>
    <t>EMCE860099</t>
  </si>
  <si>
    <t>EMCE827513@emaxindia.in</t>
  </si>
  <si>
    <t>EMCE827513</t>
  </si>
  <si>
    <t>EMCE828844@emaxindia.in</t>
  </si>
  <si>
    <t>EMCE828844</t>
  </si>
  <si>
    <t>EMCE835612@emaxindia.in</t>
  </si>
  <si>
    <t>EMCE835612</t>
  </si>
  <si>
    <t>EMCE844705@emaxindia.in</t>
  </si>
  <si>
    <t>EMCE844705</t>
  </si>
  <si>
    <t>EMCE869300@emaxindia.in</t>
  </si>
  <si>
    <t>EMCE869300</t>
  </si>
  <si>
    <t>EMCE884082@emaxindia.in</t>
  </si>
  <si>
    <t>EMCE884082</t>
  </si>
  <si>
    <t>EMCE878041@emaxindia.in</t>
  </si>
  <si>
    <t>EMCE878041</t>
  </si>
  <si>
    <t>EMCE855660@emaxindia.in</t>
  </si>
  <si>
    <t>EMCE855660</t>
  </si>
  <si>
    <t>EMCE861248@emaxindia.in</t>
  </si>
  <si>
    <t>EMCE861248</t>
  </si>
  <si>
    <t>EMCE827381@emaxindia.in</t>
  </si>
  <si>
    <t>EMCE827381</t>
  </si>
  <si>
    <t>EMCE828084@emaxindia.in</t>
  </si>
  <si>
    <t>EMCE828084</t>
  </si>
  <si>
    <t>EMCE850047@emaxindia.in</t>
  </si>
  <si>
    <t>EMCE850047</t>
  </si>
  <si>
    <t>EMCE873457@emaxindia.in</t>
  </si>
  <si>
    <t>EMCE873457</t>
  </si>
  <si>
    <t>EMCE829002@emaxindia.in</t>
  </si>
  <si>
    <t>EMCE829002</t>
  </si>
  <si>
    <t>EMCE863229@emaxindia.in</t>
  </si>
  <si>
    <t>EMCE863229</t>
  </si>
  <si>
    <t>EMCE868851@emaxindia.in</t>
  </si>
  <si>
    <t>EMCE868851</t>
  </si>
  <si>
    <t>EMCE845024@emaxindia.in</t>
  </si>
  <si>
    <t>EMCE845024</t>
  </si>
  <si>
    <t>EMCE867548@emaxindia.in</t>
  </si>
  <si>
    <t>EMCE867548</t>
  </si>
  <si>
    <t>EMCE847708@emaxindia.in</t>
  </si>
  <si>
    <t>EMCE847708</t>
  </si>
  <si>
    <t>EMCE872110@emaxindia.in</t>
  </si>
  <si>
    <t>EMCE872110</t>
  </si>
  <si>
    <t>EMCE833085@emaxindia.in</t>
  </si>
  <si>
    <t>EMCE833085</t>
  </si>
  <si>
    <t>EMCE831758@emaxindia.in</t>
  </si>
  <si>
    <t>EMCE831758</t>
  </si>
  <si>
    <t>EMCE864273@emaxindia.in</t>
  </si>
  <si>
    <t>EMCE864273</t>
  </si>
  <si>
    <t>EMCE884024@emaxindia.in</t>
  </si>
  <si>
    <t>EMCE884024</t>
  </si>
  <si>
    <t>EMCE833653@emaxindia.in</t>
  </si>
  <si>
    <t>EMCE833653</t>
  </si>
  <si>
    <t>EMCE850313@emaxindia.in</t>
  </si>
  <si>
    <t>EMCE850313</t>
  </si>
  <si>
    <t>EMCE849694@emaxindia.in</t>
  </si>
  <si>
    <t>EMCE849694</t>
  </si>
  <si>
    <t>EMCE876559@emaxindia.in</t>
  </si>
  <si>
    <t>EMCE876559</t>
  </si>
  <si>
    <t>EMCE833149@emaxindia.in</t>
  </si>
  <si>
    <t>EMCE833149</t>
  </si>
  <si>
    <t>EMCE871009@emaxindia.in</t>
  </si>
  <si>
    <t>EMCE871009</t>
  </si>
  <si>
    <t>EMCE849048@emaxindia.in</t>
  </si>
  <si>
    <t>EMCE849048</t>
  </si>
  <si>
    <t>EMCE844132@emaxindia.in</t>
  </si>
  <si>
    <t>EMCE844132</t>
  </si>
  <si>
    <t>EMCE879927@emaxindia.in</t>
  </si>
  <si>
    <t>EMCE879927</t>
  </si>
  <si>
    <t>EMCE841264@emaxindia.in</t>
  </si>
  <si>
    <t>EMCE841264</t>
  </si>
  <si>
    <t>EMCE840972@emaxindia.in</t>
  </si>
  <si>
    <t>EMCE840972</t>
  </si>
  <si>
    <t>EMCE828272@emaxindia.in</t>
  </si>
  <si>
    <t>EMCE828272</t>
  </si>
  <si>
    <t>EMCE828676@emaxindia.in</t>
  </si>
  <si>
    <t>EMCE828676</t>
  </si>
  <si>
    <t>EMCE857391@emaxindia.in</t>
  </si>
  <si>
    <t>EMCE857391</t>
  </si>
  <si>
    <t>EMCE867755@emaxindia.in</t>
  </si>
  <si>
    <t>EMCE867755</t>
  </si>
  <si>
    <t>EMCE874901@emaxindia.in</t>
  </si>
  <si>
    <t>EMCE874901</t>
  </si>
  <si>
    <t>EMCE835469@emaxindia.in</t>
  </si>
  <si>
    <t>EMCE835469</t>
  </si>
  <si>
    <t>EMCE863582@emaxindia.in</t>
  </si>
  <si>
    <t>EMCE863582</t>
  </si>
  <si>
    <t>EMCE865701@emaxindia.in</t>
  </si>
  <si>
    <t>EMCE865701</t>
  </si>
  <si>
    <t>EMCE859479@emaxindia.in</t>
  </si>
  <si>
    <t>EMCE859479</t>
  </si>
  <si>
    <t>EMCE872757@emaxindia.in</t>
  </si>
  <si>
    <t>EMCE872757</t>
  </si>
  <si>
    <t>EMCE874323@emaxindia.in</t>
  </si>
  <si>
    <t>EMCE874323</t>
  </si>
  <si>
    <t>EMCE878110@emaxindia.in</t>
  </si>
  <si>
    <t>EMCE878110</t>
  </si>
  <si>
    <t>EMCE848851@emaxindia.in</t>
  </si>
  <si>
    <t>EMCE848851</t>
  </si>
  <si>
    <t>EMCE859789@emaxindia.in</t>
  </si>
  <si>
    <t>EMCE859789</t>
  </si>
  <si>
    <t>EMCE854381@emaxindia.in</t>
  </si>
  <si>
    <t>EMCE854381</t>
  </si>
  <si>
    <t>EMCE870335@emaxindia.in</t>
  </si>
  <si>
    <t>EMCE870335</t>
  </si>
  <si>
    <t>EMCE828518@emaxindia.in</t>
  </si>
  <si>
    <t>EMCE828518</t>
  </si>
  <si>
    <t>EMCE855461@emaxindia.in</t>
  </si>
  <si>
    <t>EMCE855461</t>
  </si>
  <si>
    <t>EMCE863003@emaxindia.in</t>
  </si>
  <si>
    <t>EMCE863003</t>
  </si>
  <si>
    <t>EMCE849015@emaxindia.in</t>
  </si>
  <si>
    <t>EMCE849015</t>
  </si>
  <si>
    <t>EMCE829160@emaxindia.in</t>
  </si>
  <si>
    <t>EMCE829160</t>
  </si>
  <si>
    <t>EMCE877500@emaxindia.in</t>
  </si>
  <si>
    <t>EMCE877500</t>
  </si>
  <si>
    <t>EMCE869528@emaxindia.in</t>
  </si>
  <si>
    <t>EMCE869528</t>
  </si>
  <si>
    <t>EMCE828415@emaxindia.in</t>
  </si>
  <si>
    <t>EMCE828415</t>
  </si>
  <si>
    <t>EMCE833831@emaxindia.in</t>
  </si>
  <si>
    <t>EMCE833831</t>
  </si>
  <si>
    <t>EMCE863492@emaxindia.in</t>
  </si>
  <si>
    <t>EMCE863492</t>
  </si>
  <si>
    <t>EMCE845861@emaxindia.in</t>
  </si>
  <si>
    <t>EMCE845861</t>
  </si>
  <si>
    <t>EMCE851093@emaxindia.in</t>
  </si>
  <si>
    <t>EMCE851093</t>
  </si>
  <si>
    <t>EMCE852249@emaxindia.in</t>
  </si>
  <si>
    <t>EMCE852249</t>
  </si>
  <si>
    <t>EMCE847835@emaxindia.in</t>
  </si>
  <si>
    <t>EMCE847835</t>
  </si>
  <si>
    <t>EMCE834877@emaxindia.in</t>
  </si>
  <si>
    <t>EMCE834877</t>
  </si>
  <si>
    <t>EMCE878270@emaxindia.in</t>
  </si>
  <si>
    <t>EMCE878270</t>
  </si>
  <si>
    <t>EMCE868532@emaxindia.in</t>
  </si>
  <si>
    <t>EMCE868532</t>
  </si>
  <si>
    <t>EMCE835211@emaxindia.in</t>
  </si>
  <si>
    <t>EMCE835211</t>
  </si>
  <si>
    <t>EMCE842490@emaxindia.in</t>
  </si>
  <si>
    <t>EMCE842490</t>
  </si>
  <si>
    <t>EMCE830947@emaxindia.in</t>
  </si>
  <si>
    <t>EMCE830947</t>
  </si>
  <si>
    <t>EMCE849213@emaxindia.in</t>
  </si>
  <si>
    <t>EMCE849213</t>
  </si>
  <si>
    <t>EMCE884426@emaxindia.in</t>
  </si>
  <si>
    <t>EMCE884426</t>
  </si>
  <si>
    <t>EMCE839362@emaxindia.in</t>
  </si>
  <si>
    <t>EMCE839362</t>
  </si>
  <si>
    <t>EMCE842246@emaxindia.in</t>
  </si>
  <si>
    <t>EMCE842246</t>
  </si>
  <si>
    <t>EMCE856645@emaxindia.in</t>
  </si>
  <si>
    <t>EMCE856645</t>
  </si>
  <si>
    <t>EMCE832188@emaxindia.in</t>
  </si>
  <si>
    <t>EMCE832188</t>
  </si>
  <si>
    <t>EMCE849558@emaxindia.in</t>
  </si>
  <si>
    <t>EMCE849558</t>
  </si>
  <si>
    <t>EMCE851162@emaxindia.in</t>
  </si>
  <si>
    <t>EMCE851162</t>
  </si>
  <si>
    <t>EMCE829928@emaxindia.in</t>
  </si>
  <si>
    <t>EMCE829928</t>
  </si>
  <si>
    <t>EMCE838761@emaxindia.in</t>
  </si>
  <si>
    <t>EMCE838761</t>
  </si>
  <si>
    <t>EMCE846303@emaxindia.in</t>
  </si>
  <si>
    <t>EMCE846303</t>
  </si>
  <si>
    <t>EMCE866625@emaxindia.in</t>
  </si>
  <si>
    <t>EMCE866625</t>
  </si>
  <si>
    <t>EMCE832469@emaxindia.in</t>
  </si>
  <si>
    <t>EMCE832469</t>
  </si>
  <si>
    <t>EMCE831139@emaxindia.in</t>
  </si>
  <si>
    <t>EMCE831139</t>
  </si>
  <si>
    <t>EMCE841684@emaxindia.in</t>
  </si>
  <si>
    <t>EMCE841684</t>
  </si>
  <si>
    <t>EMCE873224@emaxindia.in</t>
  </si>
  <si>
    <t>EMCE873224</t>
  </si>
  <si>
    <t>EMCE874284@emaxindia.in</t>
  </si>
  <si>
    <t>EMCE874284</t>
  </si>
  <si>
    <t>EMCE827318@emaxindia.in</t>
  </si>
  <si>
    <t>EMCE827318</t>
  </si>
  <si>
    <t>EMCE834268@emaxindia.in</t>
  </si>
  <si>
    <t>EMCE834268</t>
  </si>
  <si>
    <t>EMCE871596@emaxindia.in</t>
  </si>
  <si>
    <t>EMCE871596</t>
  </si>
  <si>
    <t>EMCE854840@emaxindia.in</t>
  </si>
  <si>
    <t>EMCE854840</t>
  </si>
  <si>
    <t>EMCE881810@emaxindia.in</t>
  </si>
  <si>
    <t>EMCE881810</t>
  </si>
  <si>
    <t>EMCE882529@emaxindia.in</t>
  </si>
  <si>
    <t>EMCE882529</t>
  </si>
  <si>
    <t>EMCE829035@emaxindia.in</t>
  </si>
  <si>
    <t>EMCE829035</t>
  </si>
  <si>
    <t>EMCE865075@emaxindia.in</t>
  </si>
  <si>
    <t>EMCE865075</t>
  </si>
  <si>
    <t>EMCE873795@emaxindia.in</t>
  </si>
  <si>
    <t>EMCE873795</t>
  </si>
  <si>
    <t>EMCE842170@emaxindia.in</t>
  </si>
  <si>
    <t>EMCE842170</t>
  </si>
  <si>
    <t>EMCE880729@emaxindia.in</t>
  </si>
  <si>
    <t>EMCE880729</t>
  </si>
  <si>
    <t>EMCE830794@emaxindia.in</t>
  </si>
  <si>
    <t>EMCE830794</t>
  </si>
  <si>
    <t>EMCE875647@emaxindia.in</t>
  </si>
  <si>
    <t>EMCE875647</t>
  </si>
  <si>
    <t>EMCE886001@emaxindia.in</t>
  </si>
  <si>
    <t>EMCE886001</t>
  </si>
  <si>
    <t>EMCE830429@emaxindia.in</t>
  </si>
  <si>
    <t>EMCE830429</t>
  </si>
  <si>
    <t>EMCE835868@emaxindia.in</t>
  </si>
  <si>
    <t>EMCE835868</t>
  </si>
  <si>
    <t>EMCE859841@emaxindia.in</t>
  </si>
  <si>
    <t>EMCE859841</t>
  </si>
  <si>
    <t>EMCE869004@emaxindia.in</t>
  </si>
  <si>
    <t>EMCE869004</t>
  </si>
  <si>
    <t>EMCE840358@emaxindia.in</t>
  </si>
  <si>
    <t>EMCE840358</t>
  </si>
  <si>
    <t>EMCE870034@emaxindia.in</t>
  </si>
  <si>
    <t>EMCE870034</t>
  </si>
  <si>
    <t>EMCE881037@emaxindia.in</t>
  </si>
  <si>
    <t>EMCE881037</t>
  </si>
  <si>
    <t>EMCE838239@emaxindia.in</t>
  </si>
  <si>
    <t>EMCE838239</t>
  </si>
  <si>
    <t>EMCE868397@emaxindia.in</t>
  </si>
  <si>
    <t>EMCE868397</t>
  </si>
  <si>
    <t>EMCE869748@emaxindia.in</t>
  </si>
  <si>
    <t>EMCE869748</t>
  </si>
  <si>
    <t>EMCE871279@emaxindia.in</t>
  </si>
  <si>
    <t>EMCE871279</t>
  </si>
  <si>
    <t>EMCE843556@emaxindia.in</t>
  </si>
  <si>
    <t>EMCE843556</t>
  </si>
  <si>
    <t>EMCE855220@emaxindia.in</t>
  </si>
  <si>
    <t>EMCE855220</t>
  </si>
  <si>
    <t>EMCE877883@emaxindia.in</t>
  </si>
  <si>
    <t>EMCE877883</t>
  </si>
  <si>
    <t>EMCE883149@emaxindia.in</t>
  </si>
  <si>
    <t>EMCE883149</t>
  </si>
  <si>
    <t>EMCE837741@emaxindia.in</t>
  </si>
  <si>
    <t>EMCE837741</t>
  </si>
  <si>
    <t>EMCE870153@emaxindia.in</t>
  </si>
  <si>
    <t>EMCE870153</t>
  </si>
  <si>
    <t>EMCE828155@emaxindia.in</t>
  </si>
  <si>
    <t>EMCE828155</t>
  </si>
  <si>
    <t>EMCE851903@emaxindia.in</t>
  </si>
  <si>
    <t>EMCE851903</t>
  </si>
  <si>
    <t>EMCE827618@emaxindia.in</t>
  </si>
  <si>
    <t>EMCE827618</t>
  </si>
  <si>
    <t>EMCE832776@emaxindia.in</t>
  </si>
  <si>
    <t>EMCE832776</t>
  </si>
  <si>
    <t>EMCE883807@emaxindia.in</t>
  </si>
  <si>
    <t>EMCE883807</t>
  </si>
  <si>
    <t>EMCE872406@emaxindia.in</t>
  </si>
  <si>
    <t>EMCE872406</t>
  </si>
  <si>
    <t>EMCE833511@emaxindia.in</t>
  </si>
  <si>
    <t>EMCE833511</t>
  </si>
  <si>
    <t>EMCE884954@emaxindia.in</t>
  </si>
  <si>
    <t>EMCE884954</t>
  </si>
  <si>
    <t>EMCE829365@emaxindia.in</t>
  </si>
  <si>
    <t>EMCE829365</t>
  </si>
  <si>
    <t>EMCE852459@emaxindia.in</t>
  </si>
  <si>
    <t>EMCE852459</t>
  </si>
  <si>
    <t>EMCE882593@emaxindia.in</t>
  </si>
  <si>
    <t>EMCE882593</t>
  </si>
  <si>
    <t>EMCE873500@emaxindia.in</t>
  </si>
  <si>
    <t>EMCE873500</t>
  </si>
  <si>
    <t>EMCE878165@emaxindia.in</t>
  </si>
  <si>
    <t>EMCE878165</t>
  </si>
  <si>
    <t>EMCE837225@emaxindia.in</t>
  </si>
  <si>
    <t>EMCE837225</t>
  </si>
  <si>
    <t>EMCE870196@emaxindia.in</t>
  </si>
  <si>
    <t>EMCE870196</t>
  </si>
  <si>
    <t>EMCE847622@emaxindia.in</t>
  </si>
  <si>
    <t>EMCE847622</t>
  </si>
  <si>
    <t>EMCE862698@emaxindia.in</t>
  </si>
  <si>
    <t>EMCE862698</t>
  </si>
  <si>
    <t>EMCE833267@emaxindia.in</t>
  </si>
  <si>
    <t>EMCE833267</t>
  </si>
  <si>
    <t>EMCE881353@emaxindia.in</t>
  </si>
  <si>
    <t>EMCE881353</t>
  </si>
  <si>
    <t>EMCE835352@emaxindia.in</t>
  </si>
  <si>
    <t>EMCE835352</t>
  </si>
  <si>
    <t>EMCE866501@emaxindia.in</t>
  </si>
  <si>
    <t>EMCE866501</t>
  </si>
  <si>
    <t>EMCE880980@emaxindia.in</t>
  </si>
  <si>
    <t>EMCE880980</t>
  </si>
  <si>
    <t>EMCE848802@emaxindia.in</t>
  </si>
  <si>
    <t>EMCE848802</t>
  </si>
  <si>
    <t>EMCE874394@emaxindia.in</t>
  </si>
  <si>
    <t>EMCE874394</t>
  </si>
  <si>
    <t>EMCE828242@emaxindia.in</t>
  </si>
  <si>
    <t>EMCE828242</t>
  </si>
  <si>
    <t>EMCE879002@emaxindia.in</t>
  </si>
  <si>
    <t>EMCE879002</t>
  </si>
  <si>
    <t>EMCE843089@emaxindia.in</t>
  </si>
  <si>
    <t>EMCE843089</t>
  </si>
  <si>
    <t>EMCE858386@emaxindia.in</t>
  </si>
  <si>
    <t>EMCE858386</t>
  </si>
  <si>
    <t>EMCE834428@emaxindia.in</t>
  </si>
  <si>
    <t>EMCE834428</t>
  </si>
  <si>
    <t>EMCE834975@emaxindia.in</t>
  </si>
  <si>
    <t>EMCE834975</t>
  </si>
  <si>
    <t>EMCE876423@emaxindia.in</t>
  </si>
  <si>
    <t>EMCE876423</t>
  </si>
  <si>
    <t>EMCE862027@emaxindia.in</t>
  </si>
  <si>
    <t>EMCE862027</t>
  </si>
  <si>
    <t>EMCE877764@emaxindia.in</t>
  </si>
  <si>
    <t>EMCE877764</t>
  </si>
  <si>
    <t>EMCE831795@emaxindia.in</t>
  </si>
  <si>
    <t>EMCE831795</t>
  </si>
  <si>
    <t>EMCE864847@emaxindia.in</t>
  </si>
  <si>
    <t>EMCE864847</t>
  </si>
  <si>
    <t>2025</t>
  </si>
  <si>
    <t>EMCE848271@emaxindia.in</t>
  </si>
  <si>
    <t>EMCE848271</t>
  </si>
  <si>
    <t>EMCE868767@emaxindia.in</t>
  </si>
  <si>
    <t>EMCE868767</t>
  </si>
  <si>
    <t>EMCE862461@emaxindia.in</t>
  </si>
  <si>
    <t>EMCE862461</t>
  </si>
  <si>
    <t>EMCE847226@emaxindia.in</t>
  </si>
  <si>
    <t>EMCE847226</t>
  </si>
  <si>
    <t>EMCE884636@emaxindia.in</t>
  </si>
  <si>
    <t>EMCE884636</t>
  </si>
  <si>
    <t>EMCE884868@emaxindia.in</t>
  </si>
  <si>
    <t>EMCE884868</t>
  </si>
  <si>
    <t>EMCE860040@emaxindia.in</t>
  </si>
  <si>
    <t>EMCE860040</t>
  </si>
  <si>
    <t>EMCE842134@emaxindia.in</t>
  </si>
  <si>
    <t>EMCE842134</t>
  </si>
  <si>
    <t>EMCE880218@emaxindia.in</t>
  </si>
  <si>
    <t>EMCE880218</t>
  </si>
  <si>
    <t>EMCE838847@emaxindia.in</t>
  </si>
  <si>
    <t>EMCE838847</t>
  </si>
  <si>
    <t>EMCE830139@emaxindia.in</t>
  </si>
  <si>
    <t>EMCE830139</t>
  </si>
  <si>
    <t>EMCE882093@emaxindia.in</t>
  </si>
  <si>
    <t>EMCE882093</t>
  </si>
  <si>
    <t>EMCE848240@emaxindia.in</t>
  </si>
  <si>
    <t>EMCE848240</t>
  </si>
  <si>
    <t>EMCE855978@emaxindia.in</t>
  </si>
  <si>
    <t>EMCE855978</t>
  </si>
  <si>
    <t>EMCE830614@emaxindia.in</t>
  </si>
  <si>
    <t>EMCE830614</t>
  </si>
  <si>
    <t>EMCE844391@emaxindia.in</t>
  </si>
  <si>
    <t>EMCE844391</t>
  </si>
  <si>
    <t>EMCE836314@emaxindia.in</t>
  </si>
  <si>
    <t>EMCE836314</t>
  </si>
  <si>
    <t>EMCE859541@emaxindia.in</t>
  </si>
  <si>
    <t>EMCE859541</t>
  </si>
  <si>
    <t>EMCE874576@emaxindia.in</t>
  </si>
  <si>
    <t>EMCE874576</t>
  </si>
  <si>
    <t>2025-26</t>
  </si>
  <si>
    <t>EMCE876950@emaxindia.in</t>
  </si>
  <si>
    <t>EMCE876950</t>
  </si>
  <si>
    <t>EMCE884709@emaxindia.in</t>
  </si>
  <si>
    <t>EMCE884709</t>
  </si>
  <si>
    <t>EMCE828012@emaxindia.in</t>
  </si>
  <si>
    <t>EMCE828012</t>
  </si>
  <si>
    <t>EMCE837985@emaxindia.in</t>
  </si>
  <si>
    <t>EMCE837985</t>
  </si>
  <si>
    <t>EMCE846820@emaxindia.in</t>
  </si>
  <si>
    <t>EMCE846820</t>
  </si>
  <si>
    <t>EMCE853691@emaxindia.in</t>
  </si>
  <si>
    <t>EMCE853691</t>
  </si>
  <si>
    <t>EMCE837443@emaxindia.in</t>
  </si>
  <si>
    <t>EMCE837443</t>
  </si>
  <si>
    <t>EMCE879234@emaxindia.in</t>
  </si>
  <si>
    <t>EMCE879234</t>
  </si>
  <si>
    <t>EMCE880792@emaxindia.in</t>
  </si>
  <si>
    <t>EMCE880792</t>
  </si>
  <si>
    <t>EMCE840455@emaxindia.in</t>
  </si>
  <si>
    <t>EMCE840455</t>
  </si>
  <si>
    <t>EMCE861966@emaxindia.in</t>
  </si>
  <si>
    <t>EMCE861966</t>
  </si>
  <si>
    <t>EMCE842359@emaxindia.in</t>
  </si>
  <si>
    <t>EMCE842359</t>
  </si>
  <si>
    <t>EMCE866936@emaxindia.in</t>
  </si>
  <si>
    <t>EMCE866936</t>
  </si>
  <si>
    <t>EMCE856070@emaxindia.in</t>
  </si>
  <si>
    <t>EMCE856070</t>
  </si>
  <si>
    <t>EMCE862311@emaxindia.in</t>
  </si>
  <si>
    <t>EMCE862311</t>
  </si>
  <si>
    <t>EMCE876316@emaxindia.in</t>
  </si>
  <si>
    <t>EMCE876316</t>
  </si>
  <si>
    <t>EMCE850148@emaxindia.in</t>
  </si>
  <si>
    <t>EMCE850148</t>
  </si>
  <si>
    <t>EMCE864081@emaxindia.in</t>
  </si>
  <si>
    <t>EMCE864081</t>
  </si>
  <si>
    <t>EMCE882253@emaxindia.in</t>
  </si>
  <si>
    <t>EMCE882253</t>
  </si>
  <si>
    <t>EMCE865424@emaxindia.in</t>
  </si>
  <si>
    <t>EMCE865424</t>
  </si>
  <si>
    <t>EMCE886166@emaxindia.in</t>
  </si>
  <si>
    <t>EMCE886166</t>
  </si>
  <si>
    <t>EMCE849876@emaxindia.in</t>
  </si>
  <si>
    <t>EMCE849876</t>
  </si>
  <si>
    <t>EMCE858942@emaxindia.in</t>
  </si>
  <si>
    <t>EMCE858942</t>
  </si>
  <si>
    <t>EMCE883643@emaxindia.in</t>
  </si>
  <si>
    <t>EMCE883643</t>
  </si>
  <si>
    <t>EMCE856265@emaxindia.in</t>
  </si>
  <si>
    <t>EMCE856265</t>
  </si>
  <si>
    <t>EMCE848520@emaxindia.in</t>
  </si>
  <si>
    <t>EMCE848520</t>
  </si>
  <si>
    <t>EMCE861798@emaxindia.in</t>
  </si>
  <si>
    <t>EMCE861798</t>
  </si>
  <si>
    <t>EMCE864587@emaxindia.in</t>
  </si>
  <si>
    <t>EMCE864587</t>
  </si>
  <si>
    <t>EMCE857963@emaxindia.in</t>
  </si>
  <si>
    <t>EMCE857963</t>
  </si>
  <si>
    <t>EMCE874770@emaxindia.in</t>
  </si>
  <si>
    <t>EMCE874770</t>
  </si>
  <si>
    <t>EMCE875353@emaxindia.in</t>
  </si>
  <si>
    <t>EMCE875353</t>
  </si>
  <si>
    <t>EMCE869478@emaxindia.in</t>
  </si>
  <si>
    <t>EMCE869478</t>
  </si>
  <si>
    <t>EMCE842850@emaxindia.in</t>
  </si>
  <si>
    <t>EMCE842850</t>
  </si>
  <si>
    <t>EMCE863722@emaxindia.in</t>
  </si>
  <si>
    <t>EMCE863722</t>
  </si>
  <si>
    <t>EMCE859179@emaxindia.in</t>
  </si>
  <si>
    <t>EMCE859179</t>
  </si>
  <si>
    <t>EMCE827798@emaxindia.in</t>
  </si>
  <si>
    <t>EMCE827798</t>
  </si>
  <si>
    <t>EMCE867228@emaxindia.in</t>
  </si>
  <si>
    <t>EMCE867228</t>
  </si>
  <si>
    <t>EMCE884311@emaxindia.in</t>
  </si>
  <si>
    <t>EMCE884311</t>
  </si>
  <si>
    <t>EMCE840143@emaxindia.in</t>
  </si>
  <si>
    <t>EMCE840143</t>
  </si>
  <si>
    <t>EMCE829698@emaxindia.in</t>
  </si>
  <si>
    <t>EMCE829698</t>
  </si>
  <si>
    <t>EMCE866903@emaxindia.in</t>
  </si>
  <si>
    <t>EMCE866903</t>
  </si>
  <si>
    <t>EMCE850853@emaxindia.in</t>
  </si>
  <si>
    <t>EMCE850853</t>
  </si>
  <si>
    <t>EMCE861564@emaxindia.in</t>
  </si>
  <si>
    <t>EMCE861564</t>
  </si>
  <si>
    <t>EMCE883336@emaxindia.in</t>
  </si>
  <si>
    <t>EMCE883336</t>
  </si>
  <si>
    <t>EMCE876028@emaxindia.in</t>
  </si>
  <si>
    <t>EMCE876028</t>
  </si>
  <si>
    <t>EMCE861055@emaxindia.in</t>
  </si>
  <si>
    <t>EMCE861055</t>
  </si>
  <si>
    <t>EMCE838966@emaxindia.in</t>
  </si>
  <si>
    <t>EMCE838966</t>
  </si>
  <si>
    <t>EMCE846167@emaxindia.in</t>
  </si>
  <si>
    <t>EMCE846167</t>
  </si>
  <si>
    <t>EMCE839981@emaxindia.in</t>
  </si>
  <si>
    <t>EMCE839981</t>
  </si>
  <si>
    <t>EMCE857021@emaxindia.in</t>
  </si>
  <si>
    <t>EMCE857021</t>
  </si>
  <si>
    <t>EMCE860782@emaxindia.in</t>
  </si>
  <si>
    <t>EMCE860782</t>
  </si>
  <si>
    <t>EMCE849423@emaxindia.in</t>
  </si>
  <si>
    <t>EMCE849423</t>
  </si>
  <si>
    <t>EMCE852129@emaxindia.in</t>
  </si>
  <si>
    <t>EMCE852129</t>
  </si>
  <si>
    <t>EMCE834215@emaxindia.in</t>
  </si>
  <si>
    <t>EMCE834215</t>
  </si>
  <si>
    <t>EMCE843928@emaxindia.in</t>
  </si>
  <si>
    <t>EMCE843928</t>
  </si>
  <si>
    <t>EMCE885507@emaxindia.in</t>
  </si>
  <si>
    <t>EMCE885507</t>
  </si>
  <si>
    <t>EMCE858089@emaxindia.in</t>
  </si>
  <si>
    <t>EMCE858089</t>
  </si>
  <si>
    <t>EMCE836966@emaxindia.in</t>
  </si>
  <si>
    <t>EMCE836966</t>
  </si>
  <si>
    <t>EMCE881211@emaxindia.in</t>
  </si>
  <si>
    <t>EMCE881211</t>
  </si>
  <si>
    <t>EMCE859658@emaxindia.in</t>
  </si>
  <si>
    <t>EMCE859658</t>
  </si>
  <si>
    <t>EMCE866428@emaxindia.in</t>
  </si>
  <si>
    <t>EMCE866428</t>
  </si>
  <si>
    <t>EMCE885341@emaxindia.in</t>
  </si>
  <si>
    <t>EMCE885341</t>
  </si>
  <si>
    <t>EMCE848114@emaxindia.in</t>
  </si>
  <si>
    <t>EMCE848114</t>
  </si>
  <si>
    <t>EMCE872633@emaxindia.in</t>
  </si>
  <si>
    <t>EMCE872633</t>
  </si>
  <si>
    <t>EMCE875102@emaxindia.in</t>
  </si>
  <si>
    <t>EMCE875102</t>
  </si>
  <si>
    <t>EMCE842637@emaxindia.in</t>
  </si>
  <si>
    <t>EMCE842637</t>
  </si>
  <si>
    <t>EMCE885792@emaxindia.in</t>
  </si>
  <si>
    <t>EMCE885792</t>
  </si>
  <si>
    <t>EMCE863832@emaxindia.in</t>
  </si>
  <si>
    <t>EMCE863832</t>
  </si>
  <si>
    <t>EMCE827133@emaxindia.in</t>
  </si>
  <si>
    <t>EMCE827133</t>
  </si>
  <si>
    <t>EMCE829313@emaxindia.in</t>
  </si>
  <si>
    <t>EMCE829313</t>
  </si>
  <si>
    <t>EMCE836906@emaxindia.in</t>
  </si>
  <si>
    <t>EMCE836906</t>
  </si>
  <si>
    <t>EMCE829520@emaxindia.in</t>
  </si>
  <si>
    <t>EMCE829520</t>
  </si>
  <si>
    <t>EMCE860356@emaxindia.in</t>
  </si>
  <si>
    <t>EMCE860356</t>
  </si>
  <si>
    <t>EMCE843691@emaxindia.in</t>
  </si>
  <si>
    <t>EMCE843691</t>
  </si>
  <si>
    <t>EMCE854115@emaxindia.in</t>
  </si>
  <si>
    <t>EMCE854115</t>
  </si>
  <si>
    <t>EMCE867955@emaxindia.in</t>
  </si>
  <si>
    <t>EMCE867955</t>
  </si>
  <si>
    <t>EMCE868183@emaxindia.in</t>
  </si>
  <si>
    <t>EMCE868183</t>
  </si>
  <si>
    <t>EMCE861500@emaxindia.in</t>
  </si>
  <si>
    <t>EMCE861500</t>
  </si>
  <si>
    <t>EMCE878437@emaxindia.in</t>
  </si>
  <si>
    <t>EMCE878437</t>
  </si>
  <si>
    <t>EMCE846948@emaxindia.in</t>
  </si>
  <si>
    <t>EMCE846948</t>
  </si>
  <si>
    <t>EMCE867496@emaxindia.in</t>
  </si>
  <si>
    <t>EMCE867496</t>
  </si>
  <si>
    <t>EMCE835409@emaxindia.in</t>
  </si>
  <si>
    <t>EMCE835409</t>
  </si>
  <si>
    <t>EMCE869594@emaxindia.in</t>
  </si>
  <si>
    <t>EMCE869594</t>
  </si>
  <si>
    <t>EMCE853275@emaxindia.in</t>
  </si>
  <si>
    <t>EMCE853275</t>
  </si>
  <si>
    <t>EMCE847495@emaxindia.in</t>
  </si>
  <si>
    <t>EMCE847495</t>
  </si>
  <si>
    <t>EMCE843281@emaxindia.in</t>
  </si>
  <si>
    <t>EMCE843281</t>
  </si>
  <si>
    <t>EMCE881676@emaxindia.in</t>
  </si>
  <si>
    <t>EMCE881676</t>
  </si>
  <si>
    <t>EMCE885025@emaxindia.in</t>
  </si>
  <si>
    <t>EMCE885025</t>
  </si>
  <si>
    <t>EMCE881908@emaxindia.in</t>
  </si>
  <si>
    <t>EMCE881908</t>
  </si>
  <si>
    <t>EMCE834028@emaxindia.in</t>
  </si>
  <si>
    <t>EMCE834028</t>
  </si>
  <si>
    <t>EMCE878768@emaxindia.in</t>
  </si>
  <si>
    <t>EMCE878768</t>
  </si>
  <si>
    <t>EMCE869406@emaxindia.in</t>
  </si>
  <si>
    <t>EMCE869406</t>
  </si>
  <si>
    <t>EMCE873022@emaxindia.in</t>
  </si>
  <si>
    <t>EMCE873022</t>
  </si>
  <si>
    <t>EMCE836015@emaxindia.in</t>
  </si>
  <si>
    <t>EMCE836015</t>
  </si>
  <si>
    <t>EMCE836541@emaxindia.in</t>
  </si>
  <si>
    <t>EMCE836541</t>
  </si>
  <si>
    <t>EMCE864024@emaxindia.in</t>
  </si>
  <si>
    <t>EMCE864024</t>
  </si>
  <si>
    <t>EMCE841199@emaxindia.in</t>
  </si>
  <si>
    <t>EMCE841199</t>
  </si>
  <si>
    <t>EMCE856844@emaxindia.in</t>
  </si>
  <si>
    <t>EMCE856844</t>
  </si>
  <si>
    <t>EMCE836798@emaxindia.in</t>
  </si>
  <si>
    <t>EMCE836798</t>
  </si>
  <si>
    <t>EMCE858433@emaxindia.in</t>
  </si>
  <si>
    <t>EMCE858433</t>
  </si>
  <si>
    <t>EMCE862838@emaxindia.in</t>
  </si>
  <si>
    <t>EMCE862838</t>
  </si>
  <si>
    <t>EMCE844962@emaxindia.in</t>
  </si>
  <si>
    <t>EMCE844962</t>
  </si>
  <si>
    <t>EMCE871684@emaxindia.in</t>
  </si>
  <si>
    <t>EMCE871684</t>
  </si>
  <si>
    <t>EMCE860233@emaxindia.in</t>
  </si>
  <si>
    <t>EMCE860233</t>
  </si>
  <si>
    <t>EMCE855892@emaxindia.in</t>
  </si>
  <si>
    <t>EMCE855892</t>
  </si>
  <si>
    <t>EMCE834679@emaxindia.in</t>
  </si>
  <si>
    <t>EMCE834679</t>
  </si>
  <si>
    <t>EMCE870802@emaxindia.in</t>
  </si>
  <si>
    <t>EMCE870802</t>
  </si>
  <si>
    <t>EMCE856400@emaxindia.in</t>
  </si>
  <si>
    <t>EMCE856400</t>
  </si>
  <si>
    <t>EMCE868638@emaxindia.in</t>
  </si>
  <si>
    <t>EMCE868638</t>
  </si>
  <si>
    <t>EMCE863281@emaxindia.in</t>
  </si>
  <si>
    <t>EMCE863281</t>
  </si>
  <si>
    <t>EMCE854621@emaxindia.in</t>
  </si>
  <si>
    <t>EMCE854621</t>
  </si>
  <si>
    <t>EMCE857103@emaxindia.in</t>
  </si>
  <si>
    <t>EMCE857103</t>
  </si>
  <si>
    <t>COURSE NAME</t>
  </si>
  <si>
    <t>CERTIFICATION TYPE</t>
  </si>
  <si>
    <t>Session</t>
  </si>
  <si>
    <t>Course Duration</t>
  </si>
  <si>
    <t>BATCH DATE &amp; TIMING</t>
  </si>
  <si>
    <t>STUDENT NAME</t>
  </si>
  <si>
    <t>DATE OF BIRTH</t>
  </si>
  <si>
    <t>FATHER'S NAME</t>
  </si>
  <si>
    <t>MOTHER'S NAME</t>
  </si>
  <si>
    <t>MEDIUM</t>
  </si>
  <si>
    <t>CASTE</t>
  </si>
  <si>
    <t>1 Year</t>
  </si>
  <si>
    <t>OBC</t>
  </si>
  <si>
    <t>shashishar5807@gmail.com</t>
  </si>
  <si>
    <t>B.COM.</t>
  </si>
  <si>
    <t>3 Month</t>
  </si>
  <si>
    <t>SC</t>
  </si>
  <si>
    <t>ramkumaryada5457@gmail.com</t>
  </si>
  <si>
    <t>8TH PASS</t>
  </si>
  <si>
    <t>6 Month</t>
  </si>
  <si>
    <t>ST</t>
  </si>
  <si>
    <t>jyotisola6519@gmail.com</t>
  </si>
  <si>
    <t>GRADUATE</t>
  </si>
  <si>
    <t>laxmandube2630@gmail.com</t>
  </si>
  <si>
    <t>abhishekkoli3815@gmail.com</t>
  </si>
  <si>
    <t>BCA</t>
  </si>
  <si>
    <t>sarojrawa5604@gmail.com</t>
  </si>
  <si>
    <t>nehasoni4088@gmail.com</t>
  </si>
  <si>
    <t>gunjansuta7049@gmail.com</t>
  </si>
  <si>
    <t>tulsiramloha898@gmail.com</t>
  </si>
  <si>
    <t>rakeshnaid6467@gmail.com</t>
  </si>
  <si>
    <t>B.A.</t>
  </si>
  <si>
    <t>jyotiusen7680@gmail.com</t>
  </si>
  <si>
    <t>10TH PASS</t>
  </si>
  <si>
    <t>pratimaloha4732@gmail.com</t>
  </si>
  <si>
    <t>ITI</t>
  </si>
  <si>
    <t>nishasing6922@gmail.com</t>
  </si>
  <si>
    <t>DIPLOMA</t>
  </si>
  <si>
    <t>ravipisd9096@gmail.com</t>
  </si>
  <si>
    <t>surendraraut3453@gmail.com</t>
  </si>
  <si>
    <t>gomatinirm6703@gmail.com</t>
  </si>
  <si>
    <t>komalawas3471@gmail.com</t>
  </si>
  <si>
    <t>anilkash6211@gmail.com</t>
  </si>
  <si>
    <t>surendraawas3761@gmail.com</t>
  </si>
  <si>
    <t>GENERAL</t>
  </si>
  <si>
    <t>ankitagurj3400@gmail.com</t>
  </si>
  <si>
    <t>B.SC.</t>
  </si>
  <si>
    <t>akashgoud7525@gmail.com</t>
  </si>
  <si>
    <t>sunandarath1093@gmail.com</t>
  </si>
  <si>
    <t>chandannich2765@gmail.com</t>
  </si>
  <si>
    <t>akashmark6954@gmail.com</t>
  </si>
  <si>
    <t>deepakdamo6669@gmail.com</t>
  </si>
  <si>
    <t>rakeshbanj2707@gmail.com</t>
  </si>
  <si>
    <t>heenabodl2127@gmail.com</t>
  </si>
  <si>
    <t>nileshbarm5228@gmail.com</t>
  </si>
  <si>
    <t>savitanish8776@gmail.com</t>
  </si>
  <si>
    <t>balramsinh8372@gmail.com</t>
  </si>
  <si>
    <t>sureshsoni3310@gmail.com</t>
  </si>
  <si>
    <t>amitadhiw5156@gmail.com</t>
  </si>
  <si>
    <t>sohanmark2226@gmail.com</t>
  </si>
  <si>
    <t>narendraminj1009@gmail.com</t>
  </si>
  <si>
    <t>POST GRADUATE</t>
  </si>
  <si>
    <t>narendraheda4105@gmail.com</t>
  </si>
  <si>
    <t>shivanidamo2491@gmail.com</t>
  </si>
  <si>
    <t>sangitagupt4830@gmail.com</t>
  </si>
  <si>
    <t>taranaya4658@gmail.com</t>
  </si>
  <si>
    <t>nirmalagurj4365@gmail.com</t>
  </si>
  <si>
    <t>vivekrajp367@gmail.com</t>
  </si>
  <si>
    <t>parthbodl4092@gmail.com</t>
  </si>
  <si>
    <t>sarikasahu1252@gmail.com</t>
  </si>
  <si>
    <t>vivekpate9202@gmail.com</t>
  </si>
  <si>
    <t>sunandamesh4872@gmail.com</t>
  </si>
  <si>
    <t>sumitranaya1157@gmail.com</t>
  </si>
  <si>
    <t>rohitray4173@gmail.com</t>
  </si>
  <si>
    <t>meenakshinamd4024@gmail.com</t>
  </si>
  <si>
    <t>ankitadube2074@gmail.com</t>
  </si>
  <si>
    <t>sanjaythak9146@gmail.com</t>
  </si>
  <si>
    <t>chetnateka5763@gmail.com</t>
  </si>
  <si>
    <t>ushakuju6433@gmail.com</t>
  </si>
  <si>
    <t>lalitachau8441@gmail.com</t>
  </si>
  <si>
    <t>deepakkand1064@gmail.com</t>
  </si>
  <si>
    <t>savitalodh7288@gmail.com</t>
  </si>
  <si>
    <t>kailashrath9950@gmail.com</t>
  </si>
  <si>
    <t>arjunmark7659@gmail.com</t>
  </si>
  <si>
    <t>monikamish4432@gmail.com</t>
  </si>
  <si>
    <t>priyadhiw6082@gmail.com</t>
  </si>
  <si>
    <t>ushasoni726@gmail.com</t>
  </si>
  <si>
    <t>santoshpate6124@gmail.com</t>
  </si>
  <si>
    <t>priyasala9204@gmail.com</t>
  </si>
  <si>
    <t>monikanamd7785@gmail.com</t>
  </si>
  <si>
    <t>ajaysola9043@gmail.com</t>
  </si>
  <si>
    <t>parvatilodh2746@gmail.com</t>
  </si>
  <si>
    <t>gangasarv9559@gmail.com</t>
  </si>
  <si>
    <t>rituyada6811@gmail.com</t>
  </si>
  <si>
    <t>devendrapate4343@gmail.com</t>
  </si>
  <si>
    <t>rakeshverm6343@gmail.com</t>
  </si>
  <si>
    <t>sachindube2432@gmail.com</t>
  </si>
  <si>
    <t>deepakneta5322@gmail.com</t>
  </si>
  <si>
    <t>vasudhateka9199@gmail.com</t>
  </si>
  <si>
    <t>mukeshagra5892@gmail.com</t>
  </si>
  <si>
    <t>toransain4317@gmail.com</t>
  </si>
  <si>
    <t>shyamgurj8852@gmail.com</t>
  </si>
  <si>
    <t>abhisheknamd9975@gmail.com</t>
  </si>
  <si>
    <t>torankumh6095@gmail.com</t>
  </si>
  <si>
    <t>anitajosh2417@gmail.com</t>
  </si>
  <si>
    <t>ankitgupt570@gmail.com</t>
  </si>
  <si>
    <t>rameshrath8998@gmail.com</t>
  </si>
  <si>
    <t>archanakosa4478@gmail.com</t>
  </si>
  <si>
    <t>shubhasinh3089@gmail.com</t>
  </si>
  <si>
    <t>anuradhapand3594@gmail.com</t>
  </si>
  <si>
    <t>chhayamali395@gmail.com</t>
  </si>
  <si>
    <t>ashishgoud9965@gmail.com</t>
  </si>
  <si>
    <t>karansahu1775@gmail.com</t>
  </si>
  <si>
    <t>hemapaik2105@gmail.com</t>
  </si>
  <si>
    <t>nalinichou6426@gmail.com</t>
  </si>
  <si>
    <t>geetamish522@gmail.com</t>
  </si>
  <si>
    <t>milanbanj5805@gmail.com</t>
  </si>
  <si>
    <t>mukeshchou9425@gmail.com</t>
  </si>
  <si>
    <t>umeshkumh4725@gmail.com</t>
  </si>
  <si>
    <t>harishchau1219@gmail.com</t>
  </si>
  <si>
    <t>champaverm8701@gmail.com</t>
  </si>
  <si>
    <t>komalshar5893@gmail.com</t>
  </si>
  <si>
    <t>rajeshkuju679@gmail.com</t>
  </si>
  <si>
    <t>ektagavd9838@gmail.com</t>
  </si>
  <si>
    <t>archanadewa434@gmail.com</t>
  </si>
  <si>
    <t>kavitasinh4180@gmail.com</t>
  </si>
  <si>
    <t>chaindrathak1535@gmail.com</t>
  </si>
  <si>
    <t>puranmaha6276@gmail.com</t>
  </si>
  <si>
    <t>arunmand403@gmail.com</t>
  </si>
  <si>
    <t>jiteshprad8523@gmail.com</t>
  </si>
  <si>
    <t>lalitminj6637@gmail.com</t>
  </si>
  <si>
    <t>vikramsuta5920@gmail.com</t>
  </si>
  <si>
    <t>gangayada115@gmail.com</t>
  </si>
  <si>
    <t>pratimanirm6285@gmail.com</t>
  </si>
  <si>
    <t>shashijosh7046@gmail.com</t>
  </si>
  <si>
    <t>karannirm3913@gmail.com</t>
  </si>
  <si>
    <t>akashnaid7337@gmail.com</t>
  </si>
  <si>
    <t>sachintiwa3208@gmail.com</t>
  </si>
  <si>
    <t>milanchan3537@gmail.com</t>
  </si>
  <si>
    <t>torangurj3826@gmail.com</t>
  </si>
  <si>
    <t>meenakshipaik6497@gmail.com</t>
  </si>
  <si>
    <t>chandankumh1156@gmail.com</t>
  </si>
  <si>
    <t>tulsiramusen7063@gmail.com</t>
  </si>
  <si>
    <t>chandrakantagavd4467@gmail.com</t>
  </si>
  <si>
    <t>chandanmani1255@gmail.com</t>
  </si>
  <si>
    <t>indiramund9721@gmail.com</t>
  </si>
  <si>
    <t>milankurr7548@gmail.com</t>
  </si>
  <si>
    <t>shivaninamd4067@gmail.com</t>
  </si>
  <si>
    <t>pramilamand824@gmail.com</t>
  </si>
  <si>
    <t>leenaxalx862@gmail.com</t>
  </si>
  <si>
    <t>leenabodl1826@gmail.com</t>
  </si>
  <si>
    <t>harishhemr253@gmail.com</t>
  </si>
  <si>
    <t>priyadewa5049@gmail.com</t>
  </si>
  <si>
    <t>parvatiagra4391@gmail.com</t>
  </si>
  <si>
    <t>pushpalodh9192@gmail.com</t>
  </si>
  <si>
    <t>divyachau4175@gmail.com</t>
  </si>
  <si>
    <t>anuradhatopp8040@gmail.com</t>
  </si>
  <si>
    <t>lalitalodh821@gmail.com</t>
  </si>
  <si>
    <t>geetateka7437@gmail.com</t>
  </si>
  <si>
    <t>karankosa1586@gmail.com</t>
  </si>
  <si>
    <t>ankitanich3786@gmail.com</t>
  </si>
  <si>
    <t>hematopp9389@gmail.com</t>
  </si>
  <si>
    <t>smitapate4744@gmail.com</t>
  </si>
  <si>
    <t>ankitakoli2735@gmail.com</t>
  </si>
  <si>
    <t>shashising7058@gmail.com</t>
  </si>
  <si>
    <t>hemantshuk3709@gmail.com</t>
  </si>
  <si>
    <t>vishalsahu9049@gmail.com</t>
  </si>
  <si>
    <t>sangitadube7095@gmail.com</t>
  </si>
  <si>
    <t>surendrabagh3668@gmail.com</t>
  </si>
  <si>
    <t>preetikewa3663@gmail.com</t>
  </si>
  <si>
    <t>sushilachou6498@gmail.com</t>
  </si>
  <si>
    <t>rekhaverm674@gmail.com</t>
  </si>
  <si>
    <t>ratnapisd9658@gmail.com</t>
  </si>
  <si>
    <t>nareshnamd5973@gmail.com</t>
  </si>
  <si>
    <t>ankitgavd9163@gmail.com</t>
  </si>
  <si>
    <t>priyanish9294@gmail.com</t>
  </si>
  <si>
    <t>komalsuta420@gmail.com</t>
  </si>
  <si>
    <t>sumitrakurr4430@gmail.com</t>
  </si>
  <si>
    <t>divyamark7626@gmail.com</t>
  </si>
  <si>
    <t>siddhantsain5740@gmail.com</t>
  </si>
  <si>
    <t>pramodbagh9445@gmail.com</t>
  </si>
  <si>
    <t>umakantloha1623@gmail.com</t>
  </si>
  <si>
    <t>pradeepxalx9465@gmail.com</t>
  </si>
  <si>
    <t>poonamnamd7832@gmail.com</t>
  </si>
  <si>
    <t>tarunkhob8754@gmail.com</t>
  </si>
  <si>
    <t>komalxalx6034@gmail.com</t>
  </si>
  <si>
    <t>bharatawas5873@gmail.com</t>
  </si>
  <si>
    <t>deepikarath5039@gmail.com</t>
  </si>
  <si>
    <t>sunandamegh2401@gmail.com</t>
  </si>
  <si>
    <t>vikramnich4409@gmail.com</t>
  </si>
  <si>
    <t>saurabhdhru7481@gmail.com</t>
  </si>
  <si>
    <t>diksharay3750@gmail.com</t>
  </si>
  <si>
    <t>ravipaik7833@gmail.com</t>
  </si>
  <si>
    <t>balramchan8852@gmail.com</t>
  </si>
  <si>
    <t>namitajosh8009@gmail.com</t>
  </si>
  <si>
    <t>shivkumarkhob1115@gmail.com</t>
  </si>
  <si>
    <t>ishitakosa8934@gmail.com</t>
  </si>
  <si>
    <t>payalteka4710@gmail.com</t>
  </si>
  <si>
    <t>mukeshpaik913@gmail.com</t>
  </si>
  <si>
    <t>kavitanish7090@gmail.com</t>
  </si>
  <si>
    <t>chetnadewa9894@gmail.com</t>
  </si>
  <si>
    <t>nishapaik6518@gmail.com</t>
  </si>
  <si>
    <t>ushaahir7688@gmail.com</t>
  </si>
  <si>
    <t>vandananaya2210@gmail.com</t>
  </si>
  <si>
    <t>saraswatisain6712@gmail.com</t>
  </si>
  <si>
    <t>tarunbagh8074@gmail.com</t>
  </si>
  <si>
    <t>kavitarath1007@gmail.com</t>
  </si>
  <si>
    <t>mukeshmegh3911@gmail.com</t>
  </si>
  <si>
    <t>hemasala8113@gmail.com</t>
  </si>
  <si>
    <t>laxmanbanj117@gmail.com</t>
  </si>
  <si>
    <t>chaindranirm6968@gmail.com</t>
  </si>
  <si>
    <t>ajayrajp320@gmail.com</t>
  </si>
  <si>
    <t>sumitramark4756@gmail.com</t>
  </si>
  <si>
    <t>tulsirampand2126@gmail.com</t>
  </si>
  <si>
    <t>chhayatopp9653@gmail.com</t>
  </si>
  <si>
    <t>yaminibanj2882@gmail.com</t>
  </si>
  <si>
    <t>monikakanw4174@gmail.com</t>
  </si>
  <si>
    <t>ratnarawa9750@gmail.com</t>
  </si>
  <si>
    <t>anuradhayada1796@gmail.com</t>
  </si>
  <si>
    <t>poojarawa4635@gmail.com</t>
  </si>
  <si>
    <t>arvinddamo333@gmail.com</t>
  </si>
  <si>
    <t>sonidamo7186@gmail.com</t>
  </si>
  <si>
    <t>amitrajp6567@gmail.com</t>
  </si>
  <si>
    <t>tarunkash2201@gmail.com</t>
  </si>
  <si>
    <t>toransida1756@gmail.com</t>
  </si>
  <si>
    <t>jivanramray9508@gmail.com</t>
  </si>
  <si>
    <t>monikausen8881@gmail.com</t>
  </si>
  <si>
    <t>nareshchau2273@gmail.com</t>
  </si>
  <si>
    <t>raviorao549@gmail.com</t>
  </si>
  <si>
    <t>eshaahir2822@gmail.com</t>
  </si>
  <si>
    <t>varuntopp8289@gmail.com</t>
  </si>
  <si>
    <t>latakumh9598@gmail.com</t>
  </si>
  <si>
    <t>devyanitirk7453@gmail.com</t>
  </si>
  <si>
    <t>nareshrath6918@gmail.com</t>
  </si>
  <si>
    <t>gangakanw4878@gmail.com</t>
  </si>
  <si>
    <t>nitinsahu4492@gmail.com</t>
  </si>
  <si>
    <t>bhaveshtopp253@gmail.com</t>
  </si>
  <si>
    <t>vijaysinh1590@gmail.com</t>
  </si>
  <si>
    <t>brijlalbarm7452@gmail.com</t>
  </si>
  <si>
    <t>lokeshchan3381@gmail.com</t>
  </si>
  <si>
    <t>maheshheda1450@gmail.com</t>
  </si>
  <si>
    <t>chandansarv4061@gmail.com</t>
  </si>
  <si>
    <t>brijlalminj3092@gmail.com</t>
  </si>
  <si>
    <t>nirmalasahu2935@gmail.com</t>
  </si>
  <si>
    <t>surendraxalx5099@gmail.com</t>
  </si>
  <si>
    <t>tarunbanj9861@gmail.com</t>
  </si>
  <si>
    <t>vineetasahu6394@gmail.com</t>
  </si>
  <si>
    <t>sureshbind8639@gmail.com</t>
  </si>
  <si>
    <t>jiteshverm6834@gmail.com</t>
  </si>
  <si>
    <t>saurabhkash6963@gmail.com</t>
  </si>
  <si>
    <t>jayaminj8825@gmail.com</t>
  </si>
  <si>
    <t>narendrabodl3503@gmail.com</t>
  </si>
  <si>
    <t>gauravbarm5677@gmail.com</t>
  </si>
  <si>
    <t>sadhnamani8134@gmail.com</t>
  </si>
  <si>
    <t>sachinuike947@gmail.com</t>
  </si>
  <si>
    <t>jiteshneta5198@gmail.com</t>
  </si>
  <si>
    <t>milanrath8783@gmail.com</t>
  </si>
  <si>
    <t>chandanraut5396@gmail.com</t>
  </si>
  <si>
    <t>monikagavd8443@gmail.com</t>
  </si>
  <si>
    <t>nehakanw161@gmail.com</t>
  </si>
  <si>
    <t>chaindranamd379@gmail.com</t>
  </si>
  <si>
    <t>santoshkosa575@gmail.com</t>
  </si>
  <si>
    <t>dayaramkoli7711@gmail.com</t>
  </si>
  <si>
    <t>deepikathak6906@gmail.com</t>
  </si>
  <si>
    <t>manoharkoli3371@gmail.com</t>
  </si>
  <si>
    <t>alokmali1662@gmail.com</t>
  </si>
  <si>
    <t>sachinsing6662@gmail.com</t>
  </si>
  <si>
    <t>hemlatadewa4626@gmail.com</t>
  </si>
  <si>
    <t>lalitahemr9868@gmail.com</t>
  </si>
  <si>
    <t>abhishekbanj8670@gmail.com</t>
  </si>
  <si>
    <t>ankitkora7334@gmail.com</t>
  </si>
  <si>
    <t>ghanshyamnaid8732@gmail.com</t>
  </si>
  <si>
    <t>nehamesh5694@gmail.com</t>
  </si>
  <si>
    <t>bharatnish7761@gmail.com</t>
  </si>
  <si>
    <t>karankoli6833@gmail.com</t>
  </si>
  <si>
    <t>ashishthak6133@gmail.com</t>
  </si>
  <si>
    <t>nalinisida2123@gmail.com</t>
  </si>
  <si>
    <t>rajkumaruike3165@gmail.com</t>
  </si>
  <si>
    <t>faridadhiw2035@gmail.com</t>
  </si>
  <si>
    <t>heenaprad9807@gmail.com</t>
  </si>
  <si>
    <t>sarojsain7676@gmail.com</t>
  </si>
  <si>
    <t>reenamegh4032@gmail.com</t>
  </si>
  <si>
    <t>nareshshar8877@gmail.com</t>
  </si>
  <si>
    <t>dhaneshtopp322@gmail.com</t>
  </si>
  <si>
    <t>devendrakash7291@gmail.com</t>
  </si>
  <si>
    <t>kamleshahir2095@gmail.com</t>
  </si>
  <si>
    <t>sunandabagh9320@gmail.com</t>
  </si>
  <si>
    <t>ashishpate4953@gmail.com</t>
  </si>
  <si>
    <t>phulwatilakr654@gmail.com</t>
  </si>
  <si>
    <t>shrikantkuju708@gmail.com</t>
  </si>
  <si>
    <t>yashtirk8950@gmail.com</t>
  </si>
  <si>
    <t>sanjaydhru5638@gmail.com</t>
  </si>
  <si>
    <t>sumitraminj6674@gmail.com</t>
  </si>
  <si>
    <t>reenarath9385@gmail.com</t>
  </si>
  <si>
    <t>devyanisain7174@gmail.com</t>
  </si>
  <si>
    <t>kamleshsida6214@gmail.com</t>
  </si>
  <si>
    <t>govindpate4906@gmail.com</t>
  </si>
  <si>
    <t>leenaekka8708@gmail.com</t>
  </si>
  <si>
    <t>puranbarm5441@gmail.com</t>
  </si>
  <si>
    <t>sanjaykora4184@gmail.com</t>
  </si>
  <si>
    <t>nishakosa2737@gmail.com</t>
  </si>
  <si>
    <t>omkarxalx6814@gmail.com</t>
  </si>
  <si>
    <t>poonamchan2867@gmail.com</t>
  </si>
  <si>
    <t>kalpanatopp3778@gmail.com</t>
  </si>
  <si>
    <t>prashantbagh4368@gmail.com</t>
  </si>
  <si>
    <t>rahuluike9730@gmail.com</t>
  </si>
  <si>
    <t>rameshrajp2974@gmail.com</t>
  </si>
  <si>
    <t>hemrajsarv9819@gmail.com</t>
  </si>
  <si>
    <t>nikhilmali6693@gmail.com</t>
  </si>
  <si>
    <t>pramilamesh6132@gmail.com</t>
  </si>
  <si>
    <t>pramodkora8569@gmail.com</t>
  </si>
  <si>
    <t>brijlalnaya9238@gmail.com</t>
  </si>
  <si>
    <t>nalinikhob4305@gmail.com</t>
  </si>
  <si>
    <t>nitinusen7044@gmail.com</t>
  </si>
  <si>
    <t>chandanchan6385@gmail.com</t>
  </si>
  <si>
    <t>alokgoud1331@gmail.com</t>
  </si>
  <si>
    <t>akashraut382@gmail.com</t>
  </si>
  <si>
    <t>nileshagra5317@gmail.com</t>
  </si>
  <si>
    <t>hemlatamali2442@gmail.com</t>
  </si>
  <si>
    <t>sudhasarv7279@gmail.com</t>
  </si>
  <si>
    <t>savitasain3633@gmail.com</t>
  </si>
  <si>
    <t>narendrabarm2609@gmail.com</t>
  </si>
  <si>
    <t>renukand9361@gmail.com</t>
  </si>
  <si>
    <t>eshanaid4897@gmail.com</t>
  </si>
  <si>
    <t>nirmaladube2646@gmail.com</t>
  </si>
  <si>
    <t>eshamand2146@gmail.com</t>
  </si>
  <si>
    <t>lokeshthak4025@gmail.com</t>
  </si>
  <si>
    <t>subhashkhob2589@gmail.com</t>
  </si>
  <si>
    <t>ghanshyamkhob1945@gmail.com</t>
  </si>
  <si>
    <t>kamleshgupt1853@gmail.com</t>
  </si>
  <si>
    <t>harishkoli5655@gmail.com</t>
  </si>
  <si>
    <t>mayankmesh3007@gmail.com</t>
  </si>
  <si>
    <t>jayantisoni6128@gmail.com</t>
  </si>
  <si>
    <t>maheshkumh4402@gmail.com</t>
  </si>
  <si>
    <t>vijayrath2361@gmail.com</t>
  </si>
  <si>
    <t>preetiraut6547@gmail.com</t>
  </si>
  <si>
    <t>ritukanw4106@gmail.com</t>
  </si>
  <si>
    <t>sonimesh6756@gmail.com</t>
  </si>
  <si>
    <t>pradeepshar7438@gmail.com</t>
  </si>
  <si>
    <t>chetnatiwa789@gmail.com</t>
  </si>
  <si>
    <t>ektathak1369@gmail.com</t>
  </si>
  <si>
    <t>faridanaya275@gmail.com</t>
  </si>
  <si>
    <t>arjunraut6601@gmail.com</t>
  </si>
  <si>
    <t>sohanpisd9125@gmail.com</t>
  </si>
  <si>
    <t>bhaveshusen9340@gmail.com</t>
  </si>
  <si>
    <t>ajayray8769@gmail.com</t>
  </si>
  <si>
    <t>raginibodl7066@gmail.com</t>
  </si>
  <si>
    <t>dayaramkash3517@gmail.com</t>
  </si>
  <si>
    <t>akashkurr1338@gmail.com</t>
  </si>
  <si>
    <t>puransinh8768@gmail.com</t>
  </si>
  <si>
    <t>alokagra4624@gmail.com</t>
  </si>
  <si>
    <t>shrikantmaha148@gmail.com</t>
  </si>
  <si>
    <t>shalinikash5906@gmail.com</t>
  </si>
  <si>
    <t>brijeshneta4741@gmail.com</t>
  </si>
  <si>
    <t>vishalprad9791@gmail.com</t>
  </si>
  <si>
    <t>quratulainkhob8359@gmail.com</t>
  </si>
  <si>
    <t>reenadewa1704@gmail.com</t>
  </si>
  <si>
    <t>eshakumh8248@gmail.com</t>
  </si>
  <si>
    <t>anitaekka4025@gmail.com</t>
  </si>
  <si>
    <t>savitadhru1538@gmail.com</t>
  </si>
  <si>
    <t>tulsiramsoni6777@gmail.com</t>
  </si>
  <si>
    <t>sumansahu6197@gmail.com</t>
  </si>
  <si>
    <t>parvatiloha3113@gmail.com</t>
  </si>
  <si>
    <t>sumitsida6727@gmail.com</t>
  </si>
  <si>
    <t>vishalrajp3627@gmail.com</t>
  </si>
  <si>
    <t>narendragupt9257@gmail.com</t>
  </si>
  <si>
    <t>champathak464@gmail.com</t>
  </si>
  <si>
    <t>karanlakr4086@gmail.com</t>
  </si>
  <si>
    <t>sanjaylakr5629@gmail.com</t>
  </si>
  <si>
    <t>hansabaineta8197@gmail.com</t>
  </si>
  <si>
    <t>latatirk5175@gmail.com</t>
  </si>
  <si>
    <t>shobhahemr5084@gmail.com</t>
  </si>
  <si>
    <t>arvindjosh6103@gmail.com</t>
  </si>
  <si>
    <t>deepakgoud9861@gmail.com</t>
  </si>
  <si>
    <t>rekhayada4293@gmail.com</t>
  </si>
  <si>
    <t>pramodthak5366@gmail.com</t>
  </si>
  <si>
    <t>dikshasala309@gmail.com</t>
  </si>
  <si>
    <t>laxmijosh1029@gmail.com</t>
  </si>
  <si>
    <t>sarikakurr7156@gmail.com</t>
  </si>
  <si>
    <t>ghanshyampand1673@gmail.com</t>
  </si>
  <si>
    <t>manoharsoni1799@gmail.com</t>
  </si>
  <si>
    <t>bhavnadhiw5817@gmail.com</t>
  </si>
  <si>
    <t>varunkora7643@gmail.com</t>
  </si>
  <si>
    <t>surendrabodl5485@gmail.com</t>
  </si>
  <si>
    <t>sunandaraut2157@gmail.com</t>
  </si>
  <si>
    <t>nalinisarv7932@gmail.com</t>
  </si>
  <si>
    <t>mamtaprad1493@gmail.com</t>
  </si>
  <si>
    <t>fulwatiteka2073@gmail.com</t>
  </si>
  <si>
    <t>arvindraut1412@gmail.com</t>
  </si>
  <si>
    <t>ajayneta4559@gmail.com</t>
  </si>
  <si>
    <t>parthshar1772@gmail.com</t>
  </si>
  <si>
    <t>diksharath5917@gmail.com</t>
  </si>
  <si>
    <t>jyotilodh6767@gmail.com</t>
  </si>
  <si>
    <t>neerajsarv3240@gmail.com</t>
  </si>
  <si>
    <t>neerajdhiw5975@gmail.com</t>
  </si>
  <si>
    <t>fulwatidhru9761@gmail.com</t>
  </si>
  <si>
    <t>shivbanj9597@gmail.com</t>
  </si>
  <si>
    <t>hemlataverm3007@gmail.com</t>
  </si>
  <si>
    <t>chandrakantanirm8567@gmail.com</t>
  </si>
  <si>
    <t>indirahemr755@gmail.com</t>
  </si>
  <si>
    <t>hemrajpate8807@gmail.com</t>
  </si>
  <si>
    <t>prashantahir218@gmail.com</t>
  </si>
  <si>
    <t>maheshprad4252@gmail.com</t>
  </si>
  <si>
    <t>STUDENT FULL ADDRESS</t>
  </si>
  <si>
    <t>CONTACT NO.</t>
  </si>
  <si>
    <t>STUDENT GMAIL ID</t>
  </si>
  <si>
    <t>HIGHEST QUALIFICATION</t>
  </si>
  <si>
    <t>12TH PASS</t>
  </si>
  <si>
    <t>YES</t>
  </si>
  <si>
    <t>Issue</t>
  </si>
  <si>
    <t>DOCUMENT SUBMITTED</t>
  </si>
  <si>
    <t>ID CARD STATUS</t>
  </si>
  <si>
    <t>COURSE FESS</t>
  </si>
  <si>
    <t>ADMISSION AMOUNT</t>
  </si>
  <si>
    <t>EXAM FESS</t>
  </si>
  <si>
    <t>DISCOUNT AMOUNT</t>
  </si>
  <si>
    <t>TOTAL PAYBLE AMOUNT</t>
  </si>
  <si>
    <t>DATE</t>
  </si>
  <si>
    <t>REMAINING</t>
  </si>
  <si>
    <t>1ST PAYMENT</t>
  </si>
  <si>
    <t>2ND PAYMENT</t>
  </si>
  <si>
    <t>3RD PAYMENT</t>
  </si>
  <si>
    <t>4TH PAYMENT</t>
  </si>
  <si>
    <t>5TH PAYMENT</t>
  </si>
  <si>
    <t/>
  </si>
  <si>
    <t>Paid Amount</t>
  </si>
  <si>
    <t>Remaining Amount</t>
  </si>
  <si>
    <t>PAYMENT STATUS</t>
  </si>
  <si>
    <t>PAYMENT</t>
  </si>
  <si>
    <t>6TH PAYMENT</t>
  </si>
  <si>
    <t>DATE2</t>
  </si>
  <si>
    <t>REMAINING3</t>
  </si>
  <si>
    <t>DATE4</t>
  </si>
  <si>
    <t>REMAINING5</t>
  </si>
  <si>
    <t>DATE6</t>
  </si>
  <si>
    <t>VANDANA COMPUTER EDUCATION</t>
  </si>
  <si>
    <t xml:space="preserve">Power by E-Max India Branch Code: EMAX/EO96956
ISO 9001:2015 &amp; ISO 29990:2010 &amp; ISO 21001:2018 Certified Organization
Certificate of Incorporation by GOVERNMENT OF INDIA
</t>
  </si>
  <si>
    <t>09/A, STREET NO.08, SECTOR-01, WARD NO.54, BHILAI, DIST-DURG, C.G.490001</t>
  </si>
  <si>
    <t>STUDENT ADMISSION +  FEES DETAILS SLIP</t>
  </si>
  <si>
    <t xml:space="preserve">Roll No. </t>
  </si>
  <si>
    <t>-</t>
  </si>
  <si>
    <t>Admission Date</t>
  </si>
  <si>
    <t xml:space="preserve">Name </t>
  </si>
  <si>
    <t>Father's Name</t>
  </si>
  <si>
    <t>Mother's Name</t>
  </si>
  <si>
    <t>Date of Birth</t>
  </si>
  <si>
    <t>Gmail</t>
  </si>
  <si>
    <t>Contact No</t>
  </si>
  <si>
    <t>Address</t>
  </si>
  <si>
    <t>Enrolled Course</t>
  </si>
  <si>
    <t>Course Type</t>
  </si>
  <si>
    <t>Admission Fees</t>
  </si>
  <si>
    <t>Discount</t>
  </si>
  <si>
    <t>Installment</t>
  </si>
  <si>
    <t>Date</t>
  </si>
  <si>
    <t>Installment Amount</t>
  </si>
  <si>
    <t>Due Amount</t>
  </si>
  <si>
    <t>1st Installment</t>
  </si>
  <si>
    <t>2nd Installment</t>
  </si>
  <si>
    <t>3rd Installment</t>
  </si>
  <si>
    <t>4th Installment</t>
  </si>
  <si>
    <t>5th Installment</t>
  </si>
  <si>
    <t>6th Installment</t>
  </si>
  <si>
    <t>Student Signature</t>
  </si>
  <si>
    <t>Seal</t>
  </si>
  <si>
    <t>Director Signature</t>
  </si>
  <si>
    <t>DCA</t>
  </si>
  <si>
    <t>PGDCA</t>
  </si>
  <si>
    <t>DEO</t>
  </si>
  <si>
    <t>Tally</t>
  </si>
  <si>
    <t>DDTP</t>
  </si>
  <si>
    <t>Hardware</t>
  </si>
  <si>
    <t>CCC</t>
  </si>
  <si>
    <t>Hindi Typing</t>
  </si>
  <si>
    <t>English Typing</t>
  </si>
  <si>
    <t>BCC</t>
  </si>
  <si>
    <t>CDTP</t>
  </si>
  <si>
    <t>Web</t>
  </si>
  <si>
    <t>MIS</t>
  </si>
  <si>
    <t>COURSE CODE</t>
  </si>
  <si>
    <t>04:30 PM to 06:00 PM</t>
  </si>
  <si>
    <t>10:30 AM to 12:00 PM</t>
  </si>
  <si>
    <t>12:45 PM to 2:30 PM</t>
  </si>
  <si>
    <t>01:00 PM to 03:00 PM</t>
  </si>
  <si>
    <t>11:30 AM to 12:45 PM</t>
  </si>
  <si>
    <t>Morning Batch 1</t>
  </si>
  <si>
    <t>Afternoon Batch 2</t>
  </si>
  <si>
    <t>Evening Batch 1</t>
  </si>
  <si>
    <t>Afternoon Batch 1</t>
  </si>
  <si>
    <t>Batch Name</t>
  </si>
  <si>
    <t>Area</t>
  </si>
  <si>
    <t>Risali</t>
  </si>
  <si>
    <t>Sector - 04</t>
  </si>
  <si>
    <t>Sector - 02</t>
  </si>
  <si>
    <t>Nehru Nagar</t>
  </si>
  <si>
    <t>Sector - 05</t>
  </si>
  <si>
    <t>Vaishali Nagar</t>
  </si>
  <si>
    <t>Sector - 10</t>
  </si>
  <si>
    <t>Kosa Nagar</t>
  </si>
  <si>
    <t>Shanti Nagar</t>
  </si>
  <si>
    <t>Camp - 02</t>
  </si>
  <si>
    <t>Sector - 03</t>
  </si>
  <si>
    <t>Sector - 06</t>
  </si>
  <si>
    <t>Sector - 09</t>
  </si>
  <si>
    <t>Supela</t>
  </si>
  <si>
    <t>Smriti Nagar</t>
  </si>
  <si>
    <t>Kumhari</t>
  </si>
  <si>
    <t>Charoda</t>
  </si>
  <si>
    <t>Sector - 01</t>
  </si>
  <si>
    <t>Sector - 08</t>
  </si>
  <si>
    <t>Sector - 07</t>
  </si>
  <si>
    <t>Camp - 01</t>
  </si>
  <si>
    <t>House No. - 423, Risali, Bhilai, Bhilai, Dist - Durg, Chhattisgarh, Pin - 490006</t>
  </si>
  <si>
    <t>Qr. No. 13/E, Street No. - 14, Sector - 04, Bhilai, Dist - Durg, Chhattisgarh, Pin - 490001</t>
  </si>
  <si>
    <t>Qr. No. 19, Bl No. 9, Street No. Emr, Sector - 04, Bhilai, Dist - Durg, Chhattisgarh, Pin - 490001</t>
  </si>
  <si>
    <t>Qtr. No. 4/B, Street No. - 23, Sector - 02, Bhilai, Dist - Durg, Chhattisgarh, Pin - 490001</t>
  </si>
  <si>
    <t>House No. - 867, Ward - 20, Nehru Nagar, Bhilai, Dist - Durg, Chhattisgarh, Pin - 490020</t>
  </si>
  <si>
    <t>Qrt. No. 16/A, Street No. - 23, Sector - 05, Bhilai, Dist - Durg, Chhattisgarh, Pin - 490001</t>
  </si>
  <si>
    <t>Qr. No. 29/D, Street No. - 23, Sector - 04, Bhilai, Dist - Durg, Chhattisgarh, Pin - 490001</t>
  </si>
  <si>
    <t>Block - 24/C, Street - 15, Sector - 04, Bhilai, Dist - Durg, Chhattisgarh, Pin - 490001</t>
  </si>
  <si>
    <t>House No. - 175, Vaishali Nagar, Bhilai, Dist - Durg, Chhattisgarh, Pin - 490020</t>
  </si>
  <si>
    <t>Quarter No. 8/F, Street - 10, Sector - 10, Bhilai, Dist - Durg, Chhattisgarh, Pin - 490006</t>
  </si>
  <si>
    <t>House No. - 276, Ward - 11, Kosa Nagar, Bhilai, Dist - Durg, Chhattisgarh, Pin - 490020</t>
  </si>
  <si>
    <t>House No. - 580, Vaishali Nagar, Bhilai, Dist - Durg, Chhattisgarh, Pin - 490020</t>
  </si>
  <si>
    <t>Qr. No. 1/C, Street No. - 02, Sector - 04, Bhilai, Dist - Durg, Chhattisgarh, Pin - 490001</t>
  </si>
  <si>
    <t>House No. - 493, Shanti Nagar, Bhilai, Dist - Durg, Chhattisgarh, Pin - 490020</t>
  </si>
  <si>
    <t>House No. - 927, Shanti Nagar, Bhilai, Dist - Durg, Chhattisgarh, Pin - 490020</t>
  </si>
  <si>
    <t>Qr. No. 6, Bl No. 5, Street No. Emr, Sector - 04, Bhilai, Dist - Durg, Chhattisgarh, Pin - 490001</t>
  </si>
  <si>
    <t>House No. - 730, Ward - 16, Camp - 02, Bhilai, Dist - Durg, Chhattisgarh, Pin - 490001</t>
  </si>
  <si>
    <t>Qtr. No. 21/A, Street No. - 03, Sector - 03, Bhilai, Dist - Durg, Chhattisgarh, Pin - 490001</t>
  </si>
  <si>
    <t>House No. - 715, Ward - 11, Nehru Nagar, Bhilai, Dist - Durg, Chhattisgarh, Pin - 490020</t>
  </si>
  <si>
    <t>Block - 10/A, Street - 13, Sector - 04, Bhilai, Dist - Durg, Chhattisgarh, Pin - 490001</t>
  </si>
  <si>
    <t>House No. - 845, Ward - 11, Nehru Nagar, Bhilai, Dist - Durg, Chhattisgarh, Pin - 490020</t>
  </si>
  <si>
    <t>Block - 13/D, Street - 14, Sector - 04, Bhilai, Dist - Durg, Chhattisgarh, Pin - 490001</t>
  </si>
  <si>
    <t>Qt. No. 30/C, Street No. - 07, Sector - 06, Bhilai, Dist - Durg, Chhattisgarh, Pin - 490006</t>
  </si>
  <si>
    <t>Qtr. No. 20/B, Street No. - 16, Sector - 03, Bhilai, Dist - Durg, Chhattisgarh, Pin - 490001</t>
  </si>
  <si>
    <t>Quarter No. - 14/D, Street - 24, Sector - 09, Bhilai, Dist - Durg, Chhattisgarh, Pin - 490001</t>
  </si>
  <si>
    <t>House No. - 743, Risali, Bhilai, Dist - Durg, Chhattisgarh, Pin - 490006</t>
  </si>
  <si>
    <t>House No. - 329, Ward - 02, Supela, Bhilai, Dist - Durg, Chhattisgarh, Pin - 490023</t>
  </si>
  <si>
    <t>Qr. No. 8, Bl No. 18, Street No. Emr, Sector - 04, Bhilai, Dist - Durg, Chhattisgarh, Pin - 490001</t>
  </si>
  <si>
    <t>Qr. No. 16, Bl No. 2, Street No. Emr, Sector - 04, Bhilai, Dist - Durg, Chhattisgarh, Pin - 490001</t>
  </si>
  <si>
    <t>House No. - 152, Ward - 04, Nehru Nagar, Bhilai, Dist - Durg, Chhattisgarh, Pin - 490020</t>
  </si>
  <si>
    <t>Qtr. No. 3/A, Street No. - 24, Sector - 02, Bhilai, Dist - Durg, Chhattisgarh, Pin - 490001</t>
  </si>
  <si>
    <t>House No. - 140, Ward - 02, Supela, Bhilai, Dist - Durg, Chhattisgarh, Pin - 490023</t>
  </si>
  <si>
    <t>Qt. No. 27/D, Street No. - 24, Sector - 06, Bhilai, Dist - Durg, Chhattisgarh, Pin - 490006</t>
  </si>
  <si>
    <t>House No. - 397, Ward - 24, Supela, Bhilai, Dist - Durg, Chhattisgarh, Pin - 490023</t>
  </si>
  <si>
    <t>House No. - 270, Ward - 08, Smriti Nagar, Bhilai, Dist - Durg, Chhattisgarh, Pin - 490020</t>
  </si>
  <si>
    <t>Qtr. No. 5/D, Street No. - 17, Sector - 02, Bhilai, Dist - Durg, Chhattisgarh, Pin - 490001</t>
  </si>
  <si>
    <t>Qrt. No. 3/D, Street No. - 12, Sector - 05, Bhilai, Dist - Durg, Chhattisgarh, Pin - 490001</t>
  </si>
  <si>
    <t>Qt. No. 28/D, Street No. - 12, Sector - 06, Bhilai, Dist - Durg, Chhattisgarh, Pin - 490006</t>
  </si>
  <si>
    <t>House No. - 650, Ward - 21, Nehru Nagar, Bhilai, Bhilai, Dist - Durg, Chhattisgarh, Pin - 490020</t>
  </si>
  <si>
    <t>Quarter No. 21/F, Street - 18, Sector - 10, Bhilai, Dist - Durg, Chhattisgarh, Pin - 490006</t>
  </si>
  <si>
    <t>House No. - 452, Ward - 19, Kumhari, Bhilai, Dist - Durg, Chhattisgarh, Pin - 490042</t>
  </si>
  <si>
    <t>House No. - 454, Ward - 04, Camp - 02, Bhilai, Dist - Durg, Chhattisgarh, Pin - 490001</t>
  </si>
  <si>
    <t>Quarter No. 28/C, Street - 23, Sector - 10, Bhilai, Dist - Durg, Chhattisgarh, Pin - 490006</t>
  </si>
  <si>
    <t>Quarter No. 30/F, Street - 13, Sector - 10, Bhilai, Dist - Durg, Chhattisgarh, Pin - 490006</t>
  </si>
  <si>
    <t>House No. - 323, Ward - 17, Smriti Nagar, Bhilai, Dist - Durg, Chhattisgarh, Pin - 490020</t>
  </si>
  <si>
    <t>House No. - 426, Vaishali Nagar, Bhilai, Bhilai, Dist - Durg, Chhattisgarh, Pin - 490020</t>
  </si>
  <si>
    <t>Qr. No. 14, Bl No. 8, Street No. Emr, Sector - 04, Bhilai, Dist - Durg, Chhattisgarh, Pin - 490001</t>
  </si>
  <si>
    <t>Block - 7/B, Street - 12, Sector - 04, Bhilai, Dist - Durg, Chhattisgarh, Pin - 490001</t>
  </si>
  <si>
    <t>Quarter No. - 17/C, Street - 19, Sector - 09, Bhilai, Dist - Durg, Chhattisgarh, Pin - 490001</t>
  </si>
  <si>
    <t>House No. - 544, Vaishali Nagar, Bhilai, Dist - Durg, Chhattisgarh, Pin - 490020</t>
  </si>
  <si>
    <t>House No. - 683, Ward - 29, Smriti Nagar, Bhilai, Dist - Durg, Chhattisgarh, Pin - 490020</t>
  </si>
  <si>
    <t>Qr. No. 17/E, Street No. - 14, Sector - 04, Bhilai, Dist - Durg, Chhattisgarh, Pin - 490001</t>
  </si>
  <si>
    <t>Qr. No. 2, Bl No. 4, Street No. Emr, Sector - 04, Bhilai, Dist - Durg, Chhattisgarh, Pin - 490001</t>
  </si>
  <si>
    <t>Quarter No. - 30/F, Street - 20, Sector - 09, Bhilai, Dist - Durg, Chhattisgarh, Pin - 490001</t>
  </si>
  <si>
    <t>Qtr. No. 26/C, Street No. - 04, Sector - 03, Bhilai, Dist - Durg, Chhattisgarh, Pin - 490001</t>
  </si>
  <si>
    <t>House No. - 854, Ward - 04, Kosa Nagar, Bhilai, Dist - Durg, Chhattisgarh, Pin - 490020</t>
  </si>
  <si>
    <t>Qr. No. 24, Bl No. 10, Street No. Emr, Sector - 04, Bhilai, Dist - Durg, Chhattisgarh, Pin - 490001</t>
  </si>
  <si>
    <t>Quarter No. - 8/E, Street - 25, Sector - 09, Bhilai, Dist - Durg, Chhattisgarh, Pin - 490001</t>
  </si>
  <si>
    <t>Qt. No. 17/B, Street No. - 22, Sector - 06, Bhilai, Dist - Durg, Chhattisgarh, Pin - 490006</t>
  </si>
  <si>
    <t>Quarter No. - 13/C, Street - 19, Sector - 09, Bhilai, Dist - Durg, Chhattisgarh, Pin - 490001</t>
  </si>
  <si>
    <t>House No. - 390, Ward - 23, Nehru Nagar, Bhilai, Dist - Durg, Chhattisgarh, Pin - 490020</t>
  </si>
  <si>
    <t>House No. - 106, Ward - 12, Kosa Nagar, Bhilai, Dist - Durg, Chhattisgarh, Pin - 490020</t>
  </si>
  <si>
    <t>House No. - 986, Ward - 26, Supela, Bhilai, Dist - Durg, Chhattisgarh, Pin - 490023</t>
  </si>
  <si>
    <t>Quarter No. - 9/D, Street - 03, Sector - 09, Bhilai, Dist - Durg, Chhattisgarh, Pin - 490001</t>
  </si>
  <si>
    <t>House No. - 156, Charoda, Bhilai, Dist - Durg, Chhattisgarh, Pin - 490036</t>
  </si>
  <si>
    <t>Qrt. No. 6/B, Street No. - 11, Sector - 01, Bhilai, Dist - Durg, Chhattisgarh, Pin - 490001</t>
  </si>
  <si>
    <t>House No. - 216, Ward - 18, Kosa Nagar, Bhilai, Dist - Durg, Chhattisgarh, Pin - 490020</t>
  </si>
  <si>
    <t>Qr. No. 10/C, Street No. - 14, Sector - 08, Bhilai, Dist - Durg, Chhattisgarh, Pin - 490001</t>
  </si>
  <si>
    <t>Qr. No. 5, Bl No. 3, Street No. Emr, Sector - 04, Bhilai, Dist - Durg, Chhattisgarh, Pin - 490001</t>
  </si>
  <si>
    <t>Quarter No. - 17/E, Street - 01, Sector - 09, Bhilai, Dist - Durg, Chhattisgarh, Pin - 490001</t>
  </si>
  <si>
    <t>Qr. No. 16, Bl No. 8, Street No. Emr, Sector - 04, Bhilai, Dist - Durg, Chhattisgarh, Pin - 490001</t>
  </si>
  <si>
    <t>Block - 11/A, Street - 11, Sector - 04, Bhilai, Dist - Durg, Chhattisgarh, Pin - 490001</t>
  </si>
  <si>
    <t>Qtr. No. 15/F, Street No. - 20, Sector - 02, Bhilai, Dist - Durg, Chhattisgarh, Pin - 490001</t>
  </si>
  <si>
    <t>House No. - 989, Shanti Nagar, Bhilai, Dist - Durg, Chhattisgarh, Pin - 490020</t>
  </si>
  <si>
    <t>House No. - 967, Ward - 03, Camp - 02, Bhilai, Dist - Durg, Chhattisgarh, Pin - 490001</t>
  </si>
  <si>
    <t>Qr. No. 21, Bl No. 12, Street No. Emr, Sector - 04, Bhilai, Dist - Durg, Chhattisgarh, Pin - 490001</t>
  </si>
  <si>
    <t>House No. - 695, Ward - 13, Kosa Nagar, Bhilai, Dist - Durg, Chhattisgarh, Pin - 490020</t>
  </si>
  <si>
    <t>Qr. No. 26/F, Street No. - 01, Sector - 08, Bhilai, Dist - Durg, Chhattisgarh, Pin - 490001</t>
  </si>
  <si>
    <t>House No. - 780, Ward - 30, Kumhari, Bhilai, Dist - Durg, Chhattisgarh, Pin - 490042</t>
  </si>
  <si>
    <t>Quarter No. - 15/A, Street - 09, Sector - 09, Bhilai, Dist - Durg, Chhattisgarh, Pin - 490001</t>
  </si>
  <si>
    <t>House No. - 503, Vaishali Nagar, Bhilai, Bhilai, Dist - Durg, Chhattisgarh, Pin - 490020</t>
  </si>
  <si>
    <t>Quarter No. - 14/A, Street - 09, Sector - 09, Bhilai, Dist - Durg, Chhattisgarh, Pin - 490001</t>
  </si>
  <si>
    <t>Qtr. No. 1/C, Street No. - 13, Sector - 02, Bhilai, Dist - Durg, Chhattisgarh, Pin - 490001</t>
  </si>
  <si>
    <t>Quarter No. - 4/C, Street - 14, Sector - 09, Bhilai, Dist - Durg, Chhattisgarh, Pin - 490001</t>
  </si>
  <si>
    <t>House No. - 461, Shanti Nagar, Bhilai, Dist - Durg, Chhattisgarh, Pin - 490020</t>
  </si>
  <si>
    <t>Quarter No. - 10/C, Street - 10, Sector - 09, Bhilai, Dist - Durg, Chhattisgarh, Pin - 490001</t>
  </si>
  <si>
    <t>Qrt. No. 12/D, Street No. - 20, Sector - 01, Bhilai, Dist - Durg, Chhattisgarh, Pin - 490001</t>
  </si>
  <si>
    <t>Qtr. No. 4/D, Street No. - 06, Sector - 02, Bhilai, Dist - Durg, Chhattisgarh, Pin - 490001</t>
  </si>
  <si>
    <t>House No. - 807, Ward - 08, Kumhari, Bhilai, Dist - Durg, Chhattisgarh, Pin - 490042</t>
  </si>
  <si>
    <t>Qtr. No. 1/F, Street No. - 24, Sector - 02, Bhilai, Dist - Durg, Chhattisgarh, Pin - 490001</t>
  </si>
  <si>
    <t>House No. - 400, Risali, Bhilai, Bhilai, Dist - Durg, Chhattisgarh, Pin - 490006</t>
  </si>
  <si>
    <t>House No. - 630, Ward - 28, Nehru Nagar, Bhilai, Bhilai, Dist - Durg, Chhattisgarh, Pin - 490020</t>
  </si>
  <si>
    <t>Block - 5/A, Street - 09, Sector - 04, Bhilai, Dist - Durg, Chhattisgarh, Pin - 490001</t>
  </si>
  <si>
    <t>Qtr. No. 29/A, Street No. - 13, Sector - 03, Bhilai, Dist - Durg, Chhattisgarh, Pin - 490001</t>
  </si>
  <si>
    <t>Quarter No. 18/F, Street - 13, Sector - 10, Bhilai, Dist - Durg, Chhattisgarh, Pin - 490006</t>
  </si>
  <si>
    <t>House No. - 669, Risali, Bhilai, Dist - Durg, Chhattisgarh, Pin - 490006</t>
  </si>
  <si>
    <t>Qrt. No. 26/D, Street No. - 10, Sector - 01, Bhilai, Dist - Durg, Chhattisgarh, Pin - 490001</t>
  </si>
  <si>
    <t>Qtr. No. 23/C, Street No. - 22, Sector - 03, Bhilai, Dist - Durg, Chhattisgarh, Pin - 490001</t>
  </si>
  <si>
    <t>Qrt. No. 20/B, Street No. - 06, Sector - 01, Bhilai, Dist - Durg, Chhattisgarh, Pin - 490001</t>
  </si>
  <si>
    <t>House No. - 220, Ward - 28, Supela, Bhilai, Bhilai, Dist - Durg, Chhattisgarh, Pin - 490023</t>
  </si>
  <si>
    <t>Qtr. No. 16/D, Street No. - 03, Sector - 02, Bhilai, Dist - Durg, Chhattisgarh, Pin - 490001</t>
  </si>
  <si>
    <t>House No. - 984, Ward - 15, Kumhari, Bhilai, Dist - Durg, Chhattisgarh, Pin - 490042</t>
  </si>
  <si>
    <t>House No. - 718, Charoda, Bhilai, Dist - Durg, Chhattisgarh, Pin - 490036</t>
  </si>
  <si>
    <t>House No. - 611, Risali, Bhilai, Bhilai, Dist - Durg, Chhattisgarh, Pin - 490006</t>
  </si>
  <si>
    <t>Quarter No. - 16/D, Street - 13, Sector - 09, Bhilai, Dist - Durg, Chhattisgarh, Pin - 490001</t>
  </si>
  <si>
    <t>Qr. No. 5/C, Street No. - 24, Sector - 08, Bhilai, Dist - Durg, Chhattisgarh, Pin - 490001</t>
  </si>
  <si>
    <t>Qtr. No. 26/F, Street No. - 21, Sector - 03, Bhilai, Dist - Durg, Chhattisgarh, Pin - 490001</t>
  </si>
  <si>
    <t>Block - 12/D, Street - 12, Sector - 04, Bhilai, Dist - Durg, Chhattisgarh, Pin - 490001</t>
  </si>
  <si>
    <t>House No. - 838, Ward - 19, Nehru Nagar, Bhilai, Dist - Durg, Chhattisgarh, Pin - 490020</t>
  </si>
  <si>
    <t>Qt. No. 20/F, Street No. - 04, Sector - 07, Bhilai, Dist - Durg, Chhattisgarh, Pin - 490006</t>
  </si>
  <si>
    <t>Quarter No. 15/D, Street - 24, Sector - 10, Bhilai, Dist - Durg, Chhattisgarh, Pin - 490006</t>
  </si>
  <si>
    <t>House No. - 842, Ward - 03, Kosa Nagar, Bhilai, Dist - Durg, Chhattisgarh, Pin - 490020</t>
  </si>
  <si>
    <t>House No. - 238, Charoda, Bhilai, Dist - Durg, Chhattisgarh, Pin - 490036</t>
  </si>
  <si>
    <t>House No. - 720, Vaishali Nagar, Bhilai, Dist - Durg, Chhattisgarh, Pin - 490020</t>
  </si>
  <si>
    <t>House No. - 553, Ward - 19, Kosa Nagar, Bhilai, Dist - Durg, Chhattisgarh, Pin - 490020</t>
  </si>
  <si>
    <t>House No. - 712, Ward - 23, Kumhari, Bhilai, Dist - Durg, Chhattisgarh, Pin - 490042</t>
  </si>
  <si>
    <t>Qr. No. 9/F, Street No. - 12, Sector - 04, Bhilai, Dist - Durg, Chhattisgarh, Pin - 490001</t>
  </si>
  <si>
    <t>House No. - 406, Charoda, Bhilai, Dist - Durg, Chhattisgarh, Pin - 490036</t>
  </si>
  <si>
    <t>House No. - 917, Ward - 10, Supela, Bhilai, Bhilai, Dist - Durg, Chhattisgarh, Pin - 490023</t>
  </si>
  <si>
    <t>House No. - 865, Ward - 05, Kumhari, Bhilai, Dist - Durg, Chhattisgarh, Pin - 490042</t>
  </si>
  <si>
    <t>Qrt. No. 14/A, Street No. - 16, Sector - 05, Bhilai, Dist - Durg, Chhattisgarh, Pin - 490001</t>
  </si>
  <si>
    <t>Qr. No. 19, Bl No. 18, Street No. Emr, Sector - 04, Bhilai, Dist - Durg, Chhattisgarh, Pin - 490001</t>
  </si>
  <si>
    <t>Qr. No. 20, Bl No. 19, Street No. Emr, Sector - 04, Bhilai, Dist - Durg, Chhattisgarh, Pin - 490001</t>
  </si>
  <si>
    <t>Quarter No. - 3/B, Street - 06, Sector - 09, Bhilai, Dist - Durg, Chhattisgarh, Pin - 490001</t>
  </si>
  <si>
    <t>House No. - 191, Ward - 14, Camp - 02, Bhilai, Dist - Durg, Chhattisgarh, Pin - 490001</t>
  </si>
  <si>
    <t>Qrt. No. 8/C, Street No. - 11, Sector - 01, Bhilai, Dist - Durg, Chhattisgarh, Pin - 490001</t>
  </si>
  <si>
    <t>House No. - 185, Ward - 01, Kosa Nagar, Bhilai, Dist - Durg, Chhattisgarh, Pin - 490020</t>
  </si>
  <si>
    <t>Qr. No. 10/F, Street No. - 08, Sector - 08, Bhilai, Dist - Durg, Chhattisgarh, Pin - 490001</t>
  </si>
  <si>
    <t>Qr. No. 23/D, Street No. - 05, Sector - 08, Bhilai, Dist - Durg, Chhattisgarh, Pin - 490001</t>
  </si>
  <si>
    <t>Qt. No. 2/A, Street No. - 18, Sector - 06, Bhilai, Dist - Durg, Chhattisgarh, Pin - 490006</t>
  </si>
  <si>
    <t>Quarter No. 10/C, Street - 21, Sector - 10, Bhilai, Dist - Durg, Chhattisgarh, Pin - 490006</t>
  </si>
  <si>
    <t>Qt. No. 12/C, Street No. - 08, Sector - 06, Bhilai, Dist - Durg, Chhattisgarh, Pin - 490006</t>
  </si>
  <si>
    <t>House No. - 855, Vaishali Nagar, Bhilai, Dist - Durg, Chhattisgarh, Pin - 490020</t>
  </si>
  <si>
    <t>House No. - 424, Vaishali Nagar, Bhilai, Dist - Durg, Chhattisgarh, Pin - 490020</t>
  </si>
  <si>
    <t>Qr. No. 22/C, Street No. - 24, Sector - 04, Bhilai, Dist - Durg, Chhattisgarh, Pin - 490001</t>
  </si>
  <si>
    <t>Qrt. No. 12/D, Street No. - 21, Sector - 01, Bhilai, Dist - Durg, Chhattisgarh, Pin - 490001</t>
  </si>
  <si>
    <t>Qrt. No. 19/D, Street No. - 03, Sector - 05, Bhilai, Dist - Durg, Chhattisgarh, Pin - 490001</t>
  </si>
  <si>
    <t>House No. - 705, Charoda, Bhilai, Dist - Durg, Chhattisgarh, Pin - 490036</t>
  </si>
  <si>
    <t>Qtr. No. 24/A, Street No. - 05, Sector - 03, Bhilai, Dist - Durg, Chhattisgarh, Pin - 490001</t>
  </si>
  <si>
    <t>Quarter No. 8/C, Street - 19, Sector - 10, Bhilai, Dist - Durg, Chhattisgarh, Pin - 490006</t>
  </si>
  <si>
    <t>House No. - 364, Risali, Bhilai, Dist - Durg, Chhattisgarh, Pin - 490006</t>
  </si>
  <si>
    <t>Block - 9/B, Street - 25, Sector - 04, Bhilai, Dist - Durg, Chhattisgarh, Pin - 490001</t>
  </si>
  <si>
    <t>Qt. No. 8/A, Street No. - 13, Sector - 07, Bhilai, Dist - Durg, Chhattisgarh, Pin - 490006</t>
  </si>
  <si>
    <t>House No. - 232, Ward - 18, Kosa Nagar, Bhilai, Dist - Durg, Chhattisgarh, Pin - 490020</t>
  </si>
  <si>
    <t>Qt. No. 2/D, Street No. - 02, Sector - 07, Bhilai, Dist - Durg, Chhattisgarh, Pin - 490006</t>
  </si>
  <si>
    <t>Qrt. No. 18/B, Street No. - 25, Sector - 01, Bhilai, Dist - Durg, Chhattisgarh, Pin - 490001</t>
  </si>
  <si>
    <t>Qtr. No. 4/F, Street No. - 01, Sector - 02, Bhilai, Dist - Durg, Chhattisgarh, Pin - 490001</t>
  </si>
  <si>
    <t>House No. - 996, Ward - 24, Camp - 02, Bhilai, Dist - Durg, Chhattisgarh, Pin - 490001</t>
  </si>
  <si>
    <t>House No. - 813, Vaishali Nagar, Bhilai, Bhilai, Dist - Durg, Chhattisgarh, Pin - 490020</t>
  </si>
  <si>
    <t>House No. - 749, Risali, Bhilai, Bhilai, Dist - Durg, Chhattisgarh, Pin - 490006</t>
  </si>
  <si>
    <t>House No. - 322, Ward - 19, Nehru Nagar, Bhilai, Dist - Durg, Chhattisgarh, Pin - 490020</t>
  </si>
  <si>
    <t>House No. - 783, Ward - 01, Smriti Nagar, Bhilai, Dist - Durg, Chhattisgarh, Pin - 490020</t>
  </si>
  <si>
    <t>House No. - 775, Ward - 30, Smriti Nagar, Bhilai, Dist - Durg, Chhattisgarh, Pin - 490020</t>
  </si>
  <si>
    <t>House No. - 626, Ward - 09, Camp - 01, Bhilai, Dist - Durg, Chhattisgarh, Pin - 490001</t>
  </si>
  <si>
    <t>House No. - 542, Ward - 21, Kosa Nagar, Bhilai, Dist - Durg, Chhattisgarh, Pin - 490020</t>
  </si>
  <si>
    <t>House No. - 143, Risali, Bhilai, Bhilai, Dist - Durg, Chhattisgarh, Pin - 490006</t>
  </si>
  <si>
    <t>House No. - 764, Ward - 19, Kumhari, Bhilai, Dist - Durg, Chhattisgarh, Pin - 490042</t>
  </si>
  <si>
    <t>House No. - 562, Ward - 26, Camp - 01, Bhilai, Dist - Durg, Chhattisgarh, Pin - 490001</t>
  </si>
  <si>
    <t>House No. - 802, Vaishali Nagar, Bhilai, Bhilai, Dist - Durg, Chhattisgarh, Pin - 490020</t>
  </si>
  <si>
    <t>House No. - 154, Ward - 20, Camp - 02, Bhilai, Dist - Durg, Chhattisgarh, Pin - 490001</t>
  </si>
  <si>
    <t>Qrt. No. 22/B, Street No. - 03, Sector - 01, Bhilai, Dist - Durg, Chhattisgarh, Pin - 490001</t>
  </si>
  <si>
    <t>Qr. No. 28/D, Street No. - 01, Sector - 04, Bhilai, Dist - Durg, Chhattisgarh, Pin - 490001</t>
  </si>
  <si>
    <t>House No. - 998, Vaishali Nagar, Bhilai, Dist - Durg, Chhattisgarh, Pin - 490020</t>
  </si>
  <si>
    <t>House No. - 304, Ward - 30, Supela, Bhilai, Dist - Durg, Chhattisgarh, Pin - 490023</t>
  </si>
  <si>
    <t>Block - 18/A, Street - 14, Sector - 04, Bhilai, Dist - Durg, Chhattisgarh, Pin - 490001</t>
  </si>
  <si>
    <t>Qtr. No. 22/E, Street No. - 09, Sector - 02, Bhilai, Dist - Durg, Chhattisgarh, Pin - 490001</t>
  </si>
  <si>
    <t>Qr. No. 27/D, Street No. - 15, Sector - 04, Bhilai, Dist - Durg, Chhattisgarh, Pin - 490001</t>
  </si>
  <si>
    <t>House No. - 435, Vaishali Nagar, Bhilai, Dist - Durg, Chhattisgarh, Pin - 490020</t>
  </si>
  <si>
    <t>Quarter No. 5/D, Street - 24, Sector - 10, Bhilai, Dist - Durg, Chhattisgarh, Pin - 490006</t>
  </si>
  <si>
    <t>House No. - 958, Risali, Bhilai, Bhilai, Dist - Durg, Chhattisgarh, Pin - 490006</t>
  </si>
  <si>
    <t>Qr. No. 21/F, Street No. - 18, Sector - 04, Bhilai, Dist - Durg, Chhattisgarh, Pin - 490001</t>
  </si>
  <si>
    <t>Qr. No. 4/E, Street No. - 10, Sector - 08, Bhilai, Dist - Durg, Chhattisgarh, Pin - 490001</t>
  </si>
  <si>
    <t>House No. - 544, Ward - 21, Kosa Nagar, Bhilai, Dist - Durg, Chhattisgarh, Pin - 490020</t>
  </si>
  <si>
    <t>Qr. No. 20, Bl No. 15, Street No. Emr, Sector - 04, Bhilai, Dist - Durg, Chhattisgarh, Pin - 490001</t>
  </si>
  <si>
    <t>House No. - 906, Risali, Bhilai, Bhilai, Dist - Durg, Chhattisgarh, Pin - 490006</t>
  </si>
  <si>
    <t>House No. - 338, Charoda, Bhilai, Dist - Durg, Chhattisgarh, Pin - 490036</t>
  </si>
  <si>
    <t>House No. - 652, Ward - 17, Supela, Bhilai, Dist - Durg, Chhattisgarh, Pin - 490023</t>
  </si>
  <si>
    <t>Quarter No. 2/F, Street - 19, Sector - 10, Bhilai, Dist - Durg, Chhattisgarh, Pin - 490006</t>
  </si>
  <si>
    <t>House No. - 747, Risali, Bhilai, Bhilai, Dist - Durg, Chhattisgarh, Pin - 490006</t>
  </si>
  <si>
    <t>Qt. No. 6/A, Street No. - 23, Sector - 07, Bhilai, Dist - Durg, Chhattisgarh, Pin - 490006</t>
  </si>
  <si>
    <t>House No. - 252, Ward - 20, Kosa Nagar, Bhilai, Dist - Durg, Chhattisgarh, Pin - 490020</t>
  </si>
  <si>
    <t>House No. - 825, Ward - 04, Camp - 02, Bhilai, Dist - Durg, Chhattisgarh, Pin - 490001</t>
  </si>
  <si>
    <t>Qrt. No. 2/C, Street No. - 13, Sector - 01, Bhilai, Dist - Durg, Chhattisgarh, Pin - 490001</t>
  </si>
  <si>
    <t>Quarter No. - 17/C, Street - 25, Sector - 09, Bhilai, Dist - Durg, Chhattisgarh, Pin - 490001</t>
  </si>
  <si>
    <t>House No. - 951, Risali, Bhilai, Bhilai, Dist - Durg, Chhattisgarh, Pin - 490006</t>
  </si>
  <si>
    <t>Qr. No. 22/F, Street No. - 02, Sector - 04, Bhilai, Dist - Durg, Chhattisgarh, Pin - 490001</t>
  </si>
  <si>
    <t>House No. - 293, Charoda, Bhilai, Dist - Durg, Chhattisgarh, Pin - 490036</t>
  </si>
  <si>
    <t>House No. - 919, Ward - 02, Smriti Nagar, Bhilai, Dist - Durg, Chhattisgarh, Pin - 490020</t>
  </si>
  <si>
    <t>Qr. No. 6, Bl No. 19, Street No. Emr, Sector - 04, Bhilai, Dist - Durg, Chhattisgarh, Pin - 490001</t>
  </si>
  <si>
    <t>Quarter No. 16/B, Street - 08, Sector - 10, Bhilai, Dist - Durg, Chhattisgarh, Pin - 490006</t>
  </si>
  <si>
    <t>House No. - 335, Charoda, Bhilai, Dist - Durg, Chhattisgarh, Pin - 490036</t>
  </si>
  <si>
    <t>House No. - 843, Ward - 01, Kumhari, Bhilai, Dist - Durg, Chhattisgarh, Pin - 490042</t>
  </si>
  <si>
    <t>Qr. No. 16/C, Street No. - 21, Sector - 04, Bhilai, Dist - Durg, Chhattisgarh, Pin - 490001</t>
  </si>
  <si>
    <t>Qt. No. 27/E, Street No. - 14, Sector - 07, Bhilai, Dist - Durg, Chhattisgarh, Pin - 490006</t>
  </si>
  <si>
    <t>House No. - 472, Risali, Bhilai, Dist - Durg, Chhattisgarh, Pin - 490006</t>
  </si>
  <si>
    <t>Qr. No. 14/B, Street No. - 05, Sector - 04, Bhilai, Dist - Durg, Chhattisgarh, Pin - 490001</t>
  </si>
  <si>
    <t>Qr. No. 7/D, Street No. - 24, Sector - 08, Bhilai, Dist - Durg, Chhattisgarh, Pin - 490001</t>
  </si>
  <si>
    <t>Quarter No. 20/D, Street - 20, Sector - 10, Bhilai, Dist - Durg, Chhattisgarh, Pin - 490006</t>
  </si>
  <si>
    <t>Qtr. No. 7/E, Street No. - 10, Sector - 03, Bhilai, Dist - Durg, Chhattisgarh, Pin - 490001</t>
  </si>
  <si>
    <t>Qr. No. 11/D, Street No. - 03, Sector - 08, Bhilai, Dist - Durg, Chhattisgarh, Pin - 490001</t>
  </si>
  <si>
    <t>House No. - 356, Ward - 11, Nehru Nagar, Bhilai, Dist - Durg, Chhattisgarh, Pin - 490020</t>
  </si>
  <si>
    <t>House No. - 398, Ward - 09, Nehru Nagar, Bhilai, Dist - Durg, Chhattisgarh, Pin - 490020</t>
  </si>
  <si>
    <t>House No. - 170, Vaishali Nagar, Bhilai, Dist - Durg, Chhattisgarh, Pin - 490020</t>
  </si>
  <si>
    <t>Qt. No. 15/D, Street No. - 10, Sector - 07, Bhilai, Dist - Durg, Chhattisgarh, Pin - 490006</t>
  </si>
  <si>
    <t>Qtr. No. 26/B, Street No. - 10, Sector - 03, Bhilai, Dist - Durg, Chhattisgarh, Pin - 490001</t>
  </si>
  <si>
    <t>Qrt. No. 30/A, Street No. - 10, Sector - 01, Bhilai, Dist - Durg, Chhattisgarh, Pin - 490001</t>
  </si>
  <si>
    <t>House No. - 552, Shanti Nagar, Bhilai, Dist - Durg, Chhattisgarh, Pin - 490020</t>
  </si>
  <si>
    <t>House No. - 398, Vaishali Nagar, Bhilai, Dist - Durg, Chhattisgarh, Pin - 490020</t>
  </si>
  <si>
    <t>House No. - 772, Shanti Nagar, Bhilai, Dist - Durg, Chhattisgarh, Pin - 490020</t>
  </si>
  <si>
    <t>Qrt. No. 30/F, Street No. - 02, Sector - 01, Bhilai, Dist - Durg, Chhattisgarh, Pin - 490001</t>
  </si>
  <si>
    <t>Qr. No. 14/D, Street No. - 13, Sector - 08, Bhilai, Dist - Durg, Chhattisgarh, Pin - 490001</t>
  </si>
  <si>
    <t>Quarter No. - 10/F, Street - 24, Sector - 09, Bhilai, Dist - Durg, Chhattisgarh, Pin - 490001</t>
  </si>
  <si>
    <t>Block - 23/B, Street - 01, Sector - 04, Bhilai, Dist - Durg, Chhattisgarh, Pin - 490001</t>
  </si>
  <si>
    <t>House No. - 331, Risali, Bhilai, Dist - Durg, Chhattisgarh, Pin - 490006</t>
  </si>
  <si>
    <t>House No. - 589, Ward - 27, Camp - 01, Bhilai, Dist - Durg, Chhattisgarh, Pin - 490001</t>
  </si>
  <si>
    <t>Qt. No. 28/F, Street No. - 12, Sector - 07, Bhilai, Dist - Durg, Chhattisgarh, Pin - 490006</t>
  </si>
  <si>
    <t>House No. - 887, Ward - 17, Smriti Nagar, Bhilai, Dist - Durg, Chhattisgarh, Pin - 490020</t>
  </si>
  <si>
    <t>Qt. No. 24/B, Street No. - 20, Sector - 07, Bhilai, Dist - Durg, Chhattisgarh, Pin - 490006</t>
  </si>
  <si>
    <t>Qtr. No. 18/B, Street No. - 17, Sector - 03, Bhilai, Dist - Durg, Chhattisgarh, Pin - 490001</t>
  </si>
  <si>
    <t>Qtr. No. 1/F, Street No. - 23, Sector - 03, Bhilai, Dist - Durg, Chhattisgarh, Pin - 490001</t>
  </si>
  <si>
    <t>Quarter No. 9/B, Street - 04, Sector - 10, Bhilai, Dist - Durg, Chhattisgarh, Pin - 490006</t>
  </si>
  <si>
    <t>Block - 7/B, Street - 05, Sector - 04, Bhilai, Dist - Durg, Chhattisgarh, Pin - 490001</t>
  </si>
  <si>
    <t>House No. - 778, Ward - 15, Nehru Nagar, Bhilai, Dist - Durg, Chhattisgarh, Pin - 490020</t>
  </si>
  <si>
    <t>Qt. No. 24/F, Street No. - 02, Sector - 07, Bhilai, Dist - Durg, Chhattisgarh, Pin - 490006</t>
  </si>
  <si>
    <t>Qrt. No. 21/A, Street No. - 23, Sector - 05, Bhilai, Dist - Durg, Chhattisgarh, Pin - 490001</t>
  </si>
  <si>
    <t>House No. - 921, Ward - 30, Kumhari, Bhilai, Dist - Durg, Chhattisgarh, Pin - 490042</t>
  </si>
  <si>
    <t>House No. - 971, Ward - 07, Supela, Bhilai, Bhilai, Dist - Durg, Chhattisgarh, Pin - 490023</t>
  </si>
  <si>
    <t>Qr. No. 22, Bl No. 20, Street No. Emr, Sector - 04, Bhilai, Dist - Durg, Chhattisgarh, Pin - 490001</t>
  </si>
  <si>
    <t>House No. - 785, Ward - 11, Kosa Nagar, Bhilai, Dist - Durg, Chhattisgarh, Pin - 490020</t>
  </si>
  <si>
    <t>House No. - 276, Charoda, Bhilai, Dist - Durg, Chhattisgarh, Pin - 490036</t>
  </si>
  <si>
    <t>House No. - 325, Ward - 27, Kumhari, Bhilai, Dist - Durg, Chhattisgarh, Pin - 490042</t>
  </si>
  <si>
    <t>House No. - 651, Risali, Bhilai, Dist - Durg, Chhattisgarh, Pin - 490006</t>
  </si>
  <si>
    <t>Qt. No. 21/F, Street No. - 20, Sector - 06, Bhilai, Dist - Durg, Chhattisgarh, Pin - 490006</t>
  </si>
  <si>
    <t>Qrt. No. 12/B, Street No. - 05, Sector - 01, Bhilai, Dist - Durg, Chhattisgarh, Pin - 490001</t>
  </si>
  <si>
    <t>House No. - 445, Risali, Bhilai, Dist - Durg, Chhattisgarh, Pin - 490006</t>
  </si>
  <si>
    <t>House No. - 926, Charoda, Bhilai, Dist - Durg, Chhattisgarh, Pin - 490036</t>
  </si>
  <si>
    <t>Qt. No. 18/D, Street No. - 03, Sector - 06, Bhilai, Dist - Durg, Chhattisgarh, Pin - 490006</t>
  </si>
  <si>
    <t>Quarter No. 4/A, Street - 11, Sector - 10, Bhilai, Dist - Durg, Chhattisgarh, Pin - 490006</t>
  </si>
  <si>
    <t>Quarter No. - 3/E, Street - 10, Sector - 09, Bhilai, Dist - Durg, Chhattisgarh, Pin - 490001</t>
  </si>
  <si>
    <t>House No. - 329, Shanti Nagar, Bhilai, Dist - Durg, Chhattisgarh, Pin - 490020</t>
  </si>
  <si>
    <t>House No. - 644, Ward - 16, Kumhari, Bhilai, Dist - Durg, Chhattisgarh, Pin - 490042</t>
  </si>
  <si>
    <t>House No. - 380, Ward - 10, Smriti Nagar, Bhilai, Dist - Durg, Chhattisgarh, Pin - 490020</t>
  </si>
  <si>
    <t>House No. - 177, Ward - 20, Supela, Bhilai, Bhilai, Dist - Durg, Chhattisgarh, Pin - 490023</t>
  </si>
  <si>
    <t>House No. - 512, Ward - 24, Camp - 01, Bhilai, Dist - Durg, Chhattisgarh, Pin - 490001</t>
  </si>
  <si>
    <t>Quarter No. 12/D, Street - 11, Sector - 10, Bhilai, Dist - Durg, Chhattisgarh, Pin - 490006</t>
  </si>
  <si>
    <t>House No. - 789, Ward - 21, Nehru Nagar, Bhilai, Dist - Durg, Chhattisgarh, Pin - 490020</t>
  </si>
  <si>
    <t>Quarter No. 6/D, Street - 17, Sector - 10, Bhilai, Dist - Durg, Chhattisgarh, Pin - 490006</t>
  </si>
  <si>
    <t>Qr. No. 17/B, Street No. - 21, Sector - 08, Bhilai, Dist - Durg, Chhattisgarh, Pin - 490001</t>
  </si>
  <si>
    <t>House No. - 830, Shanti Nagar, Bhilai, Dist - Durg, Chhattisgarh, Pin - 490020</t>
  </si>
  <si>
    <t>Qr. No. 21, Bl No. 20, Street No. Emr, Sector - 04, Bhilai, Dist - Durg, Chhattisgarh, Pin - 490001</t>
  </si>
  <si>
    <t>House No. - 749, Ward - 06, Smriti Nagar, Bhilai, Dist - Durg, Chhattisgarh, Pin - 490020</t>
  </si>
  <si>
    <t>Qt. No. 5/B, Street No. - 02, Sector - 06, Bhilai, Dist - Durg, Chhattisgarh, Pin - 490006</t>
  </si>
  <si>
    <t>House No. - 409, Vaishali Nagar, Bhilai, Dist - Durg, Chhattisgarh, Pin - 490020</t>
  </si>
  <si>
    <t>House No. - 346, Ward - 18, Kumhari, Bhilai, Dist - Durg, Chhattisgarh, Pin - 490042</t>
  </si>
  <si>
    <t>Qrt. No. 6/D, Street No. - 04, Sector - 01, Bhilai, Dist - Durg, Chhattisgarh, Pin - 490001</t>
  </si>
  <si>
    <t>House No. - 794, Ward - 26, Smriti Nagar, Bhilai, Dist - Durg, Chhattisgarh, Pin - 490020</t>
  </si>
  <si>
    <t>Block - 8/D, Street - 11, Sector - 04, Bhilai, Dist - Durg, Chhattisgarh, Pin - 490001</t>
  </si>
  <si>
    <t>Quarter No. - 8/D, Street - 06, Sector - 09, Bhilai, Dist - Durg, Chhattisgarh, Pin - 490001</t>
  </si>
  <si>
    <t>Quarter No. - 24/D, Street - 01, Sector - 09, Bhilai, Dist - Durg, Chhattisgarh, Pin - 490001</t>
  </si>
  <si>
    <t>House No. - 124, Ward - 29, Kosa Nagar, Bhilai, Dist - Durg, Chhattisgarh, Pin - 490020</t>
  </si>
  <si>
    <t>Qr. No. 13/B, Street No. - 16, Sector - 04, Bhilai, Dist - Durg, Chhattisgarh, Pin - 490001</t>
  </si>
  <si>
    <t>Qrt. No. 30/A, Street No. - 08, Sector - 01, Bhilai, Dist - Durg, Chhattisgarh, Pin - 490001</t>
  </si>
  <si>
    <t>Qtr. No. 1/A, Street No. - 17, Sector - 02, Bhilai, Dist - Durg, Chhattisgarh, Pin - 490001</t>
  </si>
  <si>
    <t>Quarter No. 21/D, Street - 25, Sector - 10, Bhilai, Dist - Durg, Chhattisgarh, Pin - 490006</t>
  </si>
  <si>
    <t>Qrt. No. 17/F, Street No. - 02, Sector - 01, Bhilai, Dist - Durg, Chhattisgarh, Pin - 490001</t>
  </si>
  <si>
    <t>Quarter No. 2/C, Street - 21, Sector - 10, Bhilai, Dist - Durg, Chhattisgarh, Pin - 490006</t>
  </si>
  <si>
    <t>House No. - 238, Ward - 19, Smriti Nagar, Bhilai, Dist - Durg, Chhattisgarh, Pin - 490020</t>
  </si>
  <si>
    <t>Block - 15/C, Street - 20, Sector - 04, Bhilai, Dist - Durg, Chhattisgarh, Pin - 490001</t>
  </si>
  <si>
    <t>House No. - 921, Ward - 22, Supela, Bhilai, Dist - Durg, Chhattisgarh, Pin - 490023</t>
  </si>
  <si>
    <t>House No. - 628, Vaishali Nagar, Bhilai, Dist - Durg, Chhattisgarh, Pin - 490020</t>
  </si>
  <si>
    <t>Qr. No. 29, Bl No. 22, Street No. Emr, Sector - 04, Bhilai, Dist - Durg, Chhattisgarh, Pin - 490001</t>
  </si>
  <si>
    <t>Block - 3/B, Street - 11, Sector - 04, Bhilai, Dist - Durg, Chhattisgarh, Pin - 490001</t>
  </si>
  <si>
    <t>Qt. No. 5/A, Street No. - 17, Sector - 07, Bhilai, Dist - Durg, Chhattisgarh, Pin - 490006</t>
  </si>
  <si>
    <t>Qtr. No. 16/D, Street No. - 24, Sector - 02, Bhilai, Dist - Durg, Chhattisgarh, Pin - 490001</t>
  </si>
  <si>
    <t>Qrt. No. 13/A, Street No. - 25, Sector - 01, Bhilai, Dist - Durg, Chhattisgarh, Pin - 490001</t>
  </si>
  <si>
    <t>House No. - 767, Ward - 18, Camp - 02, Bhilai, Dist - Durg, Chhattisgarh, Pin - 490001</t>
  </si>
  <si>
    <t>House No. - 159, Vaishali Nagar, Bhilai, Dist - Durg, Chhattisgarh, Pin - 490020</t>
  </si>
  <si>
    <t>House No. - 324, Vaishali Nagar, Bhilai, Dist - Durg, Chhattisgarh, Pin - 490020</t>
  </si>
  <si>
    <t>Qrt. No. 28/A, Street No. - 16, Sector - 01, Bhilai, Dist - Durg, Chhattisgarh, Pin - 490001</t>
  </si>
  <si>
    <t>Qr. No. 22/E, Street No. - 14, Sector - 04, Bhilai, Dist - Durg, Chhattisgarh, Pin - 490001</t>
  </si>
  <si>
    <t>Qr. No. 10, Bl No. 16, Street No. Emr, Sector - 04, Bhilai, Dist - Durg, Chhattisgarh, Pin - 490001</t>
  </si>
  <si>
    <t>Qr. No. 2, Bl No. 11, Street No. Emr, Sector - 04, Bhilai, Dist - Durg, Chhattisgarh, Pin - 490001</t>
  </si>
  <si>
    <t>House No. - 726, Ward - 21, Nehru Nagar, Bhilai, Dist - Durg, Chhattisgarh, Pin - 490020</t>
  </si>
  <si>
    <t>House No. - 673, Ward - 07, Nehru Nagar, Bhilai, Dist - Durg, Chhattisgarh, Pin - 490020</t>
  </si>
  <si>
    <t>Qrt. No. 11/C, Street No. - 20, Sector - 01, Bhilai, Dist - Durg, Chhattisgarh, Pin - 490001</t>
  </si>
  <si>
    <t>House No. - 979, Ward - 02, Smriti Nagar, Bhilai, Dist - Durg, Chhattisgarh, Pin - 490020</t>
  </si>
  <si>
    <t>House No. - 413, Ward - 10, Camp - 01, Bhilai, Dist - Durg, Chhattisgarh, Pin - 490001</t>
  </si>
  <si>
    <t>Block - 4/F, Street - 02, Sector - 04, Bhilai, Dist - Durg, Chhattisgarh, Pin - 490001</t>
  </si>
  <si>
    <t>Qt. No. 11/A, Street No. - 03, Sector - 07, Bhilai, Dist - Durg, Chhattisgarh, Pin - 490006</t>
  </si>
  <si>
    <t>Block - 2/C, Street - 06, Sector - 04, Bhilai, Dist - Durg, Chhattisgarh, Pin - 490001</t>
  </si>
  <si>
    <t>Qt. No. 18/C, Street No. - 14, Sector - 07, Bhilai, Dist - Durg, Chhattisgarh, Pin - 490006</t>
  </si>
  <si>
    <t>House No. - 646, Ward - 14, Camp - 01, Bhilai, Dist - Durg, Chhattisgarh, Pin - 490001</t>
  </si>
  <si>
    <t>House No. - 273, Ward - 06, Camp - 01, Bhilai, Dist - Durg, Chhattisgarh, Pin - 490001</t>
  </si>
  <si>
    <t>House No. - 470, Ward - 01, Supela, Bhilai, Dist - Durg, Chhattisgarh, Pin - 490023</t>
  </si>
  <si>
    <t>House No. - 735, Shanti Nagar, Bhilai, Dist - Durg, Chhattisgarh, Pin - 490020</t>
  </si>
  <si>
    <t>Qr. No. 8, Bl No. 15, Street No. Emr, Sector - 04, Bhilai, Dist - Durg, Chhattisgarh, Pin - 490001</t>
  </si>
  <si>
    <t>House No. - 569, Ward - 03, Kosa Nagar, Bhilai, Dist - Durg, Chhattisgarh, Pin - 490020</t>
  </si>
  <si>
    <t>Qr. No. 17/A, Street No. - 16, Sector - 08, Bhilai, Dist - Durg, Chhattisgarh, Pin - 490001</t>
  </si>
  <si>
    <t>Quarter No. - 23/B, Street - 12, Sector - 09, Bhilai, Dist - Durg, Chhattisgarh, Pin - 490001</t>
  </si>
  <si>
    <t>House No. - 754, Shanti Nagar, Bhilai, Dist - Durg, Chhattisgarh, Pin - 490020</t>
  </si>
  <si>
    <t>House No. - 874, Risali, Bhilai, Dist - Durg, Chhattisgarh, Pin - 490006</t>
  </si>
  <si>
    <t>Qtr. No. 28/E, Street No. - 14, Sector - 03, Bhilai, Dist - Durg, Chhattisgarh, Pin - 490001</t>
  </si>
  <si>
    <t>House No. - 192, Risali, Bhilai, Bhilai, Dist - Durg, Chhattisgarh, Pin - 490006</t>
  </si>
  <si>
    <t>House No. - 834, Charoda, Bhilai, Dist - Durg, Chhattisgarh, Pin - 490036</t>
  </si>
  <si>
    <t>Qt. No. 10/B, Street No. - 23, Sector - 07, Bhilai, Dist - Durg, Chhattisgarh, Pin - 490006</t>
  </si>
  <si>
    <t>House No. - 627, Ward - 23, Kosa Nagar, Bhilai, Dist - Durg, Chhattisgarh, Pin - 490020</t>
  </si>
  <si>
    <t>House No. - 236, Ward - 11, Supela, Bhilai, Dist - Durg, Chhattisgarh, Pin - 490023</t>
  </si>
  <si>
    <t>Quarter No. - 21/D, Street - 25, Sector - 09, Bhilai, Dist - Durg, Chhattisgarh, Pin - 490001</t>
  </si>
  <si>
    <t>Qrt. No. 5/A, Street No. - 05, Sector - 05, Bhilai, Dist - Durg, Chhattisgarh, Pin - 490001</t>
  </si>
  <si>
    <t>Qr. No. 1/C, Street No. - 08, Sector - 08, Bhilai, Dist - Durg, Chhattisgarh, Pin - 490001</t>
  </si>
  <si>
    <t>Qt. No. 15/D, Street No. - 03, Sector - 07, Bhilai, Dist - Durg, Chhattisgarh, Pin - 490006</t>
  </si>
  <si>
    <t>House No. - 213, Vaishali Nagar, Bhilai, Dist - Durg, Chhattisgarh, Pin - 490020</t>
  </si>
  <si>
    <t>Quarter No. - 15/B, Street - 08, Sector - 09, Bhilai, Dist - Durg, Chhattisgarh, Pin - 490001</t>
  </si>
  <si>
    <t>Qrt. No. 15/C, Street No. - 15, Sector - 05, Bhilai, Dist - Durg, Chhattisgarh, Pin - 490001</t>
  </si>
  <si>
    <t>House No. - 140, Ward - 20, Smriti Nagar, Bhilai, Dist - Durg, Chhattisgarh, Pin - 490020</t>
  </si>
  <si>
    <t>Qr. No. 21/E, Street No. - 20, Sector - 04, Bhilai, Dist - Durg, Chhattisgarh, Pin - 490001</t>
  </si>
  <si>
    <t>House No. - 740, Ward - 19, Nehru Nagar, Bhilai, Bhilai, Dist - Durg, Chhattisgarh, Pin - 490020</t>
  </si>
  <si>
    <t>Quarter No. - 11/B, Street - 06, Sector - 09, Bhilai, Dist - Durg, Chhattisgarh, Pin - 490001</t>
  </si>
  <si>
    <t>Block - 20/E, Street - 11, Sector - 04, Bhilai, Dist - Durg, Chhattisgarh, Pin - 490001</t>
  </si>
  <si>
    <t>House No. - 258, Vaishali Nagar, Bhilai, Dist - Durg, Chhattisgarh, Pin - 490020</t>
  </si>
  <si>
    <t>Qrt. No. 22/B, Street No. - 22, Sector - 01, Bhilai, Dist - Durg, Chhattisgarh, Pin - 490001</t>
  </si>
  <si>
    <t>House No. - 692, Ward - 10, Supela, Bhilai, Dist - Durg, Chhattisgarh, Pin - 490023</t>
  </si>
  <si>
    <t>Qrt. No. 3/F, Street No. - 04, Sector - 05, Bhilai, Dist - Durg, Chhattisgarh, Pin - 490001</t>
  </si>
  <si>
    <t>Qtr. No. 17/B, Street No. - 10, Sector - 02, Bhilai, Dist - Durg, Chhattisgarh, Pin - 490001</t>
  </si>
  <si>
    <t>House No. - 444, Vaishali Nagar, Bhilai, Dist - Durg, Chhattisgarh, Pin - 490020</t>
  </si>
  <si>
    <t>Qt. No. 9/E, Street No. - 16, Sector - 07, Bhilai, Dist - Durg, Chhattisgarh, Pin - 490006</t>
  </si>
  <si>
    <t>Qtr. No. 19/B, Street No. - 16, Sector - 02, Bhilai, Dist - Durg, Chhattisgarh, Pin - 490001</t>
  </si>
  <si>
    <t>House No. - 171, Ward - 22, Nehru Nagar, Bhilai, Dist - Durg, Chhattisgarh, Pin - 490020</t>
  </si>
  <si>
    <t>House No. - 372, Ward - 06, Kumhari, Bhilai, Dist - Durg, Chhattisgarh, Pin - 490042</t>
  </si>
  <si>
    <t>House No. - 203, Ward - 10, Nehru Nagar, Bhilai, Dist - Durg, Chhattisgarh, Pin - 490020</t>
  </si>
  <si>
    <t>House No. - 595, Shanti Nagar, Bhilai, Dist - Durg, Chhattisgarh, Pin - 490020</t>
  </si>
  <si>
    <t>House No. - 911, Ward - 29, Kosa Nagar, Bhilai, Dist - Durg, Chhattisgarh, Pin - 490020</t>
  </si>
  <si>
    <t>Quarter No. - 4/F, Street - 13, Sector - 09, Bhilai, Dist - Durg, Chhattisgarh, Pin - 490001</t>
  </si>
  <si>
    <t>House No. - 859, Ward - 23, Camp - 02, Bhilai, Dist - Durg, Chhattisgarh, Pin - 490001</t>
  </si>
  <si>
    <t>Qt. No. 25/C, Street No. - 01, Sector - 06, Bhilai, Dist - Durg, Chhattisgarh, Pin - 490006</t>
  </si>
  <si>
    <t>House No. - 773, Vaishali Nagar, Bhilai, Dist - Durg, Chhattisgarh, Pin - 490020</t>
  </si>
  <si>
    <t>Qr. No. 28/B, Street No. - 25, Sector - 04, Bhilai, Dist - Durg, Chhattisgarh, Pin - 490001</t>
  </si>
  <si>
    <t>House No. - 176, Shanti Nagar, Bhilai, Dist - Durg, Chhattisgarh, Pin - 490020</t>
  </si>
  <si>
    <t>Qtr. No. 22/F, Street No. - 05, Sector - 03, Bhilai, Dist - Durg, Chhattisgarh, Pin - 490001</t>
  </si>
  <si>
    <t>House No. - 534, Ward - 08, Kosa Nagar, Bhilai, Dist - Durg, Chhattisgarh, Pin - 490020</t>
  </si>
  <si>
    <t>Qt. No. 9/D, Street No. - 08, Sector - 07, Bhilai, Dist - Durg, Chhattisgarh, Pin - 490006</t>
  </si>
  <si>
    <t>Qt. No. 23/E, Street No. - 08, Sector - 07, Bhilai, Dist - Durg, Chhattisgarh, Pin - 490006</t>
  </si>
  <si>
    <t>Qrt. No. 13/F, Street No. - 10, Sector - 05, Bhilai, Dist - Durg, Chhattisgarh, Pin - 490001</t>
  </si>
  <si>
    <t>Quarter No. 24/A, Street - 07, Sector - 10, Bhilai, Dist - Durg, Chhattisgarh, Pin - 490006</t>
  </si>
  <si>
    <t>Qtr. No. 10/E, Street No. - 21, Sector - 02, Bhilai, Dist - Durg, Chhattisgarh, Pin - 490001</t>
  </si>
  <si>
    <t>Qrt. No. 28/A, Street No. - 01, Sector - 05, Bhilai, Dist - Durg, Chhattisgarh, Pin - 490001</t>
  </si>
  <si>
    <t>Qtr. No. 26/A, Street No. - 16, Sector - 03, Bhilai, Dist - Durg, Chhattisgarh, Pin - 490001</t>
  </si>
  <si>
    <t>House No. - 283, Vaishali Nagar, Bhilai, Dist - Durg, Chhattisgarh, Pin - 490020</t>
  </si>
  <si>
    <t>House No. - 386, Shanti Nagar, Bhilai, Dist - Durg, Chhattisgarh, Pin - 490020</t>
  </si>
  <si>
    <t>House No. - 949, Charoda, Bhilai, Dist - Durg, Chhattisgarh, Pin - 490036</t>
  </si>
  <si>
    <t>House No. - 495, Ward - 05, Supela, Bhilai, Dist - Durg, Chhattisgarh, Pin - 490023</t>
  </si>
  <si>
    <t>House No. - 347, Vaishali Nagar, Bhilai, Bhilai, Dist - Durg, Chhattisgarh, Pin - 490020</t>
  </si>
  <si>
    <t>House No. - 156, Ward - 22, Smriti Nagar, Bhilai, Dist - Durg, Chhattisgarh, Pin - 490020</t>
  </si>
  <si>
    <t>House No. - 670, Charoda, Bhilai, Dist - Durg, Chhattisgarh, Pin - 490036</t>
  </si>
  <si>
    <t>House No. - 163, Ward - 07, Supela, Bhilai, Dist - Durg, Chhattisgarh, Pin - 490023</t>
  </si>
  <si>
    <t>Qt. No. 23/A, Street No. - 11, Sector - 06, Bhilai, Dist - Durg, Chhattisgarh, Pin - 490006</t>
  </si>
  <si>
    <t>House No. - 393, Charoda, Bhilai, Dist - Durg, Chhattisgarh, Pin - 490036</t>
  </si>
  <si>
    <t>Qt. No. 2/F, Street No. - 03, Sector - 07, Bhilai, Dist - Durg, Chhattisgarh, Pin - 490006</t>
  </si>
  <si>
    <t>House No. - 640, Shanti Nagar, Bhilai, Dist - Durg, Chhattisgarh, Pin - 490020</t>
  </si>
  <si>
    <t>Qr. No. 9/F, Street No. - 02, Sector - 04, Bhilai, Dist - Durg, Chhattisgarh, Pin - 490001</t>
  </si>
  <si>
    <t>House No. - 652, Ward - 22, Nehru Nagar, Bhilai, Dist - Durg, Chhattisgarh, Pin - 490020</t>
  </si>
  <si>
    <t>Qt. No. 13/D, Street No. - 21, Sector - 06, Bhilai, Dist - Durg, Chhattisgarh, Pin - 490006</t>
  </si>
  <si>
    <t>House No. - 147, Ward - 15, Kumhari, Bhilai, Dist - Durg, Chhattisgarh, Pin - 490042</t>
  </si>
  <si>
    <t>Qrt. No. 27/B, Street No. - 18, Sector - 01, Bhilai, Dist - Durg, Chhattisgarh, Pin - 490001</t>
  </si>
  <si>
    <t>Quarter No. - 4/B, Street - 02, Sector - 09, Bhilai, Dist - Durg, Chhattisgarh, Pin - 490001</t>
  </si>
  <si>
    <t>House No. - 331, Ward - 09, Smriti Nagar, Bhilai, Dist - Durg, Chhattisgarh, Pin - 490020</t>
  </si>
  <si>
    <t>House No. - 823, Ward - 20, Nehru Nagar, Bhilai, Dist - Durg, Chhattisgarh, Pin - 490020</t>
  </si>
  <si>
    <t>Qr. No. 9/F, Street No. - 15, Sector - 04, Bhilai, Dist - Durg, Chhattisgarh, Pin - 490001</t>
  </si>
  <si>
    <t>House No. - 586, Vaishali Nagar, Bhilai, Dist - Durg, Chhattisgarh, Pin - 490020</t>
  </si>
  <si>
    <t>Qt. No. 16/F, Street No. - 10, Sector - 07, Bhilai, Dist - Durg, Chhattisgarh, Pin - 490006</t>
  </si>
  <si>
    <t>House No. - 540, Ward - 10, Kumhari, Bhilai, Dist - Durg, Chhattisgarh, Pin - 490042</t>
  </si>
  <si>
    <t>House No. - 252, Ward - 27, Camp - 02, Bhilai, Dist - Durg, Chhattisgarh, Pin - 490001</t>
  </si>
  <si>
    <t>Qrt. No. 8/A, Street No. - 16, Sector - 05, Bhilai, Dist - Durg, Chhattisgarh, Pin - 490001</t>
  </si>
  <si>
    <t>Quarter No. 13/D, Street - 11, Sector - 10, Bhilai, Dist - Durg, Chhattisgarh, Pin - 490006</t>
  </si>
  <si>
    <t>shashi@2009</t>
  </si>
  <si>
    <t>ramkumar@1996</t>
  </si>
  <si>
    <t>jyoti@1997</t>
  </si>
  <si>
    <t>laxman@2006</t>
  </si>
  <si>
    <t>abhishek@2000</t>
  </si>
  <si>
    <t>saroj@2001</t>
  </si>
  <si>
    <t>neha@1993</t>
  </si>
  <si>
    <t>gunjan@2002</t>
  </si>
  <si>
    <t>tulsiram@2010</t>
  </si>
  <si>
    <t>rakesh@1994</t>
  </si>
  <si>
    <t>jyoti@1991</t>
  </si>
  <si>
    <t>pratima@2010</t>
  </si>
  <si>
    <t>nisha@2008</t>
  </si>
  <si>
    <t>ravi@1999</t>
  </si>
  <si>
    <t>surendra@1988</t>
  </si>
  <si>
    <t>gomati@2003</t>
  </si>
  <si>
    <t>komal@2002</t>
  </si>
  <si>
    <t>anil@2010</t>
  </si>
  <si>
    <t>surendra@2002</t>
  </si>
  <si>
    <t>ankita@1990</t>
  </si>
  <si>
    <t>akash@2009</t>
  </si>
  <si>
    <t>sunanda@2004</t>
  </si>
  <si>
    <t>chandan@2005</t>
  </si>
  <si>
    <t>akash@2004</t>
  </si>
  <si>
    <t>deepak@1997</t>
  </si>
  <si>
    <t>rakesh@1991</t>
  </si>
  <si>
    <t>heena@2008</t>
  </si>
  <si>
    <t>nilesh@2001</t>
  </si>
  <si>
    <t>savita@1999</t>
  </si>
  <si>
    <t>balram@2009</t>
  </si>
  <si>
    <t>suresh@1991</t>
  </si>
  <si>
    <t>amita@1992</t>
  </si>
  <si>
    <t>sohan@1994</t>
  </si>
  <si>
    <t>narendra@2010</t>
  </si>
  <si>
    <t>narendra@2003</t>
  </si>
  <si>
    <t>shivani@1995</t>
  </si>
  <si>
    <t>sangita@1996</t>
  </si>
  <si>
    <t>tara@1993</t>
  </si>
  <si>
    <t>nirmala@1993</t>
  </si>
  <si>
    <t>vivek@1996</t>
  </si>
  <si>
    <t>parth@2004</t>
  </si>
  <si>
    <t>sarika@2005</t>
  </si>
  <si>
    <t>vivek@2000</t>
  </si>
  <si>
    <t>sunanda@2009</t>
  </si>
  <si>
    <t>sumitra@2009</t>
  </si>
  <si>
    <t>rohit@2005</t>
  </si>
  <si>
    <t>meenakshi@2004</t>
  </si>
  <si>
    <t>ankita@2000</t>
  </si>
  <si>
    <t>sanjay@1988</t>
  </si>
  <si>
    <t>chetna@2004</t>
  </si>
  <si>
    <t>usha@1993</t>
  </si>
  <si>
    <t>lalita@2005</t>
  </si>
  <si>
    <t>deepak@2006</t>
  </si>
  <si>
    <t>savita@2001</t>
  </si>
  <si>
    <t>kailash@2008</t>
  </si>
  <si>
    <t>arjun@1992</t>
  </si>
  <si>
    <t>monika@2004</t>
  </si>
  <si>
    <t>priya@1990</t>
  </si>
  <si>
    <t>usha@1994</t>
  </si>
  <si>
    <t>santosh@2000</t>
  </si>
  <si>
    <t>priya@1994</t>
  </si>
  <si>
    <t>monika@2008</t>
  </si>
  <si>
    <t>ajay@2003</t>
  </si>
  <si>
    <t>parvati@1993</t>
  </si>
  <si>
    <t>ganga@1996</t>
  </si>
  <si>
    <t>ritu@1999</t>
  </si>
  <si>
    <t>devendra@1998</t>
  </si>
  <si>
    <t>sachin@2004</t>
  </si>
  <si>
    <t>deepak@2002</t>
  </si>
  <si>
    <t>vasudha@2006</t>
  </si>
  <si>
    <t>mukesh@1996</t>
  </si>
  <si>
    <t>toran@1991</t>
  </si>
  <si>
    <t>shyam@2001</t>
  </si>
  <si>
    <t>abhishek@1995</t>
  </si>
  <si>
    <t>toran@2000</t>
  </si>
  <si>
    <t>anita@2006</t>
  </si>
  <si>
    <t>ankit@2001</t>
  </si>
  <si>
    <t>ramesh@1989</t>
  </si>
  <si>
    <t>archana@1996</t>
  </si>
  <si>
    <t>shubha@2006</t>
  </si>
  <si>
    <t>anuradha@1989</t>
  </si>
  <si>
    <t>chhaya@2010</t>
  </si>
  <si>
    <t>ashish@2002</t>
  </si>
  <si>
    <t>karan@2004</t>
  </si>
  <si>
    <t>hema@2005</t>
  </si>
  <si>
    <t>nalini@2001</t>
  </si>
  <si>
    <t>geeta@2000</t>
  </si>
  <si>
    <t>milan@2008</t>
  </si>
  <si>
    <t>mukesh@2009</t>
  </si>
  <si>
    <t>umesh@1997</t>
  </si>
  <si>
    <t>harish@1994</t>
  </si>
  <si>
    <t>champa@2002</t>
  </si>
  <si>
    <t>komal@1995</t>
  </si>
  <si>
    <t>rajesh@2003</t>
  </si>
  <si>
    <t>ekta@2002</t>
  </si>
  <si>
    <t>archana@1995</t>
  </si>
  <si>
    <t>kavita@1995</t>
  </si>
  <si>
    <t>chaindra@1998</t>
  </si>
  <si>
    <t>puran@2009</t>
  </si>
  <si>
    <t>arun@2000</t>
  </si>
  <si>
    <t>jitesh@1988</t>
  </si>
  <si>
    <t>lalit@1997</t>
  </si>
  <si>
    <t>vikram@2007</t>
  </si>
  <si>
    <t>ganga@2001</t>
  </si>
  <si>
    <t>pratima@1990</t>
  </si>
  <si>
    <t>shashi@2002</t>
  </si>
  <si>
    <t>karan@1996</t>
  </si>
  <si>
    <t>sachin@1998</t>
  </si>
  <si>
    <t>milan@2003</t>
  </si>
  <si>
    <t>toran@2004</t>
  </si>
  <si>
    <t>meenakshi@2006</t>
  </si>
  <si>
    <t>chandan@2006</t>
  </si>
  <si>
    <t>tulsiram@1993</t>
  </si>
  <si>
    <t>chandrakanta@1993</t>
  </si>
  <si>
    <t>chandan@2000</t>
  </si>
  <si>
    <t>indira@2007</t>
  </si>
  <si>
    <t>milan@1992</t>
  </si>
  <si>
    <t>shivani@2008</t>
  </si>
  <si>
    <t>pramila@2000</t>
  </si>
  <si>
    <t>leena@2004</t>
  </si>
  <si>
    <t>leena@1995</t>
  </si>
  <si>
    <t>harish@1998</t>
  </si>
  <si>
    <t>priya@2001</t>
  </si>
  <si>
    <t>parvati@2001</t>
  </si>
  <si>
    <t>pushpa@1992</t>
  </si>
  <si>
    <t>divya@2003</t>
  </si>
  <si>
    <t>anuradha@2001</t>
  </si>
  <si>
    <t>lalita@1997</t>
  </si>
  <si>
    <t>geeta@1990</t>
  </si>
  <si>
    <t>karan@2007</t>
  </si>
  <si>
    <t>ankita@1988</t>
  </si>
  <si>
    <t>hema@2004</t>
  </si>
  <si>
    <t>smita@1996</t>
  </si>
  <si>
    <t>ankita@2010</t>
  </si>
  <si>
    <t>shashi@1994</t>
  </si>
  <si>
    <t>hemant@2002</t>
  </si>
  <si>
    <t>vishal@2005</t>
  </si>
  <si>
    <t>sangita@2007</t>
  </si>
  <si>
    <t>surendra@1992</t>
  </si>
  <si>
    <t>preeti@1995</t>
  </si>
  <si>
    <t>sushila@1988</t>
  </si>
  <si>
    <t>rekha@2002</t>
  </si>
  <si>
    <t>ratna@1997</t>
  </si>
  <si>
    <t>naresh@1998</t>
  </si>
  <si>
    <t>ankit@1993</t>
  </si>
  <si>
    <t>priya@1991</t>
  </si>
  <si>
    <t>komal@1997</t>
  </si>
  <si>
    <t>sumitra@2004</t>
  </si>
  <si>
    <t>divya@2007</t>
  </si>
  <si>
    <t>siddhant@1988</t>
  </si>
  <si>
    <t>pramod@1990</t>
  </si>
  <si>
    <t>umakant@1994</t>
  </si>
  <si>
    <t>pradeep@2004</t>
  </si>
  <si>
    <t>poonam@2006</t>
  </si>
  <si>
    <t>tarun@2009</t>
  </si>
  <si>
    <t>komal@1994</t>
  </si>
  <si>
    <t>bharat@2005</t>
  </si>
  <si>
    <t>deepika@2010</t>
  </si>
  <si>
    <t>sunanda@2001</t>
  </si>
  <si>
    <t>vikram@2010</t>
  </si>
  <si>
    <t>saurabh@1988</t>
  </si>
  <si>
    <t>diksha@2007</t>
  </si>
  <si>
    <t>ravi@1988</t>
  </si>
  <si>
    <t>balram@2010</t>
  </si>
  <si>
    <t>namita@2008</t>
  </si>
  <si>
    <t>shivkumar@1993</t>
  </si>
  <si>
    <t>ishita@2003</t>
  </si>
  <si>
    <t>payal@1991</t>
  </si>
  <si>
    <t>kavita@1991</t>
  </si>
  <si>
    <t>chetna@2007</t>
  </si>
  <si>
    <t>nisha@2001</t>
  </si>
  <si>
    <t>usha@2007</t>
  </si>
  <si>
    <t>vandana@1992</t>
  </si>
  <si>
    <t>saraswati@1989</t>
  </si>
  <si>
    <t>tarun@1990</t>
  </si>
  <si>
    <t>kavita@1994</t>
  </si>
  <si>
    <t>mukesh@2001</t>
  </si>
  <si>
    <t>hema@1999</t>
  </si>
  <si>
    <t>laxman@2010</t>
  </si>
  <si>
    <t>chaindra@1992</t>
  </si>
  <si>
    <t>ajay@2008</t>
  </si>
  <si>
    <t>sumitra@2005</t>
  </si>
  <si>
    <t>tulsiram@2006</t>
  </si>
  <si>
    <t>chhaya@1989</t>
  </si>
  <si>
    <t>yamini@1992</t>
  </si>
  <si>
    <t>ratna@2007</t>
  </si>
  <si>
    <t>anuradha@2006</t>
  </si>
  <si>
    <t>pooja@1994</t>
  </si>
  <si>
    <t>arvind@1997</t>
  </si>
  <si>
    <t>soni@1991</t>
  </si>
  <si>
    <t>amit@2008</t>
  </si>
  <si>
    <t>tarun@1993</t>
  </si>
  <si>
    <t>toran@1999</t>
  </si>
  <si>
    <t>jivanram@2008</t>
  </si>
  <si>
    <t>monika@2005</t>
  </si>
  <si>
    <t>naresh@2002</t>
  </si>
  <si>
    <t>ravi@1989</t>
  </si>
  <si>
    <t>esha@1988</t>
  </si>
  <si>
    <t>varun@1995</t>
  </si>
  <si>
    <t>lata@2010</t>
  </si>
  <si>
    <t>devyani@2009</t>
  </si>
  <si>
    <t>ganga@2009</t>
  </si>
  <si>
    <t>nitin@1999</t>
  </si>
  <si>
    <t>bhavesh@1993</t>
  </si>
  <si>
    <t>vijay@1990</t>
  </si>
  <si>
    <t>brijlal@1995</t>
  </si>
  <si>
    <t>lokesh@1998</t>
  </si>
  <si>
    <t>mahesh@1993</t>
  </si>
  <si>
    <t>brijlal@2002</t>
  </si>
  <si>
    <t>nirmala@1994</t>
  </si>
  <si>
    <t>surendra@1994</t>
  </si>
  <si>
    <t>tarun@1998</t>
  </si>
  <si>
    <t>vineeta@1996</t>
  </si>
  <si>
    <t>suresh@2010</t>
  </si>
  <si>
    <t>jitesh@1990</t>
  </si>
  <si>
    <t>saurabh@2002</t>
  </si>
  <si>
    <t>jaya@1989</t>
  </si>
  <si>
    <t>gaurav@2007</t>
  </si>
  <si>
    <t>sadhna@2008</t>
  </si>
  <si>
    <t>sachin@1991</t>
  </si>
  <si>
    <t>jitesh@1998</t>
  </si>
  <si>
    <t>milan@1995</t>
  </si>
  <si>
    <t>chandan@2007</t>
  </si>
  <si>
    <t>monika@2010</t>
  </si>
  <si>
    <t>neha@2010</t>
  </si>
  <si>
    <t>santosh@2001</t>
  </si>
  <si>
    <t>dayaram@2000</t>
  </si>
  <si>
    <t>manohar@2002</t>
  </si>
  <si>
    <t>alok@1995</t>
  </si>
  <si>
    <t>sachin@1995</t>
  </si>
  <si>
    <t>hemlata@1997</t>
  </si>
  <si>
    <t>lalita@2001</t>
  </si>
  <si>
    <t>abhishek@2005</t>
  </si>
  <si>
    <t>ghanshyam@2003</t>
  </si>
  <si>
    <t>neha@1990</t>
  </si>
  <si>
    <t>bharat@2009</t>
  </si>
  <si>
    <t>karan@2001</t>
  </si>
  <si>
    <t>ashish@2001</t>
  </si>
  <si>
    <t>nalini@1995</t>
  </si>
  <si>
    <t>rajkumar@2006</t>
  </si>
  <si>
    <t>farida@2007</t>
  </si>
  <si>
    <t>heena@1999</t>
  </si>
  <si>
    <t>saroj@2004</t>
  </si>
  <si>
    <t>reena@2006</t>
  </si>
  <si>
    <t>naresh@2006</t>
  </si>
  <si>
    <t>dhanesh@2003</t>
  </si>
  <si>
    <t>devendra@1989</t>
  </si>
  <si>
    <t>kamlesh@1994</t>
  </si>
  <si>
    <t>sunanda@1994</t>
  </si>
  <si>
    <t>ashish@2009</t>
  </si>
  <si>
    <t>phulwati@1996</t>
  </si>
  <si>
    <t>shrikant@2007</t>
  </si>
  <si>
    <t>yash@1993</t>
  </si>
  <si>
    <t>sanjay@2005</t>
  </si>
  <si>
    <t>sumitra@1994</t>
  </si>
  <si>
    <t>reena@1994</t>
  </si>
  <si>
    <t>devyani@2005</t>
  </si>
  <si>
    <t>kamlesh@1991</t>
  </si>
  <si>
    <t>govind@1992</t>
  </si>
  <si>
    <t>leena@2007</t>
  </si>
  <si>
    <t>puran@1989</t>
  </si>
  <si>
    <t>sanjay@2000</t>
  </si>
  <si>
    <t>nisha@1988</t>
  </si>
  <si>
    <t>omkar@2006</t>
  </si>
  <si>
    <t>poonam@2005</t>
  </si>
  <si>
    <t>kalpana@1999</t>
  </si>
  <si>
    <t>prashant@2005</t>
  </si>
  <si>
    <t>rahul@1997</t>
  </si>
  <si>
    <t>ramesh@1991</t>
  </si>
  <si>
    <t>hemraj@1998</t>
  </si>
  <si>
    <t>nikhil@1996</t>
  </si>
  <si>
    <t>pramila@2001</t>
  </si>
  <si>
    <t>pramod@1998</t>
  </si>
  <si>
    <t>brijlal@1989</t>
  </si>
  <si>
    <t>nitin@1989</t>
  </si>
  <si>
    <t>alok@1993</t>
  </si>
  <si>
    <t>nilesh@2006</t>
  </si>
  <si>
    <t>hemlata@2006</t>
  </si>
  <si>
    <t>sudha@1995</t>
  </si>
  <si>
    <t>savita@1996</t>
  </si>
  <si>
    <t>narendra@2006</t>
  </si>
  <si>
    <t>renu@1996</t>
  </si>
  <si>
    <t>esha@1996</t>
  </si>
  <si>
    <t>esha@1990</t>
  </si>
  <si>
    <t>lokesh@2002</t>
  </si>
  <si>
    <t>subhash@1992</t>
  </si>
  <si>
    <t>kamlesh@2000</t>
  </si>
  <si>
    <t>harish@1999</t>
  </si>
  <si>
    <t>mayank@2009</t>
  </si>
  <si>
    <t>jayanti@2008</t>
  </si>
  <si>
    <t>mahesh@1990</t>
  </si>
  <si>
    <t>vijay@2001</t>
  </si>
  <si>
    <t>ritu@1988</t>
  </si>
  <si>
    <t>soni@2010</t>
  </si>
  <si>
    <t>pradeep@2007</t>
  </si>
  <si>
    <t>chetna@2009</t>
  </si>
  <si>
    <t>ekta@2001</t>
  </si>
  <si>
    <t>farida@1988</t>
  </si>
  <si>
    <t>arjun@2008</t>
  </si>
  <si>
    <t>sohan@1996</t>
  </si>
  <si>
    <t>bhavesh@1999</t>
  </si>
  <si>
    <t>ajay@1990</t>
  </si>
  <si>
    <t>ragini@1988</t>
  </si>
  <si>
    <t>dayaram@1989</t>
  </si>
  <si>
    <t>akash@1992</t>
  </si>
  <si>
    <t>alok@1994</t>
  </si>
  <si>
    <t>shrikant@2000</t>
  </si>
  <si>
    <t>shalini@1997</t>
  </si>
  <si>
    <t>brijesh@1993</t>
  </si>
  <si>
    <t>vishal@2001</t>
  </si>
  <si>
    <t>quratulain@1996</t>
  </si>
  <si>
    <t>reena@1999</t>
  </si>
  <si>
    <t>anita@1992</t>
  </si>
  <si>
    <t>savita@1997</t>
  </si>
  <si>
    <t>tulsiram@2000</t>
  </si>
  <si>
    <t>suman@1996</t>
  </si>
  <si>
    <t>parvati@1991</t>
  </si>
  <si>
    <t>sumit@2004</t>
  </si>
  <si>
    <t>vishal@2000</t>
  </si>
  <si>
    <t>narendra@2008</t>
  </si>
  <si>
    <t>champa@2005</t>
  </si>
  <si>
    <t>sanjay@2001</t>
  </si>
  <si>
    <t>hansabai@2008</t>
  </si>
  <si>
    <t>lata@1991</t>
  </si>
  <si>
    <t>shobha@2004</t>
  </si>
  <si>
    <t>arvind@1995</t>
  </si>
  <si>
    <t>deepak@2003</t>
  </si>
  <si>
    <t>rekha@2009</t>
  </si>
  <si>
    <t>diksha@2002</t>
  </si>
  <si>
    <t>laxmi@2009</t>
  </si>
  <si>
    <t>sarika@1994</t>
  </si>
  <si>
    <t>ghanshyam@1994</t>
  </si>
  <si>
    <t>manohar@1998</t>
  </si>
  <si>
    <t>bhavna@1991</t>
  </si>
  <si>
    <t>varun@1990</t>
  </si>
  <si>
    <t>surendra@2001</t>
  </si>
  <si>
    <t>sunanda@1996</t>
  </si>
  <si>
    <t>nalini@2000</t>
  </si>
  <si>
    <t>mamta@1997</t>
  </si>
  <si>
    <t>fulwati@2010</t>
  </si>
  <si>
    <t>arvind@2006</t>
  </si>
  <si>
    <t>parth@2003</t>
  </si>
  <si>
    <t>diksha@2006</t>
  </si>
  <si>
    <t>jyoti@1992</t>
  </si>
  <si>
    <t>neeraj@1990</t>
  </si>
  <si>
    <t>neeraj@1992</t>
  </si>
  <si>
    <t>fulwati@2005</t>
  </si>
  <si>
    <t>shiv@1999</t>
  </si>
  <si>
    <t>hemlata@1995</t>
  </si>
  <si>
    <t>chandrakanta@1991</t>
  </si>
  <si>
    <t>indira@1994</t>
  </si>
  <si>
    <t>hemraj@2008</t>
  </si>
  <si>
    <t>prashant@2001</t>
  </si>
  <si>
    <t>mahesh@1991</t>
  </si>
  <si>
    <t>Shashi Sharma</t>
  </si>
  <si>
    <t>Ramkumar Yadav</t>
  </si>
  <si>
    <t>Jyoti Solanki</t>
  </si>
  <si>
    <t>Laxman Dubey</t>
  </si>
  <si>
    <t>Abhishek Koli</t>
  </si>
  <si>
    <t>Saroj Rawat</t>
  </si>
  <si>
    <t>Neha Soni</t>
  </si>
  <si>
    <t>Gunjan Sutar</t>
  </si>
  <si>
    <t>Tulsiram Lohakare</t>
  </si>
  <si>
    <t>Rakesh Naidu</t>
  </si>
  <si>
    <t>Jyoti Usendi</t>
  </si>
  <si>
    <t>Pratima Lohar</t>
  </si>
  <si>
    <t>Nisha Singh</t>
  </si>
  <si>
    <t>Ravi Pisda</t>
  </si>
  <si>
    <t>Surendra Raut</t>
  </si>
  <si>
    <t>Gomati Nirmalkar</t>
  </si>
  <si>
    <t>Komal Awasthi</t>
  </si>
  <si>
    <t>Anil Kashyap</t>
  </si>
  <si>
    <t>Surendra Awasthi</t>
  </si>
  <si>
    <t>Ankita Gurjar</t>
  </si>
  <si>
    <t>Akash Goud</t>
  </si>
  <si>
    <t>Sunanda Rathore</t>
  </si>
  <si>
    <t>Chandan Nichlani</t>
  </si>
  <si>
    <t>Akash Markam</t>
  </si>
  <si>
    <t>Deepak Damor</t>
  </si>
  <si>
    <t>Rakesh Banjare</t>
  </si>
  <si>
    <t>Heena Bodley</t>
  </si>
  <si>
    <t>Nilesh Barman</t>
  </si>
  <si>
    <t>Savita Nishad</t>
  </si>
  <si>
    <t>Balram Sinha</t>
  </si>
  <si>
    <t>Suresh Soni</t>
  </si>
  <si>
    <t>Amita Dhiwar</t>
  </si>
  <si>
    <t>Sohan Markam</t>
  </si>
  <si>
    <t>Narendra Minj</t>
  </si>
  <si>
    <t>Narendra Hedau</t>
  </si>
  <si>
    <t>Shivani Damor</t>
  </si>
  <si>
    <t>Sangita Gupta</t>
  </si>
  <si>
    <t>Tara Nayak</t>
  </si>
  <si>
    <t>Nirmala Gurjar</t>
  </si>
  <si>
    <t>Vivek Rajput</t>
  </si>
  <si>
    <t>Parth Bodley</t>
  </si>
  <si>
    <t>Sarika Sahu</t>
  </si>
  <si>
    <t>Vivek Patel</t>
  </si>
  <si>
    <t>Sunanda Meshram</t>
  </si>
  <si>
    <t>Sumitra Nayak</t>
  </si>
  <si>
    <t>Rohit Ray</t>
  </si>
  <si>
    <t>Meenakshi Namdev</t>
  </si>
  <si>
    <t>Ankita Dubey</t>
  </si>
  <si>
    <t>Sanjay Thakur</t>
  </si>
  <si>
    <t>Chetna Tekam</t>
  </si>
  <si>
    <t>Usha Kujur</t>
  </si>
  <si>
    <t>Lalita Chauhan</t>
  </si>
  <si>
    <t>Deepak Kandulna</t>
  </si>
  <si>
    <t>Savita Lodhiya</t>
  </si>
  <si>
    <t>Kailash Rath</t>
  </si>
  <si>
    <t>Arjun Markam</t>
  </si>
  <si>
    <t>Monika Mishra</t>
  </si>
  <si>
    <t>Priya Dhiwar</t>
  </si>
  <si>
    <t>Usha Soni</t>
  </si>
  <si>
    <t>Santosh Patel</t>
  </si>
  <si>
    <t>Priya Salame</t>
  </si>
  <si>
    <t>Monika Namdev</t>
  </si>
  <si>
    <t>Ajay Solanki</t>
  </si>
  <si>
    <t>Parvati Lodhiya</t>
  </si>
  <si>
    <t>Ganga Sarvam</t>
  </si>
  <si>
    <t>Ritu Yadav</t>
  </si>
  <si>
    <t>Devendra Patel</t>
  </si>
  <si>
    <t>Rakesh Verma</t>
  </si>
  <si>
    <t>Sachin Dubey</t>
  </si>
  <si>
    <t>Deepak Netam</t>
  </si>
  <si>
    <t>Vasudha Tekam</t>
  </si>
  <si>
    <t>Mukesh Agrawal</t>
  </si>
  <si>
    <t>Toran Saini</t>
  </si>
  <si>
    <t>Shyam Gurjar</t>
  </si>
  <si>
    <t>Abhishek Namdev</t>
  </si>
  <si>
    <t>Toran Kumhar</t>
  </si>
  <si>
    <t>Anita Joshi</t>
  </si>
  <si>
    <t>Ankit Gupta</t>
  </si>
  <si>
    <t>Ramesh Rathore</t>
  </si>
  <si>
    <t>Archana Kosare</t>
  </si>
  <si>
    <t>Shubha Sinha</t>
  </si>
  <si>
    <t>Anuradha Pandey</t>
  </si>
  <si>
    <t>Chhaya Mali</t>
  </si>
  <si>
    <t>Ashish Goud</t>
  </si>
  <si>
    <t>Karan Sahu</t>
  </si>
  <si>
    <t>Hema Paikara</t>
  </si>
  <si>
    <t>Nalini Choudhary</t>
  </si>
  <si>
    <t>Geeta Mishra</t>
  </si>
  <si>
    <t>Milan Banjare</t>
  </si>
  <si>
    <t>Mukesh Choudhary</t>
  </si>
  <si>
    <t>Umesh Kumhar</t>
  </si>
  <si>
    <t>Harish Chauhan</t>
  </si>
  <si>
    <t>Champa Verma</t>
  </si>
  <si>
    <t>Komal Sharma</t>
  </si>
  <si>
    <t>Rajesh Kujur</t>
  </si>
  <si>
    <t>Ekta Gavde</t>
  </si>
  <si>
    <t>Archana Dewari</t>
  </si>
  <si>
    <t>Kavita Sinha</t>
  </si>
  <si>
    <t>Chaindra Thakare</t>
  </si>
  <si>
    <t>Puran Mahapatra</t>
  </si>
  <si>
    <t>Arun Mandavi</t>
  </si>
  <si>
    <t>Jitesh Pradhan</t>
  </si>
  <si>
    <t>Lalit Minj</t>
  </si>
  <si>
    <t>Vikram Sutar</t>
  </si>
  <si>
    <t>Ganga Yadav</t>
  </si>
  <si>
    <t>Pratima Nirmalkar</t>
  </si>
  <si>
    <t>Shashi Joshi</t>
  </si>
  <si>
    <t>Karan Nirmalkar</t>
  </si>
  <si>
    <t>Akash Naidu</t>
  </si>
  <si>
    <t>Sachin Tiwari</t>
  </si>
  <si>
    <t>Milan Chandrakar</t>
  </si>
  <si>
    <t>Toran Gurjar</t>
  </si>
  <si>
    <t>Meenakshi Paikara</t>
  </si>
  <si>
    <t>Chandan Kumhar</t>
  </si>
  <si>
    <t>Tulsiram Usendi</t>
  </si>
  <si>
    <t>Chandrakanta Gavde</t>
  </si>
  <si>
    <t>Chandan Manikpuri</t>
  </si>
  <si>
    <t>Indira Munda</t>
  </si>
  <si>
    <t>Milan Kurre</t>
  </si>
  <si>
    <t>Shivani Namdev</t>
  </si>
  <si>
    <t>Pramila Mandavi</t>
  </si>
  <si>
    <t>Leena Xalxo</t>
  </si>
  <si>
    <t>Leena Bodley</t>
  </si>
  <si>
    <t>Harish Hemrom</t>
  </si>
  <si>
    <t>Priya Dewangan</t>
  </si>
  <si>
    <t>Parvati Agrawal</t>
  </si>
  <si>
    <t>Pushpa Lodhiya</t>
  </si>
  <si>
    <t>Divya Chauhan</t>
  </si>
  <si>
    <t>Anuradha Toppo</t>
  </si>
  <si>
    <t>Lalita Lodhiya</t>
  </si>
  <si>
    <t>Geeta Tekam</t>
  </si>
  <si>
    <t>Karan Kosare</t>
  </si>
  <si>
    <t>Ankita Nichlani</t>
  </si>
  <si>
    <t>Hema Toppo</t>
  </si>
  <si>
    <t>Smita Patel</t>
  </si>
  <si>
    <t>Ankita Koli</t>
  </si>
  <si>
    <t>Shashi Singh</t>
  </si>
  <si>
    <t>Hemant Shukla</t>
  </si>
  <si>
    <t>Vishal Sahu</t>
  </si>
  <si>
    <t>Sangita Dubey</t>
  </si>
  <si>
    <t>Surendra Baghel</t>
  </si>
  <si>
    <t>Preeti Kewat</t>
  </si>
  <si>
    <t>Sushila Choudhary</t>
  </si>
  <si>
    <t>Rekha Verma</t>
  </si>
  <si>
    <t>Ratna Pisda</t>
  </si>
  <si>
    <t>Naresh Namdev</t>
  </si>
  <si>
    <t>Ankit Gavde</t>
  </si>
  <si>
    <t>Priya Nishad</t>
  </si>
  <si>
    <t>Komal Sutar</t>
  </si>
  <si>
    <t>Sumitra Kurre</t>
  </si>
  <si>
    <t>Divya Markam</t>
  </si>
  <si>
    <t>Siddhant Saini</t>
  </si>
  <si>
    <t>Pramod Baghel</t>
  </si>
  <si>
    <t>Umakant Lohar</t>
  </si>
  <si>
    <t>Pradeep Xalxo</t>
  </si>
  <si>
    <t>Poonam Namdev</t>
  </si>
  <si>
    <t>Tarun Khobragade</t>
  </si>
  <si>
    <t>Komal Xalxo</t>
  </si>
  <si>
    <t>Bharat Awasthi</t>
  </si>
  <si>
    <t>Deepika Rath</t>
  </si>
  <si>
    <t>Sunanda Meghwal</t>
  </si>
  <si>
    <t>Vikram Nichlani</t>
  </si>
  <si>
    <t>Saurabh Dhruw</t>
  </si>
  <si>
    <t>Diksha Ray</t>
  </si>
  <si>
    <t>Ravi Paikara</t>
  </si>
  <si>
    <t>Balram Chandrakar</t>
  </si>
  <si>
    <t>Namita Joshi</t>
  </si>
  <si>
    <t>Shivkumar Khobragade</t>
  </si>
  <si>
    <t>Ishita Kosare</t>
  </si>
  <si>
    <t>Payal Tekam</t>
  </si>
  <si>
    <t>Mukesh Paikara</t>
  </si>
  <si>
    <t>Kavita Nishad</t>
  </si>
  <si>
    <t>Chetna Dewari</t>
  </si>
  <si>
    <t>Nisha Paikara</t>
  </si>
  <si>
    <t>Usha Ahirwar</t>
  </si>
  <si>
    <t>Vandana Nayak</t>
  </si>
  <si>
    <t>Saraswati Saini</t>
  </si>
  <si>
    <t>Tarun Baghel</t>
  </si>
  <si>
    <t>Kavita Rathore</t>
  </si>
  <si>
    <t>Mukesh Meghwal</t>
  </si>
  <si>
    <t>Hema Salame</t>
  </si>
  <si>
    <t>Laxman Banjare</t>
  </si>
  <si>
    <t>Chaindra Nirmalkar</t>
  </si>
  <si>
    <t>Ajay Rajput</t>
  </si>
  <si>
    <t>Sumitra Markam</t>
  </si>
  <si>
    <t>Tulsiram Pandey</t>
  </si>
  <si>
    <t>Chhaya Toppo</t>
  </si>
  <si>
    <t>Yamini Banjare</t>
  </si>
  <si>
    <t>Monika Kanwar</t>
  </si>
  <si>
    <t>Ratna Rawat</t>
  </si>
  <si>
    <t>Anuradha Yadav</t>
  </si>
  <si>
    <t>Pooja Rawat</t>
  </si>
  <si>
    <t>Arvind Damor</t>
  </si>
  <si>
    <t>Soni Damor</t>
  </si>
  <si>
    <t>Amit Rajput</t>
  </si>
  <si>
    <t>Tarun Kashyap</t>
  </si>
  <si>
    <t>Toran Sidar</t>
  </si>
  <si>
    <t>Jivanram Ray</t>
  </si>
  <si>
    <t>Monika Usendi</t>
  </si>
  <si>
    <t>Naresh Chauhan</t>
  </si>
  <si>
    <t>Ravi Oraon</t>
  </si>
  <si>
    <t>Esha Ahirwar</t>
  </si>
  <si>
    <t>Varun Toppo</t>
  </si>
  <si>
    <t>Lata Kumhar</t>
  </si>
  <si>
    <t>Devyani Tirkey</t>
  </si>
  <si>
    <t>Naresh Rathore</t>
  </si>
  <si>
    <t>Ganga Kanwar</t>
  </si>
  <si>
    <t>Nitin Sahu</t>
  </si>
  <si>
    <t>Bhavesh Toppo</t>
  </si>
  <si>
    <t>Vijay Sinha</t>
  </si>
  <si>
    <t>Brijlal Barman</t>
  </si>
  <si>
    <t>Lokesh Chandrakar</t>
  </si>
  <si>
    <t>Mahesh Hedau</t>
  </si>
  <si>
    <t>Chandan Sarvam</t>
  </si>
  <si>
    <t>Brijlal Minj</t>
  </si>
  <si>
    <t>Nirmala Sahu</t>
  </si>
  <si>
    <t>Surendra Xalxo</t>
  </si>
  <si>
    <t>Tarun Banjare</t>
  </si>
  <si>
    <t>Vineeta Sahu</t>
  </si>
  <si>
    <t>Suresh Bind</t>
  </si>
  <si>
    <t>Jitesh Verma</t>
  </si>
  <si>
    <t>Saurabh Kashyap</t>
  </si>
  <si>
    <t>Jaya Minj</t>
  </si>
  <si>
    <t>Narendra Bodley</t>
  </si>
  <si>
    <t>Gaurav Barman</t>
  </si>
  <si>
    <t>Sadhna Manikpuri</t>
  </si>
  <si>
    <t>Sachin Uike</t>
  </si>
  <si>
    <t>Jitesh Netam</t>
  </si>
  <si>
    <t>Milan Rath</t>
  </si>
  <si>
    <t>Chandan Raut</t>
  </si>
  <si>
    <t>Monika Gavde</t>
  </si>
  <si>
    <t>Neha Kanwar</t>
  </si>
  <si>
    <t>Chaindra Namdev</t>
  </si>
  <si>
    <t>Santosh Kosare</t>
  </si>
  <si>
    <t>Dayaram Koli</t>
  </si>
  <si>
    <t>Deepika Thakare</t>
  </si>
  <si>
    <t>Manohar Koli</t>
  </si>
  <si>
    <t>Alok Mali</t>
  </si>
  <si>
    <t>Sachin Singh</t>
  </si>
  <si>
    <t>Hemlata Dewari</t>
  </si>
  <si>
    <t>Lalita Hemrom</t>
  </si>
  <si>
    <t>Abhishek Banjare</t>
  </si>
  <si>
    <t>Ankit Koram</t>
  </si>
  <si>
    <t>Ghanshyam Naidu</t>
  </si>
  <si>
    <t>Neha Meshram</t>
  </si>
  <si>
    <t>Bharat Nishad</t>
  </si>
  <si>
    <t>Karan Koli</t>
  </si>
  <si>
    <t>Ashish Thakare</t>
  </si>
  <si>
    <t>Nalini Sidar</t>
  </si>
  <si>
    <t>Rajkumar Uike</t>
  </si>
  <si>
    <t>Farida Dhiwar</t>
  </si>
  <si>
    <t>Heena Pradhan</t>
  </si>
  <si>
    <t>Saroj Saini</t>
  </si>
  <si>
    <t>Reena Meghwal</t>
  </si>
  <si>
    <t>Naresh Sharma</t>
  </si>
  <si>
    <t>Dhanesh Toppo</t>
  </si>
  <si>
    <t>Devendra Kashyap</t>
  </si>
  <si>
    <t>Kamlesh Ahirwar</t>
  </si>
  <si>
    <t>Sunanda Baghel</t>
  </si>
  <si>
    <t>Ashish Patel</t>
  </si>
  <si>
    <t>Phulwati Lakra</t>
  </si>
  <si>
    <t>Shrikant Kujur</t>
  </si>
  <si>
    <t>Yash Tirkey</t>
  </si>
  <si>
    <t>Sanjay Dhruw</t>
  </si>
  <si>
    <t>Sumitra Minj</t>
  </si>
  <si>
    <t>Reena Rath</t>
  </si>
  <si>
    <t>Devyani Saini</t>
  </si>
  <si>
    <t>Kamlesh Sidar</t>
  </si>
  <si>
    <t>Govind Patel</t>
  </si>
  <si>
    <t>Leena Ekka</t>
  </si>
  <si>
    <t>Puran Barman</t>
  </si>
  <si>
    <t>Sanjay Koram</t>
  </si>
  <si>
    <t>Nisha Kosare</t>
  </si>
  <si>
    <t>Omkar Xalxo</t>
  </si>
  <si>
    <t>Poonam Chandrakar</t>
  </si>
  <si>
    <t>Kalpana Toppo</t>
  </si>
  <si>
    <t>Prashant Baghel</t>
  </si>
  <si>
    <t>Rahul Uike</t>
  </si>
  <si>
    <t>Ramesh Rajput</t>
  </si>
  <si>
    <t>Hemraj Sarvam</t>
  </si>
  <si>
    <t>Nikhil Mali</t>
  </si>
  <si>
    <t>Pramila Meshram</t>
  </si>
  <si>
    <t>Pramod Koram</t>
  </si>
  <si>
    <t>Brijlal Nayak</t>
  </si>
  <si>
    <t>Nalini Khobragade</t>
  </si>
  <si>
    <t>Nitin Usendi</t>
  </si>
  <si>
    <t>Chandan Chandrakar</t>
  </si>
  <si>
    <t>Alok Goud</t>
  </si>
  <si>
    <t>Akash Raut</t>
  </si>
  <si>
    <t>Nilesh Agrawal</t>
  </si>
  <si>
    <t>Hemlata Mali</t>
  </si>
  <si>
    <t>Sudha Sarvam</t>
  </si>
  <si>
    <t>Savita Saini</t>
  </si>
  <si>
    <t>Narendra Barman</t>
  </si>
  <si>
    <t>Renu Kandulna</t>
  </si>
  <si>
    <t>Esha Naidu</t>
  </si>
  <si>
    <t>Nirmala Dubey</t>
  </si>
  <si>
    <t>Esha Mandavi</t>
  </si>
  <si>
    <t>Lokesh Thakur</t>
  </si>
  <si>
    <t>Subhash Khobragade</t>
  </si>
  <si>
    <t>Ghanshyam Khobragade</t>
  </si>
  <si>
    <t>Kamlesh Gupta</t>
  </si>
  <si>
    <t>Harish Koli</t>
  </si>
  <si>
    <t>Mayank Meshram</t>
  </si>
  <si>
    <t>Jayanti Soni</t>
  </si>
  <si>
    <t>Mahesh Kumhar</t>
  </si>
  <si>
    <t>Vijay Rath</t>
  </si>
  <si>
    <t>Preeti Raut</t>
  </si>
  <si>
    <t>Ritu Kanwar</t>
  </si>
  <si>
    <t>Soni Meshram</t>
  </si>
  <si>
    <t>Pradeep Sharma</t>
  </si>
  <si>
    <t>Chetna Tiwari</t>
  </si>
  <si>
    <t>Ekta Thakur</t>
  </si>
  <si>
    <t>Farida Nayak</t>
  </si>
  <si>
    <t>Arjun Raut</t>
  </si>
  <si>
    <t>Sohan Pisda</t>
  </si>
  <si>
    <t>Bhavesh Usendi</t>
  </si>
  <si>
    <t>Ajay Ray</t>
  </si>
  <si>
    <t>Ragini Bodley</t>
  </si>
  <si>
    <t>Dayaram Kashyap</t>
  </si>
  <si>
    <t>Akash Kurre</t>
  </si>
  <si>
    <t>Puran Sinha</t>
  </si>
  <si>
    <t>Alok Agrawal</t>
  </si>
  <si>
    <t>Shrikant Mahapatra</t>
  </si>
  <si>
    <t>Shalini Kashyap</t>
  </si>
  <si>
    <t>Brijesh Netam</t>
  </si>
  <si>
    <t>Vishal Pradhan</t>
  </si>
  <si>
    <t>Quratulain Khobragade</t>
  </si>
  <si>
    <t>Reena Dewari</t>
  </si>
  <si>
    <t>Esha Kumhar</t>
  </si>
  <si>
    <t>Anita Ekka</t>
  </si>
  <si>
    <t>Savita Dhruw</t>
  </si>
  <si>
    <t>Tulsiram Soni</t>
  </si>
  <si>
    <t>Suman Sahu</t>
  </si>
  <si>
    <t>Parvati Lohar</t>
  </si>
  <si>
    <t>Sumit Sidar</t>
  </si>
  <si>
    <t>Vishal Rajput</t>
  </si>
  <si>
    <t>Narendra Gupta</t>
  </si>
  <si>
    <t>Champa Thakare</t>
  </si>
  <si>
    <t>Karan Lakra</t>
  </si>
  <si>
    <t>Sanjay Lakra</t>
  </si>
  <si>
    <t>Hansabai Netam</t>
  </si>
  <si>
    <t>Lata Tirkey</t>
  </si>
  <si>
    <t>Shobha Hemrom</t>
  </si>
  <si>
    <t>Arvind Joshi</t>
  </si>
  <si>
    <t>Deepak Goud</t>
  </si>
  <si>
    <t>Rekha Yadav</t>
  </si>
  <si>
    <t>Pramod Thakur</t>
  </si>
  <si>
    <t>Diksha Salame</t>
  </si>
  <si>
    <t>Laxmi Joshi</t>
  </si>
  <si>
    <t>Sarika Kurre</t>
  </si>
  <si>
    <t>Ghanshyam Pandey</t>
  </si>
  <si>
    <t>Manohar Soni</t>
  </si>
  <si>
    <t>Bhavna Dhiwar</t>
  </si>
  <si>
    <t>Varun Koram</t>
  </si>
  <si>
    <t>Surendra Bodley</t>
  </si>
  <si>
    <t>Sunanda Raut</t>
  </si>
  <si>
    <t>Nalini Sarvam</t>
  </si>
  <si>
    <t>Mamta Pradhan</t>
  </si>
  <si>
    <t>Fulwati Tekam</t>
  </si>
  <si>
    <t>Arvind Raut</t>
  </si>
  <si>
    <t>Ajay Netam</t>
  </si>
  <si>
    <t>Parth Sharma</t>
  </si>
  <si>
    <t>Diksha Rath</t>
  </si>
  <si>
    <t>Jyoti Lodhiya</t>
  </si>
  <si>
    <t>Neeraj Sarvam</t>
  </si>
  <si>
    <t>Neeraj Dhiwar</t>
  </si>
  <si>
    <t>Fulwati Dhruw</t>
  </si>
  <si>
    <t>Shiv Banjare</t>
  </si>
  <si>
    <t>Hemlata Verma</t>
  </si>
  <si>
    <t>Chandrakanta Nirmalkar</t>
  </si>
  <si>
    <t>Indira Hemrom</t>
  </si>
  <si>
    <t>Hemraj Patel</t>
  </si>
  <si>
    <t>Prashant Ahirwar</t>
  </si>
  <si>
    <t>Mahesh Pradhan</t>
  </si>
  <si>
    <t>Santosh Kumar Sharma</t>
  </si>
  <si>
    <t>Parvati</t>
  </si>
  <si>
    <t>Hindi</t>
  </si>
  <si>
    <t>Brijlal Yadav</t>
  </si>
  <si>
    <t>Rukhmini</t>
  </si>
  <si>
    <t>English</t>
  </si>
  <si>
    <t>Puran Lal Solanki</t>
  </si>
  <si>
    <t>Ramkali</t>
  </si>
  <si>
    <t>Laxman Prasad Dubey</t>
  </si>
  <si>
    <t>Suresh Koli</t>
  </si>
  <si>
    <t>Laxmi</t>
  </si>
  <si>
    <t>Sohan Lal Rawat</t>
  </si>
  <si>
    <t>Radha Bai</t>
  </si>
  <si>
    <t>Laxman Prasad Soni</t>
  </si>
  <si>
    <t>Nirmala</t>
  </si>
  <si>
    <t>Bharat Sutar</t>
  </si>
  <si>
    <t>Sulochana</t>
  </si>
  <si>
    <t>Govind Prasad Lohakare</t>
  </si>
  <si>
    <t>Parsadi Bai</t>
  </si>
  <si>
    <t>Parmanand Naidu</t>
  </si>
  <si>
    <t>Sanjay Kumar Usendi</t>
  </si>
  <si>
    <t>Mukesh Kumar Lohar</t>
  </si>
  <si>
    <t>Mukesh Kumar Singh</t>
  </si>
  <si>
    <t>Kiran</t>
  </si>
  <si>
    <t>Bharat Pisda</t>
  </si>
  <si>
    <t>Shakuntala</t>
  </si>
  <si>
    <t>Shyamlal Raut</t>
  </si>
  <si>
    <t>Janki Bai</t>
  </si>
  <si>
    <t>Rajkumar Nirmalkar</t>
  </si>
  <si>
    <t>Ratna</t>
  </si>
  <si>
    <t>Mohan Lal Awasthi</t>
  </si>
  <si>
    <t>Anita</t>
  </si>
  <si>
    <t>Kailash Kashyap</t>
  </si>
  <si>
    <t>Sukhmati</t>
  </si>
  <si>
    <t>Devendra Kumar Awasthi</t>
  </si>
  <si>
    <t>Savita</t>
  </si>
  <si>
    <t>Sanjay Kumar Gurjar</t>
  </si>
  <si>
    <t>Tara Bai</t>
  </si>
  <si>
    <t>Sohan Lal Goud</t>
  </si>
  <si>
    <t>Babita</t>
  </si>
  <si>
    <t>Prem Kumar Rathore</t>
  </si>
  <si>
    <t>Geeta</t>
  </si>
  <si>
    <t>Surendra Nichlani</t>
  </si>
  <si>
    <t>Usha</t>
  </si>
  <si>
    <t>Ghasiya Markam</t>
  </si>
  <si>
    <t>Anil Kumar Damor</t>
  </si>
  <si>
    <t>Reena</t>
  </si>
  <si>
    <t>Govind Prasad Banjare</t>
  </si>
  <si>
    <t>Kamla Bai</t>
  </si>
  <si>
    <t>Kedarnath Bodley</t>
  </si>
  <si>
    <t>Champa</t>
  </si>
  <si>
    <t>Sunita</t>
  </si>
  <si>
    <t>Ghasiya Nishad</t>
  </si>
  <si>
    <t>Shobha</t>
  </si>
  <si>
    <t>Anil Kumar Sinha</t>
  </si>
  <si>
    <t>Mamta</t>
  </si>
  <si>
    <t>Jivanram Soni</t>
  </si>
  <si>
    <t>Manohar Lal Dhiwar</t>
  </si>
  <si>
    <t>Sushila</t>
  </si>
  <si>
    <t>Sunil Kumar Markam</t>
  </si>
  <si>
    <t>Parmanand Minj</t>
  </si>
  <si>
    <t>Tulsi Bai</t>
  </si>
  <si>
    <t>Anil Kumar Hedau</t>
  </si>
  <si>
    <t>Santosh Kumar Damor</t>
  </si>
  <si>
    <t>Shivnath Gupta</t>
  </si>
  <si>
    <t>Anil Kumar Nayak</t>
  </si>
  <si>
    <t>Shantibai</t>
  </si>
  <si>
    <t>Toran Lal Gurjar</t>
  </si>
  <si>
    <t>Kavita</t>
  </si>
  <si>
    <t>Shivnath Rajput</t>
  </si>
  <si>
    <t>Ramesh Bodley</t>
  </si>
  <si>
    <t>Shyam Lal Sahu</t>
  </si>
  <si>
    <t>Mohan Lal Patel</t>
  </si>
  <si>
    <t>Naresh Meshram</t>
  </si>
  <si>
    <t>Ghanshyam Nayak</t>
  </si>
  <si>
    <t>Kedarnath Ray</t>
  </si>
  <si>
    <t>Anil Kumar Namdev</t>
  </si>
  <si>
    <t>Bhagwandas Dubey</t>
  </si>
  <si>
    <t>Kedarnath Thakur</t>
  </si>
  <si>
    <t>Yamuna Bai</t>
  </si>
  <si>
    <t>Manohar Lal Tekam</t>
  </si>
  <si>
    <t>Dropadi</t>
  </si>
  <si>
    <t>Kedarnath Kujur</t>
  </si>
  <si>
    <t>Ghasiya Chauhan</t>
  </si>
  <si>
    <t>Santosh Kumar Kandulna</t>
  </si>
  <si>
    <t>Ramnath Lodhiya</t>
  </si>
  <si>
    <t>Mahesh Rath</t>
  </si>
  <si>
    <t>Meena Bai</t>
  </si>
  <si>
    <t>Santosh Kumar Markam</t>
  </si>
  <si>
    <t>Hira Bai</t>
  </si>
  <si>
    <t>Lokesh Mishra</t>
  </si>
  <si>
    <t>Shyamlal Dhiwar</t>
  </si>
  <si>
    <t>Bharat Soni</t>
  </si>
  <si>
    <t>Laxman Prasad Patel</t>
  </si>
  <si>
    <t>Pushpa</t>
  </si>
  <si>
    <t>Shyamlal Salame</t>
  </si>
  <si>
    <t>Hemant Kumar Namdev</t>
  </si>
  <si>
    <t>Pitambar Solanki</t>
  </si>
  <si>
    <t>Naresh Lodhiya</t>
  </si>
  <si>
    <t>Vimla</t>
  </si>
  <si>
    <t>Chaindra Sarvam</t>
  </si>
  <si>
    <t>Leelishwari</t>
  </si>
  <si>
    <t>Mukesh Kumar Yadav</t>
  </si>
  <si>
    <t>Manohar Lal Patel</t>
  </si>
  <si>
    <t>Sanjay Kumar Verma</t>
  </si>
  <si>
    <t>Saroj</t>
  </si>
  <si>
    <t>Ram Prasad Dubey</t>
  </si>
  <si>
    <t>Indra Bai</t>
  </si>
  <si>
    <t>Shyamlal Netam</t>
  </si>
  <si>
    <t>Chandrabai</t>
  </si>
  <si>
    <t>Dinesh Tekam</t>
  </si>
  <si>
    <t>Parmanand Agrawal</t>
  </si>
  <si>
    <t>Ganesh Saini</t>
  </si>
  <si>
    <t>Shyamlal Gurjar</t>
  </si>
  <si>
    <t>Gomati</t>
  </si>
  <si>
    <t>Brijlal Namdev</t>
  </si>
  <si>
    <t>Prem Kumar Kumhar</t>
  </si>
  <si>
    <t>Ashok Kumar Joshi</t>
  </si>
  <si>
    <t>Toran Lal Gupta</t>
  </si>
  <si>
    <t>Vijay Kumar Rathore</t>
  </si>
  <si>
    <t>Shyamlal Kosare</t>
  </si>
  <si>
    <t>Ashok Kumar Sinha</t>
  </si>
  <si>
    <t>Durga Bai</t>
  </si>
  <si>
    <t>Laxman Prasad Pandey</t>
  </si>
  <si>
    <t>Jagdish Mali</t>
  </si>
  <si>
    <t>Suresh Goud</t>
  </si>
  <si>
    <t>Prem Kumar Sahu</t>
  </si>
  <si>
    <t>Vijay Kumar Paikara</t>
  </si>
  <si>
    <t>Ramesh Choudhary</t>
  </si>
  <si>
    <t>Kaushalya</t>
  </si>
  <si>
    <t>Hemant Kumar Mishra</t>
  </si>
  <si>
    <t>Pitambar Banjare</t>
  </si>
  <si>
    <t>Ramkunwari</t>
  </si>
  <si>
    <t>Toran Lal Kumhar</t>
  </si>
  <si>
    <t>Puran Lal Chauhan</t>
  </si>
  <si>
    <t>Mahesh Verma</t>
  </si>
  <si>
    <t>Sarlabai</t>
  </si>
  <si>
    <t>Parmanand Sharma</t>
  </si>
  <si>
    <t>Phoolbai</t>
  </si>
  <si>
    <t>Kailash Kujur</t>
  </si>
  <si>
    <t>Harishankar Gavde</t>
  </si>
  <si>
    <t>Jagdish Dewari</t>
  </si>
  <si>
    <t>Vijay Kumar Sinha</t>
  </si>
  <si>
    <t>Sunil Kumar Thakare</t>
  </si>
  <si>
    <t>Naresh Mahapatra</t>
  </si>
  <si>
    <t>Mukesh Kumar Mandavi</t>
  </si>
  <si>
    <t>Shivnath Pradhan</t>
  </si>
  <si>
    <t>Rajkumar Minj</t>
  </si>
  <si>
    <t>Sudha</t>
  </si>
  <si>
    <t>Dayaram Nirmalkar</t>
  </si>
  <si>
    <t>Bhagwandas Joshi</t>
  </si>
  <si>
    <t>Puran Lal Nirmalkar</t>
  </si>
  <si>
    <t>Dinesh Naidu</t>
  </si>
  <si>
    <t>Pyare Lal Tiwari</t>
  </si>
  <si>
    <t>Bhagwandas Chandrakar</t>
  </si>
  <si>
    <t>Sangeeta</t>
  </si>
  <si>
    <t>Lakhhuram Gurjar</t>
  </si>
  <si>
    <t>Ghasiya Paikara</t>
  </si>
  <si>
    <t>Ghanshyam Kumhar</t>
  </si>
  <si>
    <t>Ghanshyam Usendi</t>
  </si>
  <si>
    <t>Anil Kumar Gavde</t>
  </si>
  <si>
    <t>Pitambar Manikpuri</t>
  </si>
  <si>
    <t>Ram Prasad Munda</t>
  </si>
  <si>
    <t>Chaindra Kurre</t>
  </si>
  <si>
    <t>Mukesh Kumar Namdev</t>
  </si>
  <si>
    <t>Basanti</t>
  </si>
  <si>
    <t>Lakhhuram Mandavi</t>
  </si>
  <si>
    <t>Phulmati</t>
  </si>
  <si>
    <t>Jagdish Xalxo</t>
  </si>
  <si>
    <t>Padmini</t>
  </si>
  <si>
    <t>Govind Prasad Bodley</t>
  </si>
  <si>
    <t>Balram Hemrom</t>
  </si>
  <si>
    <t>Toran Lal Dewangan</t>
  </si>
  <si>
    <t>Sita Bai</t>
  </si>
  <si>
    <t>Vijay Kumar Agrawal</t>
  </si>
  <si>
    <t>Jivanram Lodhiya</t>
  </si>
  <si>
    <t>Tulsiram Chauhan</t>
  </si>
  <si>
    <t>Ramesh Toppo</t>
  </si>
  <si>
    <t>Anil Kumar Lodhiya</t>
  </si>
  <si>
    <t>Harishankar Tekam</t>
  </si>
  <si>
    <t>Rajesh Kosare</t>
  </si>
  <si>
    <t>Devendra Kumar Nichlani</t>
  </si>
  <si>
    <t>Mohan Lal Toppo</t>
  </si>
  <si>
    <t>Santosh Kumar Patel</t>
  </si>
  <si>
    <t>Shiv Prasad Koli</t>
  </si>
  <si>
    <t>Narendra Kumar Singh</t>
  </si>
  <si>
    <t>Harishankar Shukla</t>
  </si>
  <si>
    <t>Naresh Sahu</t>
  </si>
  <si>
    <t>Hemant Kumar Dubey</t>
  </si>
  <si>
    <t>Balram Baghel</t>
  </si>
  <si>
    <t>Naresh Kewat</t>
  </si>
  <si>
    <t>Lokesh Choudhary</t>
  </si>
  <si>
    <t>Shyam Lal Verma</t>
  </si>
  <si>
    <t>Bhagwandas Pisda</t>
  </si>
  <si>
    <t>Kailash Namdev</t>
  </si>
  <si>
    <t>Sarojini</t>
  </si>
  <si>
    <t>Lokesh Gavde</t>
  </si>
  <si>
    <t>Sunil Kumar Nishad</t>
  </si>
  <si>
    <t>Surendra Sutar</t>
  </si>
  <si>
    <t>Ghanshyam Kurre</t>
  </si>
  <si>
    <t>Tulsiram Markam</t>
  </si>
  <si>
    <t>Jivanram Saini</t>
  </si>
  <si>
    <t>Shyam Lal Baghel</t>
  </si>
  <si>
    <t>Dinesh Lohar</t>
  </si>
  <si>
    <t>Narendra Kumar Xalxo</t>
  </si>
  <si>
    <t>Prem Kumar Namdev</t>
  </si>
  <si>
    <t>Shiv Prasad Khobragade</t>
  </si>
  <si>
    <t>Kailash Xalxo</t>
  </si>
  <si>
    <t>Ramesh Awasthi</t>
  </si>
  <si>
    <t>Kedarnath Rath</t>
  </si>
  <si>
    <t>Ghasiya Meghwal</t>
  </si>
  <si>
    <t>Brijlal Nichlani</t>
  </si>
  <si>
    <t>Manohar Lal Dhruw</t>
  </si>
  <si>
    <t>Rajkumar Ray</t>
  </si>
  <si>
    <t>Ramnath Paikara</t>
  </si>
  <si>
    <t>Hemant Kumar Chandrakar</t>
  </si>
  <si>
    <t>Naresh Joshi</t>
  </si>
  <si>
    <t>Sunil Kumar Khobragade</t>
  </si>
  <si>
    <t>Heera</t>
  </si>
  <si>
    <t>Ganesh Kosare</t>
  </si>
  <si>
    <t>Jivanram Tekam</t>
  </si>
  <si>
    <t>Bharat Paikara</t>
  </si>
  <si>
    <t>Rajesh Nishad</t>
  </si>
  <si>
    <t>Tulsiram Dewari</t>
  </si>
  <si>
    <t>Ghanshyam Paikara</t>
  </si>
  <si>
    <t>Anil Kumar Ahirwar</t>
  </si>
  <si>
    <t>Parmanand Nayak</t>
  </si>
  <si>
    <t>Pyare Lal Saini</t>
  </si>
  <si>
    <t>Yashodha</t>
  </si>
  <si>
    <t>Surendra Meghwal</t>
  </si>
  <si>
    <t>Nand Kishore Salame</t>
  </si>
  <si>
    <t>Ram Prasad Banjare</t>
  </si>
  <si>
    <t>Laxman Prasad Nirmalkar</t>
  </si>
  <si>
    <t>Balram Rajput</t>
  </si>
  <si>
    <t>Ramesh Markam</t>
  </si>
  <si>
    <t>Prem Kumar Pandey</t>
  </si>
  <si>
    <t>Prem Kumar Toppo</t>
  </si>
  <si>
    <t>Bhagwandas Banjare</t>
  </si>
  <si>
    <t>Surendra Kanwar</t>
  </si>
  <si>
    <t>Rajkumar Rawat</t>
  </si>
  <si>
    <t>Rajkumar Yadav</t>
  </si>
  <si>
    <t>Ramesh Rawat</t>
  </si>
  <si>
    <t>Ghanshyam Damor</t>
  </si>
  <si>
    <t>Bharat Damor</t>
  </si>
  <si>
    <t>Lalita</t>
  </si>
  <si>
    <t>Sanjay Kumar Rajput</t>
  </si>
  <si>
    <t>Ramnath Kashyap</t>
  </si>
  <si>
    <t>Anil Kumar Sidar</t>
  </si>
  <si>
    <t>Vijay Kumar Ray</t>
  </si>
  <si>
    <t>Ganga Bai</t>
  </si>
  <si>
    <t>Govind Prasad Chauhan</t>
  </si>
  <si>
    <t>Rajesh Oraon</t>
  </si>
  <si>
    <t>Lakhhuram Ahirwar</t>
  </si>
  <si>
    <t>Bhagwandas Toppo</t>
  </si>
  <si>
    <t>Ashok Kumar Kumhar</t>
  </si>
  <si>
    <t>Laxman Prasad Tirkey</t>
  </si>
  <si>
    <t>Lakhhuram Rathore</t>
  </si>
  <si>
    <t>Ghanshyam Kanwar</t>
  </si>
  <si>
    <t>Ramesh Sahu</t>
  </si>
  <si>
    <t>Suresh Toppo</t>
  </si>
  <si>
    <t>Devendra Kumar Sinha</t>
  </si>
  <si>
    <t>Naresh Barman</t>
  </si>
  <si>
    <t>Lakhhuram Hedau</t>
  </si>
  <si>
    <t>Ram Prasad Sarvam</t>
  </si>
  <si>
    <t>Pyare Lal Minj</t>
  </si>
  <si>
    <t>Shyamlal Sahu</t>
  </si>
  <si>
    <t>Lokesh Xalxo</t>
  </si>
  <si>
    <t>Ghasiya Banjare</t>
  </si>
  <si>
    <t>Mukesh Kumar Sahu</t>
  </si>
  <si>
    <t>Chaindra Bind</t>
  </si>
  <si>
    <t>Ashok Kumar Verma</t>
  </si>
  <si>
    <t>Ram Prasad Kashyap</t>
  </si>
  <si>
    <t>Bhagwandas Minj</t>
  </si>
  <si>
    <t>Narendra Kumar Bodley</t>
  </si>
  <si>
    <t>Balram Barman</t>
  </si>
  <si>
    <t>Narendra Kumar Manikpuri</t>
  </si>
  <si>
    <t>Pitambar Uike</t>
  </si>
  <si>
    <t>Kedarnath Netam</t>
  </si>
  <si>
    <t>Lokesh Rath</t>
  </si>
  <si>
    <t>Anil Kumar Raut</t>
  </si>
  <si>
    <t>Naresh Gavde</t>
  </si>
  <si>
    <t>Bhagwandas Kanwar</t>
  </si>
  <si>
    <t>Ram Prasad Namdev</t>
  </si>
  <si>
    <t>Shivnath Kosare</t>
  </si>
  <si>
    <t>Harishankar Koli</t>
  </si>
  <si>
    <t>Ghasiya Thakare</t>
  </si>
  <si>
    <t>Mahesh Koli</t>
  </si>
  <si>
    <t>Ashok Kumar Mali</t>
  </si>
  <si>
    <t>Ghasiya Singh</t>
  </si>
  <si>
    <t>Mahesh Dewari</t>
  </si>
  <si>
    <t>Devendra Kumar Hemrom</t>
  </si>
  <si>
    <t>Brijlal Banjare</t>
  </si>
  <si>
    <t>Hemant Kumar Koram</t>
  </si>
  <si>
    <t>Santosh Kumar Naidu</t>
  </si>
  <si>
    <t>Mohan Lal Meshram</t>
  </si>
  <si>
    <t>Kedarnath Nishad</t>
  </si>
  <si>
    <t>Devendra Kumar Koli</t>
  </si>
  <si>
    <t>Jivanram Thakare</t>
  </si>
  <si>
    <t>Hari Prasad Sidar</t>
  </si>
  <si>
    <t>Lakhhuram Uike</t>
  </si>
  <si>
    <t>Ram Prasad Dhiwar</t>
  </si>
  <si>
    <t>Sunil Kumar Pradhan</t>
  </si>
  <si>
    <t>Kailash Saini</t>
  </si>
  <si>
    <t>Mohan Lal Meghwal</t>
  </si>
  <si>
    <t>Shiv Prasad Sharma</t>
  </si>
  <si>
    <t>Anil Kumar Toppo</t>
  </si>
  <si>
    <t>Vijay Kumar Ahirwar</t>
  </si>
  <si>
    <t>Ghasiya Baghel</t>
  </si>
  <si>
    <t>Tulsiram Patel</t>
  </si>
  <si>
    <t>Naresh Lakra</t>
  </si>
  <si>
    <t>Brijlal Kujur</t>
  </si>
  <si>
    <t>Puran Lal Tirkey</t>
  </si>
  <si>
    <t>Narendra Kumar Dhruw</t>
  </si>
  <si>
    <t>Ghasiya Minj</t>
  </si>
  <si>
    <t>Ganesh Rath</t>
  </si>
  <si>
    <t>Govind Prasad Saini</t>
  </si>
  <si>
    <t>Vijay Kumar Sidar</t>
  </si>
  <si>
    <t>Ghasiya Patel</t>
  </si>
  <si>
    <t>Kedarnath Ekka</t>
  </si>
  <si>
    <t>Surendra Barman</t>
  </si>
  <si>
    <t>Ramesh Koram</t>
  </si>
  <si>
    <t>Shyamlal Xalxo</t>
  </si>
  <si>
    <t>Brijlal Chandrakar</t>
  </si>
  <si>
    <t>Hari Prasad Toppo</t>
  </si>
  <si>
    <t>Dinesh Baghel</t>
  </si>
  <si>
    <t>Anil Kumar Uike</t>
  </si>
  <si>
    <t>Sohan Lal Rajput</t>
  </si>
  <si>
    <t>Kedarnath Sarvam</t>
  </si>
  <si>
    <t>Hari Prasad Mali</t>
  </si>
  <si>
    <t>Ganesh Meshram</t>
  </si>
  <si>
    <t>Surendra Koram</t>
  </si>
  <si>
    <t>Ghasiya Nayak</t>
  </si>
  <si>
    <t>Ghasiya Khobragade</t>
  </si>
  <si>
    <t>Mahesh Usendi</t>
  </si>
  <si>
    <t>Shyam Lal Chandrakar</t>
  </si>
  <si>
    <t>Ram Prasad Goud</t>
  </si>
  <si>
    <t>Chaindra Raut</t>
  </si>
  <si>
    <t>Balram Agrawal</t>
  </si>
  <si>
    <t>Rajesh Mali</t>
  </si>
  <si>
    <t>Balram Sarvam</t>
  </si>
  <si>
    <t>Suresh Barman</t>
  </si>
  <si>
    <t>Brijlal Kandulna</t>
  </si>
  <si>
    <t>Suresh Naidu</t>
  </si>
  <si>
    <t>Shiv Prasad Dubey</t>
  </si>
  <si>
    <t>Ramesh Mandavi</t>
  </si>
  <si>
    <t>Santosh Kumar Thakur</t>
  </si>
  <si>
    <t>Kedarnath Khobragade</t>
  </si>
  <si>
    <t>Mohan Lal Khobragade</t>
  </si>
  <si>
    <t>Santosh Kumar Koli</t>
  </si>
  <si>
    <t>Parmanand Meshram</t>
  </si>
  <si>
    <t>Ghanshyam Soni</t>
  </si>
  <si>
    <t>Ganesh Kumhar</t>
  </si>
  <si>
    <t>Pyare Lal Rath</t>
  </si>
  <si>
    <t>Kailash Raut</t>
  </si>
  <si>
    <t>Sanjay Kumar Kanwar</t>
  </si>
  <si>
    <t>Suresh Meshram</t>
  </si>
  <si>
    <t>Prem Kumar Sharma</t>
  </si>
  <si>
    <t>Dinesh Tiwari</t>
  </si>
  <si>
    <t>Jivanram Nayak</t>
  </si>
  <si>
    <t>Govind Prasad Raut</t>
  </si>
  <si>
    <t>Vijay Kumar Pisda</t>
  </si>
  <si>
    <t>Vijay Kumar Usendi</t>
  </si>
  <si>
    <t>Parmanand Ray</t>
  </si>
  <si>
    <t>Kailash Bodley</t>
  </si>
  <si>
    <t>Bhagwandas Kashyap</t>
  </si>
  <si>
    <t>Hari Prasad Kurre</t>
  </si>
  <si>
    <t>Suresh Sinha</t>
  </si>
  <si>
    <t>Ghanshyam Agrawal</t>
  </si>
  <si>
    <t>Ramnath Mahapatra</t>
  </si>
  <si>
    <t>Pitambar Kashyap</t>
  </si>
  <si>
    <t>Balram Netam</t>
  </si>
  <si>
    <t>Dayaram Pradhan</t>
  </si>
  <si>
    <t>Bharat Dewari</t>
  </si>
  <si>
    <t>Hemant Kumar Kumhar</t>
  </si>
  <si>
    <t>Ganesh Dhruw</t>
  </si>
  <si>
    <t>Rajkumar Soni</t>
  </si>
  <si>
    <t>Anil Kumar Lohar</t>
  </si>
  <si>
    <t>Shiv Prasad Sidar</t>
  </si>
  <si>
    <t>Ganesh Rajput</t>
  </si>
  <si>
    <t>Devendra Kumar Gupta</t>
  </si>
  <si>
    <t>Brijlal Thakare</t>
  </si>
  <si>
    <t>Santosh Kumar Lakra</t>
  </si>
  <si>
    <t>Chaindra Lakra</t>
  </si>
  <si>
    <t>Toran Lal Netam</t>
  </si>
  <si>
    <t>Mahesh Tirkey</t>
  </si>
  <si>
    <t>Naresh Hemrom</t>
  </si>
  <si>
    <t>Prem Kumar Joshi</t>
  </si>
  <si>
    <t>Shyamlal Goud</t>
  </si>
  <si>
    <t>Chaindra Yadav</t>
  </si>
  <si>
    <t>Mukesh Kumar Thakur</t>
  </si>
  <si>
    <t>Shiv Prasad Salame</t>
  </si>
  <si>
    <t>Ghanshyam Joshi</t>
  </si>
  <si>
    <t>Shyamlal Kurre</t>
  </si>
  <si>
    <t>Puran Lal Pandey</t>
  </si>
  <si>
    <t>Ganesh Soni</t>
  </si>
  <si>
    <t>Ganesh Dhiwar</t>
  </si>
  <si>
    <t>Dinesh Koram</t>
  </si>
  <si>
    <t>Bhagwandas Bodley</t>
  </si>
  <si>
    <t>Hari Prasad Raut</t>
  </si>
  <si>
    <t>Ganesh Pradhan</t>
  </si>
  <si>
    <t>Naresh Tekam</t>
  </si>
  <si>
    <t>Dayaram Raut</t>
  </si>
  <si>
    <t>Parmanand Netam</t>
  </si>
  <si>
    <t>Rajesh Sharma</t>
  </si>
  <si>
    <t>Shyam Lal Rath</t>
  </si>
  <si>
    <t>Vijay Kumar Sarvam</t>
  </si>
  <si>
    <t>Govind Prasad Dhiwar</t>
  </si>
  <si>
    <t>Nand Kishore Dhruw</t>
  </si>
  <si>
    <t>Dinesh Banjare</t>
  </si>
  <si>
    <t>Naresh Verma</t>
  </si>
  <si>
    <t>Hari Prasad Nirmalkar</t>
  </si>
  <si>
    <t>Tulsiram Hemrom</t>
  </si>
  <si>
    <t>Ram Prasad Patel</t>
  </si>
  <si>
    <t>Santosh Kumar Ahirwar</t>
  </si>
  <si>
    <t>REMAINING2</t>
  </si>
  <si>
    <t>DATE3</t>
  </si>
  <si>
    <t>DATE5</t>
  </si>
  <si>
    <t>REMAINING4</t>
  </si>
  <si>
    <t>REMAINING6</t>
  </si>
  <si>
    <t>Student Name</t>
  </si>
  <si>
    <t>Student Roll Number</t>
  </si>
  <si>
    <t>Course Fees</t>
  </si>
  <si>
    <t>Exam Fees</t>
  </si>
  <si>
    <t>Total Payble Fees</t>
  </si>
  <si>
    <t>Course Completion</t>
  </si>
  <si>
    <t>Course Discontinued</t>
  </si>
  <si>
    <t>Course Ongoing</t>
  </si>
  <si>
    <t>Sanjay t</t>
  </si>
  <si>
    <t>Row Labels</t>
  </si>
  <si>
    <t>Sum of Paid Amount</t>
  </si>
  <si>
    <t>Count of S. No</t>
  </si>
  <si>
    <t>S.No</t>
  </si>
  <si>
    <t>Count of S. No2</t>
  </si>
  <si>
    <t>Completion Rate</t>
  </si>
  <si>
    <t xml:space="preserve">Total </t>
  </si>
  <si>
    <t>Dropout Students</t>
  </si>
  <si>
    <t>Active Students</t>
  </si>
  <si>
    <t>Jan</t>
  </si>
  <si>
    <t>Feb</t>
  </si>
  <si>
    <t>Mar</t>
  </si>
  <si>
    <t>Apr</t>
  </si>
  <si>
    <t>May</t>
  </si>
  <si>
    <t>Jun</t>
  </si>
  <si>
    <t>Jul</t>
  </si>
  <si>
    <t>Aug</t>
  </si>
  <si>
    <t>Sep</t>
  </si>
  <si>
    <t>Oct</t>
  </si>
  <si>
    <t>Nov</t>
  </si>
  <si>
    <t>Dec</t>
  </si>
  <si>
    <t>Student Enrolled by Months</t>
  </si>
  <si>
    <t xml:space="preserve"> Student by Course</t>
  </si>
  <si>
    <t xml:space="preserve"> Student by Area</t>
  </si>
  <si>
    <t>Student Enrolled by Session</t>
  </si>
  <si>
    <t>Student by Course Duration</t>
  </si>
  <si>
    <t>Student by Course</t>
  </si>
  <si>
    <t>Student by Batch</t>
  </si>
  <si>
    <t>VCE BHILAI - STUDENT MANAGEMENT SYSTEM</t>
  </si>
  <si>
    <t>Navigation Dashboard  |  Click a tile to open any sheet</t>
  </si>
  <si>
    <t xml:space="preserve">         DATA SHEETS</t>
  </si>
  <si>
    <t>Main Sheet</t>
  </si>
  <si>
    <t>Admission</t>
  </si>
  <si>
    <t>Discontinued</t>
  </si>
  <si>
    <t>Ongoing</t>
  </si>
  <si>
    <t>Slip</t>
  </si>
  <si>
    <t>Student Details</t>
  </si>
  <si>
    <t>Dashboard</t>
  </si>
  <si>
    <t>Aggregated data analysis</t>
  </si>
  <si>
    <t>Visual KPI overview</t>
  </si>
  <si>
    <t xml:space="preserve">        ANALYTICS SHEETS</t>
  </si>
  <si>
    <t>&gt;&gt;</t>
  </si>
  <si>
    <t>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</si>
</sst>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14009]dd\-mm\-yyyy;@"/>
    <numFmt numFmtId="165" formatCode="[$₹-860]\ #,##0"/>
    <numFmt numFmtId="166" formatCode="&quot;₹&quot;\ #,##0.00"/>
    <numFmt numFmtId="167" formatCode="0.0\ &quot;Lakh&quot;"/>
  </numFmts>
  <fonts count="31"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Wingdings 2"/>
      <family val="1"/>
      <charset val="2"/>
    </font>
    <font>
      <b/>
      <sz val="28"/>
      <color theme="0"/>
      <name val="Calibri"/>
      <family val="2"/>
      <scheme val="minor"/>
    </font>
    <font>
      <b/>
      <sz val="12"/>
      <color theme="1"/>
      <name val="Calibri"/>
      <family val="2"/>
      <scheme val="minor"/>
    </font>
    <font>
      <b/>
      <sz val="18"/>
      <color theme="0"/>
      <name val="Calibri"/>
      <family val="2"/>
      <scheme val="minor"/>
    </font>
    <font>
      <b/>
      <sz val="16"/>
      <color rgb="FFFF0000"/>
      <name val="Calibri"/>
      <family val="2"/>
      <scheme val="minor"/>
    </font>
    <font>
      <b/>
      <sz val="13"/>
      <color theme="1"/>
      <name val="Calibri"/>
      <family val="2"/>
      <scheme val="minor"/>
    </font>
    <font>
      <sz val="14"/>
      <color theme="1"/>
      <name val="Calibri"/>
      <family val="2"/>
      <scheme val="minor"/>
    </font>
    <font>
      <sz val="15"/>
      <color theme="1"/>
      <name val="Calibri"/>
      <family val="2"/>
      <scheme val="minor"/>
    </font>
    <font>
      <b/>
      <sz val="13"/>
      <color theme="1"/>
      <name val="Wingdings 2"/>
      <family val="1"/>
      <charset val="2"/>
    </font>
    <font>
      <sz val="13"/>
      <color theme="1"/>
      <name val="Calibri"/>
      <family val="2"/>
      <scheme val="minor"/>
    </font>
    <font>
      <b/>
      <sz val="14"/>
      <color theme="0"/>
      <name val="Calibri"/>
      <family val="2"/>
      <scheme val="minor"/>
    </font>
    <font>
      <b/>
      <sz val="18"/>
      <color theme="1"/>
      <name val="Calibri"/>
      <family val="2"/>
      <scheme val="minor"/>
    </font>
    <font>
      <b/>
      <sz val="28"/>
      <color theme="1"/>
      <name val="Calibri"/>
      <family val="2"/>
      <scheme val="minor"/>
    </font>
    <font>
      <sz val="48"/>
      <color rgb="FFFF0000"/>
      <name val="Calibri"/>
      <family val="2"/>
      <scheme val="minor"/>
    </font>
    <font>
      <sz val="60"/>
      <color rgb="FFFF0000"/>
      <name val="Calibri"/>
      <family val="2"/>
      <scheme val="minor"/>
    </font>
    <font>
      <b/>
      <sz val="48"/>
      <color rgb="FFFF0000"/>
      <name val="Calibri"/>
      <family val="2"/>
      <scheme val="minor"/>
    </font>
    <font>
      <b/>
      <sz val="36"/>
      <color rgb="FFFFFF00"/>
      <name val="Calibri"/>
      <family val="2"/>
    </font>
    <font>
      <b/>
      <sz val="11"/>
      <color rgb="FFFFFF00"/>
      <name val="Calibri"/>
      <family val="2"/>
    </font>
    <font>
      <b/>
      <sz val="14"/>
      <color rgb="FF00B0F0"/>
      <name val="Calibri"/>
      <family val="2"/>
      <scheme val="minor"/>
    </font>
    <font>
      <b/>
      <sz val="16"/>
      <color rgb="FF00B0F0"/>
      <name val="Calibri"/>
      <family val="2"/>
      <scheme val="minor"/>
    </font>
    <font>
      <u/>
      <sz val="11"/>
      <color theme="10"/>
      <name val="Calibri"/>
      <family val="2"/>
      <scheme val="minor"/>
    </font>
    <font>
      <b/>
      <sz val="20"/>
      <color theme="0"/>
      <name val="Calibri"/>
      <family val="2"/>
      <scheme val="minor"/>
    </font>
    <font>
      <sz val="11"/>
      <color rgb="FFFFFF00"/>
      <name val="Calibri"/>
      <family val="2"/>
      <scheme val="minor"/>
    </font>
    <font>
      <b/>
      <sz val="14"/>
      <color rgb="FFFFFF00"/>
      <name val="Calibri"/>
      <family val="2"/>
      <scheme val="minor"/>
    </font>
    <font>
      <b/>
      <sz val="20"/>
      <color theme="1"/>
      <name val="Calibri"/>
      <family val="2"/>
      <scheme val="minor"/>
    </font>
    <font>
      <i/>
      <sz val="14"/>
      <color rgb="FF4A78B0"/>
      <name val="Calibri"/>
      <family val="2"/>
    </font>
    <font>
      <b/>
      <sz val="14"/>
      <color theme="1"/>
      <name val="Calibri"/>
      <family val="2"/>
      <scheme val="minor"/>
    </font>
    <font>
      <i/>
      <sz val="14"/>
      <color theme="0" tint="-4.9989318521683403E-2"/>
      <name val="Calibri"/>
      <family val="2"/>
      <scheme val="minor"/>
    </font>
  </fonts>
  <fills count="15">
    <fill>
      <patternFill patternType="none"/>
    </fill>
    <fill>
      <patternFill patternType="gray125"/>
    </fill>
    <fill>
      <patternFill patternType="solid">
        <fgColor rgb="FF002060"/>
        <bgColor indexed="64"/>
      </patternFill>
    </fill>
    <fill>
      <patternFill patternType="solid">
        <fgColor theme="0" tint="-4.9989318521683403E-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0"/>
        <bgColor indexed="64"/>
      </patternFill>
    </fill>
    <fill>
      <patternFill patternType="solid">
        <fgColor rgb="FFFFFF99"/>
        <bgColor indexed="64"/>
      </patternFill>
    </fill>
    <fill>
      <patternFill patternType="solid">
        <fgColor theme="1"/>
        <bgColor indexed="64"/>
      </patternFill>
    </fill>
    <fill>
      <patternFill patternType="solid">
        <fgColor rgb="FF00B0F0"/>
        <bgColor indexed="64"/>
      </patternFill>
    </fill>
    <fill>
      <patternFill patternType="solid">
        <fgColor rgb="FF002060"/>
      </patternFill>
    </fill>
    <fill>
      <patternFill patternType="solid">
        <fgColor rgb="FF003080"/>
      </patternFill>
    </fill>
    <fill>
      <patternFill patternType="solid">
        <fgColor rgb="FF00B0F0"/>
      </patternFill>
    </fill>
    <fill>
      <patternFill patternType="solid">
        <fgColor rgb="FFFFFF00"/>
      </patternFill>
    </fill>
    <fill>
      <patternFill patternType="solid">
        <fgColor rgb="FF0070C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bottom/>
      <diagonal/>
    </border>
    <border>
      <left style="thin">
        <color indexed="64"/>
      </left>
      <right/>
      <top/>
      <bottom/>
      <diagonal/>
    </border>
    <border>
      <left/>
      <right/>
      <top style="thin">
        <color rgb="FFFFFF00"/>
      </top>
      <bottom/>
      <diagonal/>
    </border>
    <border>
      <left/>
      <right/>
      <top style="medium">
        <color rgb="FFFFFF00"/>
      </top>
      <bottom/>
      <diagonal/>
    </border>
    <border>
      <left/>
      <right/>
      <top/>
      <bottom style="thin">
        <color theme="0"/>
      </bottom>
      <diagonal/>
    </border>
    <border>
      <left/>
      <right/>
      <top style="thin">
        <color theme="0"/>
      </top>
      <bottom/>
      <diagonal/>
    </border>
    <border>
      <left/>
      <right style="thin">
        <color theme="0"/>
      </right>
      <top/>
      <bottom/>
      <diagonal/>
    </border>
    <border>
      <left style="thin">
        <color theme="0"/>
      </left>
      <right/>
      <top/>
      <bottom/>
      <diagonal/>
    </border>
    <border>
      <left/>
      <right style="thin">
        <color theme="0"/>
      </right>
      <top/>
      <bottom style="thin">
        <color theme="0"/>
      </bottom>
      <diagonal/>
    </border>
    <border>
      <left style="thin">
        <color theme="0"/>
      </left>
      <right/>
      <top style="medium">
        <color rgb="FFFFFF00"/>
      </top>
      <bottom/>
      <diagonal/>
    </border>
    <border>
      <left/>
      <right style="thin">
        <color theme="0"/>
      </right>
      <top style="medium">
        <color rgb="FFFFFF00"/>
      </top>
      <bottom/>
      <diagonal/>
    </border>
    <border>
      <left style="thin">
        <color theme="0"/>
      </left>
      <right/>
      <top/>
      <bottom style="thin">
        <color theme="0"/>
      </bottom>
      <diagonal/>
    </border>
    <border>
      <left/>
      <right style="thin">
        <color theme="0"/>
      </right>
      <top style="thin">
        <color rgb="FFFFFF00"/>
      </top>
      <bottom/>
      <diagonal/>
    </border>
    <border>
      <left/>
      <right style="thin">
        <color rgb="FFFFFF00"/>
      </right>
      <top/>
      <bottom style="thin">
        <color theme="0"/>
      </bottom>
      <diagonal/>
    </border>
    <border>
      <left style="thin">
        <color theme="0"/>
      </left>
      <right/>
      <top style="thin">
        <color rgb="FFFFFF00"/>
      </top>
      <bottom/>
      <diagonal/>
    </border>
    <border>
      <left style="thin">
        <color indexed="64"/>
      </left>
      <right style="thin">
        <color theme="0"/>
      </right>
      <top/>
      <bottom/>
      <diagonal/>
    </border>
    <border>
      <left style="thin">
        <color rgb="FFFFFF00"/>
      </left>
      <right/>
      <top/>
      <bottom style="thin">
        <color theme="0"/>
      </bottom>
      <diagonal/>
    </border>
  </borders>
  <cellStyleXfs count="2">
    <xf numFmtId="0" fontId="0" fillId="0" borderId="0"/>
    <xf numFmtId="0" fontId="23" fillId="0" borderId="0" applyNumberFormat="0" applyFill="0" applyBorder="0" applyAlignment="0" applyProtection="0"/>
  </cellStyleXfs>
  <cellXfs count="178">
    <xf numFmtId="0" fontId="0" fillId="0" borderId="0" xfId="0"/>
    <xf numFmtId="0" fontId="1" fillId="2" borderId="0" xfId="0" applyFont="1" applyFill="1" applyAlignment="1">
      <alignment horizontal="center" vertical="center"/>
    </xf>
    <xf numFmtId="0" fontId="0" fillId="0" borderId="1" xfId="0" applyBorder="1"/>
    <xf numFmtId="14" fontId="1" fillId="2" borderId="0" xfId="0" applyNumberFormat="1" applyFont="1" applyFill="1" applyAlignment="1">
      <alignment horizontal="center" vertical="center"/>
    </xf>
    <xf numFmtId="14" fontId="0" fillId="0" borderId="1" xfId="0" applyNumberFormat="1" applyBorder="1"/>
    <xf numFmtId="14" fontId="0" fillId="0" borderId="0" xfId="0" applyNumberFormat="1"/>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0" fillId="0" borderId="2" xfId="0" applyBorder="1"/>
    <xf numFmtId="0" fontId="3" fillId="0" borderId="1" xfId="0" applyFont="1" applyBorder="1" applyAlignment="1">
      <alignment horizontal="center"/>
    </xf>
    <xf numFmtId="0" fontId="3" fillId="0" borderId="0" xfId="0" applyFont="1" applyAlignment="1">
      <alignment horizontal="center"/>
    </xf>
    <xf numFmtId="0" fontId="1" fillId="2" borderId="2" xfId="0" applyFont="1" applyFill="1" applyBorder="1" applyAlignment="1">
      <alignment horizontal="center" vertical="center"/>
    </xf>
    <xf numFmtId="0" fontId="0" fillId="0" borderId="3" xfId="0" applyBorder="1"/>
    <xf numFmtId="14" fontId="0" fillId="0" borderId="3" xfId="0" applyNumberFormat="1" applyBorder="1"/>
    <xf numFmtId="0" fontId="0" fillId="0" borderId="4" xfId="0" applyBorder="1"/>
    <xf numFmtId="0" fontId="3" fillId="0" borderId="3" xfId="0" applyFont="1" applyBorder="1" applyAlignment="1">
      <alignment horizontal="center"/>
    </xf>
    <xf numFmtId="0" fontId="0" fillId="0" borderId="8" xfId="0" applyBorder="1"/>
    <xf numFmtId="0" fontId="0" fillId="0" borderId="9" xfId="0" applyBorder="1"/>
    <xf numFmtId="0" fontId="7" fillId="5" borderId="10" xfId="0" applyFont="1" applyFill="1" applyBorder="1" applyAlignment="1">
      <alignment horizontal="left" vertical="center"/>
    </xf>
    <xf numFmtId="0" fontId="7" fillId="5" borderId="11" xfId="0" applyFont="1" applyFill="1" applyBorder="1" applyAlignment="1">
      <alignment horizontal="center" vertical="center"/>
    </xf>
    <xf numFmtId="0" fontId="8" fillId="3" borderId="8" xfId="0" applyFont="1" applyFill="1" applyBorder="1" applyAlignment="1">
      <alignment horizontal="left" vertical="center"/>
    </xf>
    <xf numFmtId="0" fontId="8" fillId="6" borderId="8" xfId="0" applyFont="1" applyFill="1" applyBorder="1" applyAlignment="1">
      <alignment horizontal="left" vertical="center"/>
    </xf>
    <xf numFmtId="0" fontId="12" fillId="0" borderId="8" xfId="0" applyFont="1" applyBorder="1"/>
    <xf numFmtId="0" fontId="12" fillId="0" borderId="9" xfId="0" applyFont="1" applyBorder="1"/>
    <xf numFmtId="0" fontId="8" fillId="0" borderId="13" xfId="0" applyFont="1" applyBorder="1" applyAlignment="1">
      <alignment horizontal="center"/>
    </xf>
    <xf numFmtId="0" fontId="8" fillId="0" borderId="14" xfId="0" applyFont="1" applyBorder="1"/>
    <xf numFmtId="0" fontId="8" fillId="0" borderId="14" xfId="0" applyFont="1" applyBorder="1" applyAlignment="1">
      <alignment horizontal="left"/>
    </xf>
    <xf numFmtId="14" fontId="10" fillId="3" borderId="1" xfId="0" applyNumberFormat="1" applyFont="1" applyFill="1" applyBorder="1" applyAlignment="1">
      <alignment horizontal="center" vertical="center"/>
    </xf>
    <xf numFmtId="0" fontId="0" fillId="0" borderId="0" xfId="0" applyBorder="1"/>
    <xf numFmtId="0" fontId="8" fillId="3" borderId="0" xfId="0" applyFont="1" applyFill="1" applyBorder="1" applyAlignment="1">
      <alignment horizontal="center"/>
    </xf>
    <xf numFmtId="0" fontId="8" fillId="6" borderId="0" xfId="0" applyFont="1" applyFill="1" applyBorder="1" applyAlignment="1">
      <alignment horizontal="center" vertical="center"/>
    </xf>
    <xf numFmtId="0" fontId="8" fillId="3" borderId="0" xfId="0" applyFont="1" applyFill="1" applyBorder="1" applyAlignment="1">
      <alignment horizontal="center" vertical="center"/>
    </xf>
    <xf numFmtId="0" fontId="12" fillId="0" borderId="0" xfId="0" applyFont="1" applyBorder="1"/>
    <xf numFmtId="44" fontId="10" fillId="3" borderId="2" xfId="0" applyNumberFormat="1" applyFont="1" applyFill="1" applyBorder="1" applyAlignment="1">
      <alignment horizontal="left" vertical="center"/>
    </xf>
    <xf numFmtId="14" fontId="10" fillId="3" borderId="23" xfId="0" applyNumberFormat="1" applyFont="1" applyFill="1" applyBorder="1" applyAlignment="1">
      <alignment horizontal="center" vertical="center"/>
    </xf>
    <xf numFmtId="44" fontId="10" fillId="3" borderId="24" xfId="0" applyNumberFormat="1" applyFont="1" applyFill="1" applyBorder="1" applyAlignment="1">
      <alignment horizontal="left" vertical="center"/>
    </xf>
    <xf numFmtId="0" fontId="8" fillId="0" borderId="10" xfId="0" applyFont="1" applyBorder="1" applyAlignment="1">
      <alignment horizontal="center" vertical="center"/>
    </xf>
    <xf numFmtId="0" fontId="8" fillId="0" borderId="10" xfId="0" applyFont="1" applyBorder="1" applyAlignment="1">
      <alignment horizontal="center" vertical="center" wrapText="1"/>
    </xf>
    <xf numFmtId="165" fontId="9" fillId="3" borderId="22" xfId="0" applyNumberFormat="1" applyFont="1" applyFill="1" applyBorder="1" applyAlignment="1">
      <alignment horizontal="left" vertical="center"/>
    </xf>
    <xf numFmtId="165" fontId="9" fillId="0" borderId="16" xfId="0" applyNumberFormat="1" applyFont="1" applyBorder="1" applyAlignment="1">
      <alignment horizontal="left" vertical="center"/>
    </xf>
    <xf numFmtId="165" fontId="9" fillId="3" borderId="16" xfId="0" applyNumberFormat="1" applyFont="1" applyFill="1" applyBorder="1" applyAlignment="1">
      <alignment horizontal="left" vertical="center"/>
    </xf>
    <xf numFmtId="165" fontId="9" fillId="0" borderId="18" xfId="0" applyNumberFormat="1" applyFont="1" applyBorder="1" applyAlignment="1">
      <alignment horizontal="left" vertical="center"/>
    </xf>
    <xf numFmtId="0" fontId="13" fillId="8" borderId="0" xfId="0" applyFont="1" applyFill="1" applyAlignment="1">
      <alignment vertical="center"/>
    </xf>
    <xf numFmtId="14" fontId="9" fillId="0" borderId="1" xfId="0" applyNumberFormat="1" applyFont="1" applyBorder="1" applyAlignment="1">
      <alignment horizontal="center" vertical="center"/>
    </xf>
    <xf numFmtId="14" fontId="9" fillId="0" borderId="19" xfId="0" applyNumberFormat="1" applyFont="1" applyBorder="1" applyAlignment="1">
      <alignment horizontal="center" vertical="center"/>
    </xf>
    <xf numFmtId="44" fontId="9" fillId="0" borderId="2" xfId="0" applyNumberFormat="1" applyFont="1" applyBorder="1" applyAlignment="1">
      <alignment horizontal="center" vertical="center"/>
    </xf>
    <xf numFmtId="44" fontId="9" fillId="0" borderId="20" xfId="0" applyNumberFormat="1" applyFont="1" applyBorder="1" applyAlignment="1">
      <alignment horizontal="center" vertical="center"/>
    </xf>
    <xf numFmtId="44" fontId="10" fillId="6" borderId="24" xfId="0" applyNumberFormat="1" applyFont="1" applyFill="1" applyBorder="1" applyAlignment="1">
      <alignment horizontal="left" vertical="center"/>
    </xf>
    <xf numFmtId="0" fontId="0" fillId="0" borderId="0" xfId="0" pivotButton="1"/>
    <xf numFmtId="0" fontId="0" fillId="0" borderId="0" xfId="0" applyAlignment="1">
      <alignment horizontal="left"/>
    </xf>
    <xf numFmtId="0" fontId="0" fillId="0" borderId="0" xfId="0" applyNumberFormat="1"/>
    <xf numFmtId="0" fontId="2" fillId="0" borderId="1" xfId="0" applyFont="1" applyBorder="1" applyAlignment="1"/>
    <xf numFmtId="0" fontId="0" fillId="9" borderId="0" xfId="0" applyFill="1"/>
    <xf numFmtId="10" fontId="0" fillId="0" borderId="0" xfId="0" applyNumberFormat="1"/>
    <xf numFmtId="0" fontId="0" fillId="0" borderId="0" xfId="0" applyAlignment="1">
      <alignment horizontal="center" vertical="center"/>
    </xf>
    <xf numFmtId="0" fontId="1" fillId="2" borderId="3" xfId="0" applyFont="1" applyFill="1" applyBorder="1" applyAlignment="1">
      <alignment horizontal="center" vertical="center"/>
    </xf>
    <xf numFmtId="0" fontId="3" fillId="0" borderId="0" xfId="0" applyFont="1" applyBorder="1" applyAlignment="1">
      <alignment horizontal="center"/>
    </xf>
    <xf numFmtId="0" fontId="0" fillId="9" borderId="0" xfId="0" applyFill="1" applyAlignment="1">
      <alignment horizontal="center" vertical="center"/>
    </xf>
    <xf numFmtId="0" fontId="0" fillId="6" borderId="0" xfId="0" applyFill="1"/>
    <xf numFmtId="14" fontId="0" fillId="6" borderId="0" xfId="0" applyNumberFormat="1" applyFill="1"/>
    <xf numFmtId="0" fontId="16" fillId="6" borderId="0" xfId="0" applyFont="1" applyFill="1" applyAlignment="1">
      <alignment vertical="center"/>
    </xf>
    <xf numFmtId="0" fontId="17" fillId="6" borderId="0" xfId="0" applyFont="1" applyFill="1" applyAlignment="1">
      <alignment vertical="center"/>
    </xf>
    <xf numFmtId="9" fontId="0" fillId="0" borderId="0" xfId="0" applyNumberFormat="1"/>
    <xf numFmtId="167" fontId="0" fillId="0" borderId="0" xfId="0" applyNumberFormat="1"/>
    <xf numFmtId="0" fontId="0" fillId="10" borderId="0" xfId="0" applyFill="1"/>
    <xf numFmtId="0" fontId="0" fillId="8" borderId="28" xfId="0" applyFill="1" applyBorder="1"/>
    <xf numFmtId="0" fontId="0" fillId="8" borderId="0" xfId="0" applyFill="1" applyBorder="1"/>
    <xf numFmtId="0" fontId="0" fillId="10" borderId="0" xfId="0" applyFill="1" applyBorder="1"/>
    <xf numFmtId="0" fontId="0" fillId="10" borderId="31" xfId="0" applyFill="1" applyBorder="1"/>
    <xf numFmtId="0" fontId="0" fillId="0" borderId="32" xfId="0" applyBorder="1"/>
    <xf numFmtId="0" fontId="0" fillId="0" borderId="33" xfId="0" applyBorder="1"/>
    <xf numFmtId="0" fontId="0" fillId="10" borderId="33" xfId="0" applyFill="1" applyBorder="1"/>
    <xf numFmtId="0" fontId="0" fillId="10" borderId="32" xfId="0" applyFill="1" applyBorder="1"/>
    <xf numFmtId="0" fontId="0" fillId="10" borderId="34" xfId="0" applyFill="1" applyBorder="1"/>
    <xf numFmtId="0" fontId="0" fillId="10" borderId="35" xfId="0" applyFill="1" applyBorder="1"/>
    <xf numFmtId="0" fontId="0" fillId="10" borderId="36" xfId="0" applyFill="1" applyBorder="1"/>
    <xf numFmtId="0" fontId="0" fillId="10" borderId="37" xfId="0" applyFill="1" applyBorder="1"/>
    <xf numFmtId="0" fontId="0" fillId="10" borderId="38" xfId="0" applyFill="1" applyBorder="1"/>
    <xf numFmtId="0" fontId="0" fillId="10" borderId="39" xfId="0" applyFill="1" applyBorder="1"/>
    <xf numFmtId="0" fontId="26" fillId="10" borderId="34" xfId="0" applyFont="1" applyFill="1" applyBorder="1" applyAlignment="1">
      <alignment horizontal="right"/>
    </xf>
    <xf numFmtId="0" fontId="0" fillId="10" borderId="43" xfId="0" applyFill="1" applyBorder="1"/>
    <xf numFmtId="0" fontId="25" fillId="5" borderId="30" xfId="0" applyFont="1" applyFill="1" applyBorder="1"/>
    <xf numFmtId="0" fontId="25" fillId="5" borderId="40" xfId="0" applyFont="1" applyFill="1" applyBorder="1"/>
    <xf numFmtId="0" fontId="25" fillId="5" borderId="0" xfId="0" applyFont="1" applyFill="1" applyBorder="1"/>
    <xf numFmtId="0" fontId="25" fillId="5" borderId="34" xfId="0" applyFont="1" applyFill="1" applyBorder="1"/>
    <xf numFmtId="0" fontId="25" fillId="5" borderId="39" xfId="0" applyFont="1" applyFill="1" applyBorder="1"/>
    <xf numFmtId="0" fontId="25" fillId="5" borderId="32" xfId="0" applyFont="1" applyFill="1" applyBorder="1"/>
    <xf numFmtId="0" fontId="25" fillId="5" borderId="41" xfId="0" applyFont="1" applyFill="1" applyBorder="1"/>
    <xf numFmtId="0" fontId="0" fillId="9" borderId="42" xfId="0" applyFill="1" applyBorder="1"/>
    <xf numFmtId="0" fontId="0" fillId="9" borderId="30" xfId="0" applyFill="1" applyBorder="1"/>
    <xf numFmtId="0" fontId="0" fillId="9" borderId="40" xfId="0" applyFill="1" applyBorder="1"/>
    <xf numFmtId="0" fontId="0" fillId="9" borderId="35" xfId="0" applyFill="1" applyBorder="1"/>
    <xf numFmtId="0" fontId="0" fillId="9" borderId="0" xfId="0" applyFill="1" applyBorder="1"/>
    <xf numFmtId="0" fontId="0" fillId="9" borderId="34" xfId="0" applyFill="1" applyBorder="1"/>
    <xf numFmtId="0" fontId="0" fillId="9" borderId="44" xfId="0" applyFill="1" applyBorder="1"/>
    <xf numFmtId="0" fontId="0" fillId="9" borderId="32" xfId="0" applyFill="1" applyBorder="1"/>
    <xf numFmtId="0" fontId="0" fillId="9" borderId="36" xfId="0" applyFill="1" applyBorder="1"/>
    <xf numFmtId="0" fontId="26" fillId="9" borderId="34" xfId="0" applyFont="1" applyFill="1" applyBorder="1" applyAlignment="1">
      <alignment horizontal="right"/>
    </xf>
    <xf numFmtId="0" fontId="29" fillId="5" borderId="34" xfId="0" applyFont="1" applyFill="1" applyBorder="1" applyAlignment="1">
      <alignment horizontal="right"/>
    </xf>
    <xf numFmtId="0" fontId="19" fillId="11" borderId="29" xfId="0" applyFont="1" applyFill="1" applyBorder="1" applyAlignment="1">
      <alignment horizontal="center" vertical="center"/>
    </xf>
    <xf numFmtId="0" fontId="19" fillId="11" borderId="0" xfId="0" applyFont="1" applyFill="1" applyAlignment="1">
      <alignment horizontal="center" vertical="center"/>
    </xf>
    <xf numFmtId="0" fontId="0" fillId="12" borderId="29" xfId="0" applyFill="1" applyBorder="1" applyAlignment="1">
      <alignment horizontal="center"/>
    </xf>
    <xf numFmtId="0" fontId="0" fillId="12" borderId="0" xfId="0" applyFill="1" applyAlignment="1">
      <alignment horizontal="center"/>
    </xf>
    <xf numFmtId="0" fontId="20" fillId="11" borderId="29" xfId="0" applyFont="1" applyFill="1" applyBorder="1" applyAlignment="1">
      <alignment horizontal="center" vertical="center"/>
    </xf>
    <xf numFmtId="0" fontId="20" fillId="11" borderId="0" xfId="0" applyFont="1" applyFill="1" applyAlignment="1">
      <alignment horizontal="center" vertical="center"/>
    </xf>
    <xf numFmtId="0" fontId="22" fillId="10" borderId="29" xfId="0" applyFont="1" applyFill="1" applyBorder="1" applyAlignment="1">
      <alignment horizontal="left"/>
    </xf>
    <xf numFmtId="0" fontId="22" fillId="10" borderId="0" xfId="0" applyFont="1" applyFill="1" applyBorder="1" applyAlignment="1">
      <alignment horizontal="left"/>
    </xf>
    <xf numFmtId="0" fontId="24" fillId="10" borderId="35" xfId="0" applyFont="1" applyFill="1" applyBorder="1" applyAlignment="1">
      <alignment horizontal="center"/>
    </xf>
    <xf numFmtId="0" fontId="24" fillId="10" borderId="0" xfId="0" applyFont="1" applyFill="1" applyBorder="1" applyAlignment="1">
      <alignment horizontal="center"/>
    </xf>
    <xf numFmtId="0" fontId="24" fillId="10" borderId="34" xfId="0" applyFont="1" applyFill="1" applyBorder="1" applyAlignment="1">
      <alignment horizontal="center"/>
    </xf>
    <xf numFmtId="0" fontId="27" fillId="5" borderId="35" xfId="1" applyFont="1" applyFill="1" applyBorder="1" applyAlignment="1">
      <alignment horizontal="center"/>
    </xf>
    <xf numFmtId="0" fontId="27" fillId="5" borderId="0" xfId="1" applyFont="1" applyFill="1" applyBorder="1" applyAlignment="1">
      <alignment horizontal="center"/>
    </xf>
    <xf numFmtId="0" fontId="27" fillId="5" borderId="34" xfId="1" applyFont="1" applyFill="1" applyBorder="1" applyAlignment="1">
      <alignment horizontal="center"/>
    </xf>
    <xf numFmtId="0" fontId="28" fillId="13" borderId="35" xfId="0" applyFont="1" applyFill="1" applyBorder="1" applyAlignment="1">
      <alignment horizontal="center" vertical="center"/>
    </xf>
    <xf numFmtId="0" fontId="28" fillId="13" borderId="0" xfId="0" applyFont="1" applyFill="1" applyBorder="1" applyAlignment="1">
      <alignment horizontal="center" vertical="center"/>
    </xf>
    <xf numFmtId="0" fontId="28" fillId="13" borderId="34" xfId="0" applyFont="1" applyFill="1" applyBorder="1" applyAlignment="1">
      <alignment horizontal="center" vertical="center"/>
    </xf>
    <xf numFmtId="0" fontId="27" fillId="9" borderId="35" xfId="1" applyFont="1" applyFill="1" applyBorder="1" applyAlignment="1">
      <alignment horizontal="center"/>
    </xf>
    <xf numFmtId="0" fontId="27" fillId="9" borderId="0" xfId="1" applyFont="1" applyFill="1" applyBorder="1" applyAlignment="1">
      <alignment horizontal="center"/>
    </xf>
    <xf numFmtId="0" fontId="27" fillId="9" borderId="34" xfId="1" applyFont="1" applyFill="1" applyBorder="1" applyAlignment="1">
      <alignment horizontal="center"/>
    </xf>
    <xf numFmtId="0" fontId="30" fillId="9" borderId="35" xfId="0" applyFont="1" applyFill="1" applyBorder="1" applyAlignment="1">
      <alignment horizontal="center"/>
    </xf>
    <xf numFmtId="0" fontId="30" fillId="9" borderId="0" xfId="0" applyFont="1" applyFill="1" applyBorder="1" applyAlignment="1">
      <alignment horizontal="center"/>
    </xf>
    <xf numFmtId="0" fontId="30" fillId="9" borderId="34" xfId="0" applyFont="1" applyFill="1" applyBorder="1" applyAlignment="1">
      <alignment horizontal="center"/>
    </xf>
    <xf numFmtId="0" fontId="21" fillId="10" borderId="35" xfId="0" applyFont="1" applyFill="1" applyBorder="1" applyAlignment="1">
      <alignment horizontal="center"/>
    </xf>
    <xf numFmtId="0" fontId="21" fillId="10" borderId="0" xfId="0" applyFont="1" applyFill="1" applyBorder="1" applyAlignment="1">
      <alignment horizontal="center"/>
    </xf>
    <xf numFmtId="0" fontId="21" fillId="10" borderId="34" xfId="0" applyFont="1" applyFill="1" applyBorder="1" applyAlignment="1">
      <alignment horizontal="center"/>
    </xf>
    <xf numFmtId="164" fontId="8" fillId="3" borderId="0" xfId="0" applyNumberFormat="1" applyFont="1" applyFill="1" applyBorder="1" applyAlignment="1">
      <alignment horizontal="left" vertical="center"/>
    </xf>
    <xf numFmtId="164" fontId="8" fillId="3" borderId="9" xfId="0" applyNumberFormat="1" applyFont="1" applyFill="1" applyBorder="1" applyAlignment="1">
      <alignment horizontal="left" vertical="center"/>
    </xf>
    <xf numFmtId="0" fontId="8" fillId="3" borderId="0" xfId="0" applyFont="1" applyFill="1" applyBorder="1" applyAlignment="1">
      <alignment horizontal="left" vertical="center"/>
    </xf>
    <xf numFmtId="0" fontId="8" fillId="3" borderId="9" xfId="0" applyFont="1" applyFill="1" applyBorder="1" applyAlignment="1">
      <alignment horizontal="left" vertical="center"/>
    </xf>
    <xf numFmtId="2" fontId="7" fillId="5" borderId="11" xfId="0" applyNumberFormat="1" applyFont="1" applyFill="1" applyBorder="1" applyAlignment="1">
      <alignment horizontal="left" vertical="center"/>
    </xf>
    <xf numFmtId="2" fontId="7" fillId="5" borderId="12" xfId="0" applyNumberFormat="1" applyFont="1" applyFill="1" applyBorder="1" applyAlignment="1">
      <alignment horizontal="left" vertical="center"/>
    </xf>
    <xf numFmtId="0" fontId="8" fillId="6" borderId="0" xfId="0" applyFont="1" applyFill="1" applyBorder="1" applyAlignment="1">
      <alignment horizontal="left" vertical="center"/>
    </xf>
    <xf numFmtId="0" fontId="8" fillId="6" borderId="9" xfId="0" applyFont="1" applyFill="1" applyBorder="1" applyAlignment="1">
      <alignment horizontal="left" vertical="center"/>
    </xf>
    <xf numFmtId="0" fontId="4" fillId="14" borderId="5" xfId="0" applyFont="1" applyFill="1" applyBorder="1" applyAlignment="1">
      <alignment horizontal="center" vertical="center"/>
    </xf>
    <xf numFmtId="0" fontId="4" fillId="14" borderId="6" xfId="0" applyFont="1" applyFill="1" applyBorder="1" applyAlignment="1">
      <alignment horizontal="center" vertical="center"/>
    </xf>
    <xf numFmtId="0" fontId="4" fillId="14" borderId="7" xfId="0" applyFont="1" applyFill="1" applyBorder="1" applyAlignment="1">
      <alignment horizontal="center" vertical="center"/>
    </xf>
    <xf numFmtId="0" fontId="4" fillId="14" borderId="8" xfId="0" applyFont="1" applyFill="1" applyBorder="1" applyAlignment="1">
      <alignment horizontal="center" vertical="center"/>
    </xf>
    <xf numFmtId="0" fontId="4" fillId="14" borderId="0" xfId="0" applyFont="1" applyFill="1" applyBorder="1" applyAlignment="1">
      <alignment horizontal="center" vertical="center"/>
    </xf>
    <xf numFmtId="0" fontId="4" fillId="14" borderId="9" xfId="0" applyFont="1" applyFill="1" applyBorder="1" applyAlignment="1">
      <alignment horizontal="center" vertical="center"/>
    </xf>
    <xf numFmtId="0" fontId="2" fillId="3" borderId="8" xfId="0" applyFont="1" applyFill="1" applyBorder="1" applyAlignment="1">
      <alignment horizontal="center" vertical="top" wrapText="1"/>
    </xf>
    <xf numFmtId="0" fontId="2" fillId="3" borderId="0" xfId="0" applyFont="1" applyFill="1" applyBorder="1" applyAlignment="1">
      <alignment horizontal="center" vertical="top" wrapText="1"/>
    </xf>
    <xf numFmtId="0" fontId="2" fillId="3" borderId="9" xfId="0" applyFont="1" applyFill="1" applyBorder="1" applyAlignment="1">
      <alignment horizontal="center" vertical="top" wrapText="1"/>
    </xf>
    <xf numFmtId="0" fontId="5" fillId="4" borderId="8" xfId="0" applyFont="1" applyFill="1" applyBorder="1" applyAlignment="1">
      <alignment horizontal="center" vertical="center" wrapText="1"/>
    </xf>
    <xf numFmtId="0" fontId="5" fillId="4" borderId="0" xfId="0" applyFont="1" applyFill="1" applyBorder="1" applyAlignment="1">
      <alignment horizontal="center" vertical="center" wrapText="1"/>
    </xf>
    <xf numFmtId="0" fontId="5" fillId="4" borderId="9" xfId="0" applyFont="1" applyFill="1" applyBorder="1" applyAlignment="1">
      <alignment horizontal="center" vertical="center" wrapText="1"/>
    </xf>
    <xf numFmtId="0" fontId="6" fillId="2" borderId="8" xfId="0" applyFont="1" applyFill="1" applyBorder="1" applyAlignment="1">
      <alignment horizontal="center" vertical="center"/>
    </xf>
    <xf numFmtId="0" fontId="6" fillId="2" borderId="0" xfId="0" applyFont="1" applyFill="1" applyBorder="1" applyAlignment="1">
      <alignment horizontal="center" vertical="center"/>
    </xf>
    <xf numFmtId="0" fontId="6" fillId="2" borderId="9" xfId="0" applyFont="1" applyFill="1" applyBorder="1" applyAlignment="1">
      <alignment horizontal="center"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8" fillId="0" borderId="14" xfId="0" applyFont="1" applyBorder="1" applyAlignment="1">
      <alignment horizontal="center"/>
    </xf>
    <xf numFmtId="0" fontId="8" fillId="0" borderId="15" xfId="0" applyFont="1" applyBorder="1" applyAlignment="1">
      <alignment horizontal="center"/>
    </xf>
    <xf numFmtId="166" fontId="5" fillId="3" borderId="0" xfId="0" applyNumberFormat="1" applyFont="1" applyFill="1" applyBorder="1" applyAlignment="1">
      <alignment horizontal="right" vertical="center"/>
    </xf>
    <xf numFmtId="166" fontId="5" fillId="3" borderId="9" xfId="0" applyNumberFormat="1" applyFont="1" applyFill="1" applyBorder="1" applyAlignment="1">
      <alignment horizontal="right" vertical="center"/>
    </xf>
    <xf numFmtId="166" fontId="8" fillId="6" borderId="0" xfId="0" applyNumberFormat="1" applyFont="1" applyFill="1" applyBorder="1" applyAlignment="1">
      <alignment horizontal="right" vertical="center"/>
    </xf>
    <xf numFmtId="166" fontId="8" fillId="6" borderId="9" xfId="0" applyNumberFormat="1" applyFont="1" applyFill="1" applyBorder="1" applyAlignment="1">
      <alignment horizontal="right" vertical="center"/>
    </xf>
    <xf numFmtId="0" fontId="8" fillId="7" borderId="13" xfId="0" applyFont="1" applyFill="1" applyBorder="1" applyAlignment="1">
      <alignment horizontal="right"/>
    </xf>
    <xf numFmtId="0" fontId="8" fillId="7" borderId="14" xfId="0" applyFont="1" applyFill="1" applyBorder="1" applyAlignment="1">
      <alignment horizontal="right"/>
    </xf>
    <xf numFmtId="0" fontId="11" fillId="7" borderId="14" xfId="0" applyFont="1" applyFill="1" applyBorder="1" applyAlignment="1">
      <alignment horizontal="center" vertical="center"/>
    </xf>
    <xf numFmtId="0" fontId="11" fillId="7" borderId="15" xfId="0" applyFont="1" applyFill="1" applyBorder="1" applyAlignment="1">
      <alignment horizontal="center" vertical="center"/>
    </xf>
    <xf numFmtId="0" fontId="8" fillId="0" borderId="26" xfId="0" applyFont="1" applyBorder="1" applyAlignment="1">
      <alignment horizontal="center" vertical="center"/>
    </xf>
    <xf numFmtId="0" fontId="8" fillId="0" borderId="27" xfId="0" applyFont="1" applyBorder="1" applyAlignment="1">
      <alignment horizontal="center" vertical="center"/>
    </xf>
    <xf numFmtId="44" fontId="10" fillId="3" borderId="23" xfId="0" applyNumberFormat="1" applyFont="1" applyFill="1" applyBorder="1" applyAlignment="1">
      <alignment horizontal="left" vertical="center"/>
    </xf>
    <xf numFmtId="44" fontId="10" fillId="3" borderId="25" xfId="0" applyNumberFormat="1" applyFont="1" applyFill="1" applyBorder="1" applyAlignment="1">
      <alignment horizontal="left" vertical="center"/>
    </xf>
    <xf numFmtId="44" fontId="9" fillId="0" borderId="1" xfId="0" applyNumberFormat="1" applyFont="1" applyBorder="1" applyAlignment="1">
      <alignment horizontal="center" vertical="center"/>
    </xf>
    <xf numFmtId="44" fontId="9" fillId="0" borderId="17" xfId="0" applyNumberFormat="1" applyFont="1" applyBorder="1" applyAlignment="1">
      <alignment horizontal="center" vertical="center"/>
    </xf>
    <xf numFmtId="44" fontId="10" fillId="3" borderId="1" xfId="0" applyNumberFormat="1" applyFont="1" applyFill="1" applyBorder="1" applyAlignment="1">
      <alignment horizontal="left" vertical="center"/>
    </xf>
    <xf numFmtId="44" fontId="10" fillId="3" borderId="17" xfId="0" applyNumberFormat="1" applyFont="1" applyFill="1" applyBorder="1" applyAlignment="1">
      <alignment horizontal="left" vertical="center"/>
    </xf>
    <xf numFmtId="44" fontId="9" fillId="0" borderId="19" xfId="0" applyNumberFormat="1" applyFont="1" applyBorder="1" applyAlignment="1">
      <alignment horizontal="center" vertical="center"/>
    </xf>
    <xf numFmtId="44" fontId="9" fillId="0" borderId="21" xfId="0" applyNumberFormat="1" applyFont="1" applyBorder="1" applyAlignment="1">
      <alignment horizontal="center" vertical="center"/>
    </xf>
    <xf numFmtId="0" fontId="5" fillId="3" borderId="0" xfId="0" applyFont="1" applyFill="1" applyBorder="1" applyAlignment="1">
      <alignment horizontal="left" vertical="center"/>
    </xf>
    <xf numFmtId="0" fontId="5" fillId="3" borderId="9" xfId="0" applyFont="1" applyFill="1" applyBorder="1" applyAlignment="1">
      <alignment horizontal="left" vertical="center"/>
    </xf>
    <xf numFmtId="0" fontId="2" fillId="6" borderId="0" xfId="0" applyFont="1" applyFill="1" applyBorder="1" applyAlignment="1">
      <alignment horizontal="left" vertical="center" wrapText="1"/>
    </xf>
    <xf numFmtId="0" fontId="2" fillId="6" borderId="9" xfId="0" applyFont="1" applyFill="1" applyBorder="1" applyAlignment="1">
      <alignment horizontal="left" vertical="center" wrapText="1"/>
    </xf>
    <xf numFmtId="0" fontId="18" fillId="6" borderId="0" xfId="0" applyFont="1" applyFill="1" applyAlignment="1">
      <alignment horizontal="center" vertical="center"/>
    </xf>
    <xf numFmtId="0" fontId="14" fillId="5" borderId="0" xfId="0" applyFont="1" applyFill="1" applyAlignment="1">
      <alignment horizontal="center" vertical="center"/>
    </xf>
    <xf numFmtId="0" fontId="15" fillId="5" borderId="0" xfId="0" applyFont="1" applyFill="1" applyAlignment="1">
      <alignment horizontal="center" vertical="center"/>
    </xf>
  </cellXfs>
  <cellStyles count="2">
    <cellStyle name="Hyperlink" xfId="1" builtinId="8"/>
    <cellStyle name="Normal" xfId="0" builtinId="0"/>
  </cellStyles>
  <dxfs count="68">
    <dxf>
      <fill>
        <patternFill>
          <bgColor rgb="FFFF0000"/>
        </patternFill>
      </fill>
    </dxf>
    <dxf>
      <fill>
        <patternFill>
          <bgColor rgb="FF00B050"/>
        </patternFill>
      </fill>
    </dxf>
    <dxf>
      <border>
        <left style="thin">
          <color auto="1"/>
        </left>
        <right style="thin">
          <color auto="1"/>
        </right>
        <top style="thin">
          <color auto="1"/>
        </top>
        <bottom style="thin">
          <color auto="1"/>
        </bottom>
        <vertical/>
        <horizontal/>
      </border>
    </dxf>
    <dxf>
      <border>
        <left style="thin">
          <color auto="1"/>
        </left>
        <right style="thin">
          <color auto="1"/>
        </right>
        <top style="thin">
          <color auto="1"/>
        </top>
        <bottom style="thin">
          <color auto="1"/>
        </bottom>
      </border>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Wingdings 2"/>
        <family val="1"/>
        <charset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outline="0">
        <right style="thin">
          <color indexed="64"/>
        </right>
        <bottom style="thin">
          <color indexed="64"/>
        </bottom>
      </border>
    </dxf>
    <dxf>
      <font>
        <b/>
        <i val="0"/>
        <strike val="0"/>
        <condense val="0"/>
        <extend val="0"/>
        <outline val="0"/>
        <shadow val="0"/>
        <u val="none"/>
        <vertAlign val="baseline"/>
        <sz val="11"/>
        <color theme="0"/>
        <name val="Calibri"/>
        <family val="2"/>
        <scheme val="minor"/>
      </font>
      <fill>
        <patternFill patternType="solid">
          <fgColor indexed="64"/>
          <bgColor rgb="FF00206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i val="0"/>
        <color theme="1"/>
      </font>
      <border>
        <bottom style="thin">
          <color auto="1"/>
        </bottom>
      </border>
    </dxf>
    <dxf>
      <border diagonalUp="0" diagonalDown="0">
        <left/>
        <right/>
        <top/>
        <bottom/>
        <vertical/>
        <horizontal/>
      </border>
    </dxf>
  </dxfs>
  <tableStyles count="1" defaultTableStyle="TableStyleMedium2" defaultPivotStyle="PivotStyleLight16">
    <tableStyle name="Slicer Style 1" pivot="0" table="0" count="6" xr9:uid="{E6864D62-7831-4CEF-B83A-BE757A8721AB}">
      <tableStyleElement type="wholeTable" dxfId="67"/>
      <tableStyleElement type="headerRow" dxfId="66"/>
    </tableStyle>
  </tableStyles>
  <extLst>
    <ext xmlns:x14="http://schemas.microsoft.com/office/spreadsheetml/2009/9/main" uri="{46F421CA-312F-682f-3DD2-61675219B42D}">
      <x14:dxfs count="4">
        <dxf>
          <font>
            <b/>
            <i val="0"/>
            <color theme="0"/>
          </font>
          <fill>
            <patternFill>
              <bgColor rgb="FF002060"/>
            </patternFill>
          </fill>
          <border>
            <left style="thin">
              <color auto="1"/>
            </left>
            <right style="thin">
              <color auto="1"/>
            </right>
            <top style="thin">
              <color auto="1"/>
            </top>
            <bottom style="thin">
              <color auto="1"/>
            </bottom>
          </border>
        </dxf>
        <dxf>
          <font>
            <b/>
            <i val="0"/>
            <color rgb="FF002060"/>
          </font>
        </dxf>
        <dxf>
          <font>
            <b/>
            <i val="0"/>
            <color theme="0"/>
          </font>
          <fill>
            <patternFill>
              <bgColor rgb="FF002060"/>
            </patternFill>
          </fill>
          <border>
            <left style="thin">
              <color auto="1"/>
            </left>
            <right style="thin">
              <color auto="1"/>
            </right>
            <top style="thin">
              <color auto="1"/>
            </top>
            <bottom style="thin">
              <color auto="1"/>
            </bottom>
          </border>
        </dxf>
        <dxf>
          <font>
            <b/>
            <i val="0"/>
            <color theme="0"/>
          </font>
          <fill>
            <patternFill>
              <bgColor theme="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rgbClr val="002060"/>
                </a:solidFill>
              </a:rPr>
              <a:t>Time Segment Contribution (%)</a:t>
            </a:r>
            <a:endParaRPr lang="en-US" sz="1600" b="1">
              <a:solidFill>
                <a:srgbClr val="002060"/>
              </a:solidFill>
            </a:endParaRPr>
          </a:p>
        </c:rich>
      </c:tx>
      <c:layout>
        <c:manualLayout>
          <c:xMode val="edge"/>
          <c:yMode val="edge"/>
          <c:x val="0.14829215313603042"/>
          <c:y val="2.8880866425992781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9436277361881487E-2"/>
          <c:y val="0.15895771151349763"/>
          <c:w val="0.56051924543914766"/>
          <c:h val="0.80734794432284407"/>
        </c:manualLayout>
      </c:layout>
      <c:doughnutChart>
        <c:varyColors val="1"/>
        <c:ser>
          <c:idx val="0"/>
          <c:order val="0"/>
          <c:spPr>
            <a:solidFill>
              <a:srgbClr val="002060"/>
            </a:solidFill>
            <a:ln>
              <a:solidFill>
                <a:srgbClr val="002060"/>
              </a:solidFill>
            </a:ln>
          </c:spPr>
          <c:dPt>
            <c:idx val="0"/>
            <c:bubble3D val="0"/>
            <c:spPr>
              <a:solidFill>
                <a:srgbClr val="002060"/>
              </a:solidFill>
              <a:ln w="19050">
                <a:solidFill>
                  <a:srgbClr val="002060"/>
                </a:solidFill>
              </a:ln>
              <a:effectLst/>
            </c:spPr>
            <c:extLst>
              <c:ext xmlns:c16="http://schemas.microsoft.com/office/drawing/2014/chart" uri="{C3380CC4-5D6E-409C-BE32-E72D297353CC}">
                <c16:uniqueId val="{00000001-C288-4AD8-A5F0-1E4EB6B03761}"/>
              </c:ext>
            </c:extLst>
          </c:dPt>
          <c:dPt>
            <c:idx val="1"/>
            <c:bubble3D val="0"/>
            <c:spPr>
              <a:solidFill>
                <a:schemeClr val="accent5">
                  <a:lumMod val="50000"/>
                </a:schemeClr>
              </a:solidFill>
              <a:ln w="19050">
                <a:solidFill>
                  <a:schemeClr val="accent5">
                    <a:lumMod val="50000"/>
                  </a:schemeClr>
                </a:solidFill>
              </a:ln>
              <a:effectLst/>
            </c:spPr>
            <c:extLst>
              <c:ext xmlns:c16="http://schemas.microsoft.com/office/drawing/2014/chart" uri="{C3380CC4-5D6E-409C-BE32-E72D297353CC}">
                <c16:uniqueId val="{00000003-C288-4AD8-A5F0-1E4EB6B03761}"/>
              </c:ext>
            </c:extLst>
          </c:dPt>
          <c:dPt>
            <c:idx val="2"/>
            <c:bubble3D val="0"/>
            <c:spPr>
              <a:solidFill>
                <a:schemeClr val="accent5">
                  <a:lumMod val="75000"/>
                </a:schemeClr>
              </a:solidFill>
              <a:ln w="19050">
                <a:solidFill>
                  <a:schemeClr val="accent5">
                    <a:lumMod val="75000"/>
                  </a:schemeClr>
                </a:solidFill>
              </a:ln>
              <a:effectLst/>
            </c:spPr>
            <c:extLst>
              <c:ext xmlns:c16="http://schemas.microsoft.com/office/drawing/2014/chart" uri="{C3380CC4-5D6E-409C-BE32-E72D297353CC}">
                <c16:uniqueId val="{00000005-C288-4AD8-A5F0-1E4EB6B03761}"/>
              </c:ext>
            </c:extLst>
          </c:dPt>
          <c:dPt>
            <c:idx val="3"/>
            <c:bubble3D val="0"/>
            <c:spPr>
              <a:solidFill>
                <a:schemeClr val="bg1">
                  <a:lumMod val="95000"/>
                </a:schemeClr>
              </a:solidFill>
              <a:ln w="19050">
                <a:solidFill>
                  <a:schemeClr val="bg1">
                    <a:lumMod val="95000"/>
                  </a:schemeClr>
                </a:solidFill>
              </a:ln>
              <a:effectLst/>
            </c:spPr>
            <c:extLst>
              <c:ext xmlns:c16="http://schemas.microsoft.com/office/drawing/2014/chart" uri="{C3380CC4-5D6E-409C-BE32-E72D297353CC}">
                <c16:uniqueId val="{00000007-C288-4AD8-A5F0-1E4EB6B03761}"/>
              </c:ext>
            </c:extLst>
          </c:dPt>
          <c:dLbls>
            <c:dLbl>
              <c:idx val="3"/>
              <c:tx>
                <c:rich>
                  <a:bodyPr/>
                  <a:lstStyle/>
                  <a:p>
                    <a:fld id="{4581CBCB-33A6-4A6E-9D54-99D507DE5922}" type="VALUE">
                      <a:rPr lang="en-US">
                        <a:solidFill>
                          <a:schemeClr val="tx1"/>
                        </a:solidFill>
                      </a:rPr>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C288-4AD8-A5F0-1E4EB6B03761}"/>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Table'!$G$25:$G$28</c:f>
              <c:strCache>
                <c:ptCount val="4"/>
                <c:pt idx="0">
                  <c:v>Morning Batch 1</c:v>
                </c:pt>
                <c:pt idx="1">
                  <c:v>Evening Batch 1</c:v>
                </c:pt>
                <c:pt idx="2">
                  <c:v>Afternoon Batch 2</c:v>
                </c:pt>
                <c:pt idx="3">
                  <c:v>Afternoon Batch 1</c:v>
                </c:pt>
              </c:strCache>
            </c:strRef>
          </c:cat>
          <c:val>
            <c:numRef>
              <c:f>'Pivot Table'!$H$25:$H$28</c:f>
              <c:numCache>
                <c:formatCode>0%</c:formatCode>
                <c:ptCount val="4"/>
                <c:pt idx="0">
                  <c:v>0.43733333333333335</c:v>
                </c:pt>
                <c:pt idx="1">
                  <c:v>0.20266666666666666</c:v>
                </c:pt>
                <c:pt idx="2">
                  <c:v>0.19733333333333333</c:v>
                </c:pt>
                <c:pt idx="3">
                  <c:v>0.16266666666666665</c:v>
                </c:pt>
              </c:numCache>
            </c:numRef>
          </c:val>
          <c:extLst>
            <c:ext xmlns:c16="http://schemas.microsoft.com/office/drawing/2014/chart" uri="{C3380CC4-5D6E-409C-BE32-E72D297353CC}">
              <c16:uniqueId val="{00000008-C288-4AD8-A5F0-1E4EB6B03761}"/>
            </c:ext>
          </c:extLst>
        </c:ser>
        <c:dLbls>
          <c:showLegendKey val="0"/>
          <c:showVal val="0"/>
          <c:showCatName val="0"/>
          <c:showSerName val="0"/>
          <c:showPercent val="0"/>
          <c:showBubbleSize val="0"/>
          <c:showLeaderLines val="1"/>
        </c:dLbls>
        <c:firstSliceAng val="300"/>
        <c:holeSize val="53"/>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[Vandana Computer Education Management System (VCEMS).xlsx]Pivot Table!PivotTable1</c:name>
    <c:fmtId val="2"/>
  </c:pivotSource>
  <c:chart>
    <c:title>
      <c:tx>
        <c:rich>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r>
              <a:rPr lang="en-US" sz="1800" b="1" i="0" u="none" strike="noStrike" baseline="0">
                <a:solidFill>
                  <a:srgbClr val="002060"/>
                </a:solidFill>
              </a:rPr>
              <a:t>Course Enrollment Overview</a:t>
            </a:r>
            <a:endParaRPr lang="en-US" sz="1800" b="1">
              <a:solidFill>
                <a:srgbClr val="002060"/>
              </a:solidFill>
            </a:endParaRPr>
          </a:p>
        </c:rich>
      </c:tx>
      <c:layout>
        <c:manualLayout>
          <c:xMode val="edge"/>
          <c:yMode val="edge"/>
          <c:x val="0.15132184016566277"/>
          <c:y val="1.3640238704177323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738011009493377"/>
          <c:y val="0.10221667304374676"/>
          <c:w val="0.79577574178692345"/>
          <c:h val="0.81867584966201468"/>
        </c:manualLayout>
      </c:layout>
      <c:barChart>
        <c:barDir val="bar"/>
        <c:grouping val="clustered"/>
        <c:varyColors val="0"/>
        <c:ser>
          <c:idx val="0"/>
          <c:order val="0"/>
          <c:tx>
            <c:strRef>
              <c:f>'Pivot Table'!$E$6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Table'!$D$7:$D$20</c:f>
              <c:strCache>
                <c:ptCount val="14"/>
                <c:pt idx="0">
                  <c:v>CDTP</c:v>
                </c:pt>
                <c:pt idx="1">
                  <c:v>English Typing</c:v>
                </c:pt>
                <c:pt idx="2">
                  <c:v>PGDCA</c:v>
                </c:pt>
                <c:pt idx="3">
                  <c:v>MS-CIT</c:v>
                </c:pt>
                <c:pt idx="4">
                  <c:v>DCA</c:v>
                </c:pt>
                <c:pt idx="5">
                  <c:v>Web</c:v>
                </c:pt>
                <c:pt idx="6">
                  <c:v>Hindi Typing</c:v>
                </c:pt>
                <c:pt idx="7">
                  <c:v>DEO</c:v>
                </c:pt>
                <c:pt idx="8">
                  <c:v>CCC</c:v>
                </c:pt>
                <c:pt idx="9">
                  <c:v>Tally</c:v>
                </c:pt>
                <c:pt idx="10">
                  <c:v>BCC</c:v>
                </c:pt>
                <c:pt idx="11">
                  <c:v>DDTP</c:v>
                </c:pt>
                <c:pt idx="12">
                  <c:v>MIS</c:v>
                </c:pt>
                <c:pt idx="13">
                  <c:v>Hardware</c:v>
                </c:pt>
              </c:strCache>
            </c:strRef>
          </c:cat>
          <c:val>
            <c:numRef>
              <c:f>'Pivot Table'!$E$7:$E$20</c:f>
              <c:numCache>
                <c:formatCode>General</c:formatCode>
                <c:ptCount val="14"/>
                <c:pt idx="0">
                  <c:v>34</c:v>
                </c:pt>
                <c:pt idx="1">
                  <c:v>33</c:v>
                </c:pt>
                <c:pt idx="2">
                  <c:v>32</c:v>
                </c:pt>
                <c:pt idx="3">
                  <c:v>32</c:v>
                </c:pt>
                <c:pt idx="4">
                  <c:v>30</c:v>
                </c:pt>
                <c:pt idx="5">
                  <c:v>30</c:v>
                </c:pt>
                <c:pt idx="6">
                  <c:v>29</c:v>
                </c:pt>
                <c:pt idx="7">
                  <c:v>27</c:v>
                </c:pt>
                <c:pt idx="8">
                  <c:v>24</c:v>
                </c:pt>
                <c:pt idx="9">
                  <c:v>24</c:v>
                </c:pt>
                <c:pt idx="10">
                  <c:v>22</c:v>
                </c:pt>
                <c:pt idx="11">
                  <c:v>22</c:v>
                </c:pt>
                <c:pt idx="12">
                  <c:v>21</c:v>
                </c:pt>
                <c:pt idx="13">
                  <c:v>15</c:v>
                </c:pt>
              </c:numCache>
            </c:numRef>
          </c:val>
          <c:extLst>
            <c:ext xmlns:c16="http://schemas.microsoft.com/office/drawing/2014/chart" uri="{C3380CC4-5D6E-409C-BE32-E72D297353CC}">
              <c16:uniqueId val="{00000000-0909-4907-95A9-E9E63A6DCF2C}"/>
            </c:ext>
          </c:extLst>
        </c:ser>
        <c:dLbls>
          <c:showLegendKey val="0"/>
          <c:showVal val="0"/>
          <c:showCatName val="0"/>
          <c:showSerName val="0"/>
          <c:showPercent val="0"/>
          <c:showBubbleSize val="0"/>
        </c:dLbls>
        <c:gapWidth val="45"/>
        <c:axId val="1633299312"/>
        <c:axId val="1633309392"/>
      </c:barChart>
      <c:catAx>
        <c:axId val="1633299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3309392"/>
        <c:crosses val="autoZero"/>
        <c:auto val="1"/>
        <c:lblAlgn val="ctr"/>
        <c:lblOffset val="100"/>
        <c:noMultiLvlLbl val="0"/>
      </c:catAx>
      <c:valAx>
        <c:axId val="1633309392"/>
        <c:scaling>
          <c:orientation val="minMax"/>
        </c:scaling>
        <c:delete val="1"/>
        <c:axPos val="b"/>
        <c:numFmt formatCode="General" sourceLinked="1"/>
        <c:majorTickMark val="none"/>
        <c:minorTickMark val="none"/>
        <c:tickLblPos val="nextTo"/>
        <c:crossAx val="16332993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[Vandana Computer Education Management System (VCEMS).xlsx]Pivot Table!PivotTable6</c:name>
    <c:fmtId val="6"/>
  </c:pivotSource>
  <c:chart>
    <c:title>
      <c:tx>
        <c:rich>
          <a:bodyPr rot="0" spcFirstLastPara="1" vertOverflow="ellipsis" vert="horz" wrap="square" anchor="ctr" anchorCtr="1"/>
          <a:lstStyle/>
          <a:p>
            <a:pPr algn="ctr" rtl="0">
              <a:defRPr lang="en-US" sz="1800" b="1" i="0" u="none" strike="noStrike" kern="1200" spc="0" baseline="0">
                <a:solidFill>
                  <a:srgbClr val="002060"/>
                </a:solidFill>
                <a:latin typeface="+mn-lt"/>
                <a:ea typeface="+mn-ea"/>
                <a:cs typeface="+mn-cs"/>
              </a:defRPr>
            </a:pPr>
            <a:r>
              <a:rPr lang="en-US" sz="1800" b="1" i="0" u="none" strike="noStrike" kern="1200" spc="0" baseline="0">
                <a:solidFill>
                  <a:srgbClr val="002060"/>
                </a:solidFill>
                <a:latin typeface="+mn-lt"/>
                <a:ea typeface="+mn-ea"/>
                <a:cs typeface="+mn-cs"/>
              </a:rPr>
              <a:t>Geographic Enrollment Overview</a:t>
            </a:r>
          </a:p>
        </c:rich>
      </c:tx>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w="76200" cap="rnd">
            <a:solidFill>
              <a:srgbClr val="002060"/>
            </a:solidFill>
            <a:round/>
          </a:ln>
          <a:effectLst/>
        </c:spPr>
        <c:marker>
          <c:symbol val="circle"/>
          <c:size val="5"/>
          <c:spPr>
            <a:solidFill>
              <a:schemeClr val="accent1"/>
            </a:solidFill>
            <a:ln w="762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76200" cap="rnd">
            <a:solidFill>
              <a:srgbClr val="002060"/>
            </a:solidFill>
            <a:round/>
          </a:ln>
          <a:effectLst/>
        </c:spPr>
        <c:marker>
          <c:symbol val="circle"/>
          <c:size val="5"/>
          <c:spPr>
            <a:solidFill>
              <a:schemeClr val="accent1"/>
            </a:solidFill>
            <a:ln w="762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76200" cap="rnd">
            <a:solidFill>
              <a:srgbClr val="002060"/>
            </a:solidFill>
            <a:round/>
          </a:ln>
          <a:effectLst/>
        </c:spPr>
        <c:marker>
          <c:symbol val="circle"/>
          <c:size val="5"/>
          <c:spPr>
            <a:solidFill>
              <a:schemeClr val="accent1"/>
            </a:solidFill>
            <a:ln w="76200">
              <a:solidFill>
                <a:srgbClr val="00206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3"/>
        <c:spPr>
          <a:ln w="76200" cap="rnd">
            <a:solidFill>
              <a:srgbClr val="002060"/>
            </a:solidFill>
            <a:round/>
          </a:ln>
          <a:effectLst/>
        </c:spPr>
        <c:marker>
          <c:symbol val="circle"/>
          <c:size val="5"/>
          <c:spPr>
            <a:solidFill>
              <a:schemeClr val="accent1"/>
            </a:solidFill>
            <a:ln w="76200">
              <a:solidFill>
                <a:srgbClr val="002060"/>
              </a:solidFill>
            </a:ln>
            <a:effectLst/>
          </c:spPr>
        </c:marker>
        <c:dLbl>
          <c:idx val="0"/>
          <c:layout>
            <c:manualLayout>
              <c:x val="-6.2916874043835266E-2"/>
              <c:y val="7.837518917377664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Table'!$U$6</c:f>
              <c:strCache>
                <c:ptCount val="1"/>
                <c:pt idx="0">
                  <c:v>Total</c:v>
                </c:pt>
              </c:strCache>
            </c:strRef>
          </c:tx>
          <c:spPr>
            <a:ln w="76200" cap="rnd">
              <a:solidFill>
                <a:srgbClr val="002060"/>
              </a:solidFill>
              <a:round/>
            </a:ln>
            <a:effectLst/>
          </c:spPr>
          <c:marker>
            <c:symbol val="circle"/>
            <c:size val="5"/>
            <c:spPr>
              <a:solidFill>
                <a:schemeClr val="accent1"/>
              </a:solidFill>
              <a:ln w="76200">
                <a:solidFill>
                  <a:srgbClr val="002060"/>
                </a:solidFill>
              </a:ln>
              <a:effectLst/>
            </c:spPr>
          </c:marker>
          <c:dPt>
            <c:idx val="0"/>
            <c:marker>
              <c:symbol val="circle"/>
              <c:size val="5"/>
              <c:spPr>
                <a:solidFill>
                  <a:schemeClr val="accent1"/>
                </a:solidFill>
                <a:ln w="76200">
                  <a:solidFill>
                    <a:srgbClr val="002060"/>
                  </a:solidFill>
                </a:ln>
                <a:effectLst/>
              </c:spPr>
            </c:marker>
            <c:bubble3D val="0"/>
            <c:spPr>
              <a:ln w="76200" cap="rnd">
                <a:solidFill>
                  <a:srgbClr val="002060"/>
                </a:solidFill>
                <a:round/>
              </a:ln>
              <a:effectLst/>
            </c:spPr>
            <c:extLst>
              <c:ext xmlns:c16="http://schemas.microsoft.com/office/drawing/2014/chart" uri="{C3380CC4-5D6E-409C-BE32-E72D297353CC}">
                <c16:uniqueId val="{00000000-6B37-4B93-8402-6100B2622ADD}"/>
              </c:ext>
            </c:extLst>
          </c:dPt>
          <c:dLbls>
            <c:dLbl>
              <c:idx val="0"/>
              <c:layout>
                <c:manualLayout>
                  <c:x val="-6.2916874043835266E-2"/>
                  <c:y val="7.83751891737766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B37-4B93-8402-6100B2622ADD}"/>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Table'!$T$7:$T$16</c:f>
              <c:strCache>
                <c:ptCount val="10"/>
                <c:pt idx="0">
                  <c:v>Sector - 04</c:v>
                </c:pt>
                <c:pt idx="1">
                  <c:v>Vaishali Nagar</c:v>
                </c:pt>
                <c:pt idx="2">
                  <c:v>Sector - 09</c:v>
                </c:pt>
                <c:pt idx="3">
                  <c:v>Sector - 10</c:v>
                </c:pt>
                <c:pt idx="4">
                  <c:v>Sector - 01</c:v>
                </c:pt>
                <c:pt idx="5">
                  <c:v>Nehru Nagar</c:v>
                </c:pt>
                <c:pt idx="6">
                  <c:v>Sector - 07</c:v>
                </c:pt>
                <c:pt idx="7">
                  <c:v>Risali</c:v>
                </c:pt>
                <c:pt idx="8">
                  <c:v>Kosa Nagar</c:v>
                </c:pt>
                <c:pt idx="9">
                  <c:v>Supela</c:v>
                </c:pt>
              </c:strCache>
            </c:strRef>
          </c:cat>
          <c:val>
            <c:numRef>
              <c:f>'Pivot Table'!$U$7:$U$16</c:f>
              <c:numCache>
                <c:formatCode>General</c:formatCode>
                <c:ptCount val="10"/>
                <c:pt idx="0">
                  <c:v>56</c:v>
                </c:pt>
                <c:pt idx="1">
                  <c:v>25</c:v>
                </c:pt>
                <c:pt idx="2">
                  <c:v>24</c:v>
                </c:pt>
                <c:pt idx="3">
                  <c:v>20</c:v>
                </c:pt>
                <c:pt idx="4">
                  <c:v>20</c:v>
                </c:pt>
                <c:pt idx="5">
                  <c:v>20</c:v>
                </c:pt>
                <c:pt idx="6">
                  <c:v>19</c:v>
                </c:pt>
                <c:pt idx="7">
                  <c:v>18</c:v>
                </c:pt>
                <c:pt idx="8">
                  <c:v>18</c:v>
                </c:pt>
                <c:pt idx="9">
                  <c:v>16</c:v>
                </c:pt>
              </c:numCache>
            </c:numRef>
          </c:val>
          <c:smooth val="0"/>
          <c:extLst>
            <c:ext xmlns:c16="http://schemas.microsoft.com/office/drawing/2014/chart" uri="{C3380CC4-5D6E-409C-BE32-E72D297353CC}">
              <c16:uniqueId val="{00000000-2B08-4F78-8E78-017821F7A2A1}"/>
            </c:ext>
          </c:extLst>
        </c:ser>
        <c:dLbls>
          <c:showLegendKey val="0"/>
          <c:showVal val="0"/>
          <c:showCatName val="0"/>
          <c:showSerName val="0"/>
          <c:showPercent val="0"/>
          <c:showBubbleSize val="0"/>
        </c:dLbls>
        <c:marker val="1"/>
        <c:smooth val="0"/>
        <c:axId val="1631869344"/>
        <c:axId val="1631878464"/>
      </c:lineChart>
      <c:catAx>
        <c:axId val="163186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1" i="0" u="none" strike="noStrike" kern="1200" baseline="0">
                <a:solidFill>
                  <a:schemeClr val="tx1"/>
                </a:solidFill>
                <a:latin typeface="+mn-lt"/>
                <a:ea typeface="+mn-ea"/>
                <a:cs typeface="+mn-cs"/>
              </a:defRPr>
            </a:pPr>
            <a:endParaRPr lang="en-US"/>
          </a:p>
        </c:txPr>
        <c:crossAx val="1631878464"/>
        <c:crosses val="autoZero"/>
        <c:auto val="1"/>
        <c:lblAlgn val="ctr"/>
        <c:lblOffset val="100"/>
        <c:noMultiLvlLbl val="0"/>
      </c:catAx>
      <c:valAx>
        <c:axId val="1631878464"/>
        <c:scaling>
          <c:orientation val="minMax"/>
        </c:scaling>
        <c:delete val="1"/>
        <c:axPos val="l"/>
        <c:numFmt formatCode="General" sourceLinked="1"/>
        <c:majorTickMark val="none"/>
        <c:minorTickMark val="none"/>
        <c:tickLblPos val="nextTo"/>
        <c:crossAx val="163186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[Vandana Computer Education Management System (VCEMS).xlsx]Pivot Table!PivotTable11</c:name>
    <c:fmtId val="10"/>
  </c:pivotSource>
  <c:chart>
    <c:title>
      <c:tx>
        <c:rich>
          <a:bodyPr rot="0" spcFirstLastPara="1" vertOverflow="ellipsis" vert="horz" wrap="square" anchor="ctr" anchorCtr="1"/>
          <a:lstStyle/>
          <a:p>
            <a:pPr algn="ctr" rtl="0">
              <a:defRPr lang="en-US" sz="1800" b="1" i="0" u="none" strike="noStrike" kern="1200" spc="0" baseline="0">
                <a:solidFill>
                  <a:srgbClr val="002060"/>
                </a:solidFill>
                <a:latin typeface="+mn-lt"/>
                <a:ea typeface="+mn-ea"/>
                <a:cs typeface="+mn-cs"/>
              </a:defRPr>
            </a:pPr>
            <a:r>
              <a:rPr lang="en-US" sz="1800" b="1" i="0" u="none" strike="noStrike" kern="1200" spc="0" baseline="0">
                <a:solidFill>
                  <a:srgbClr val="002060"/>
                </a:solidFill>
                <a:latin typeface="+mn-lt"/>
                <a:ea typeface="+mn-ea"/>
                <a:cs typeface="+mn-cs"/>
              </a:rPr>
              <a:t>Monthly Enrollment Trends</a:t>
            </a:r>
          </a:p>
        </c:rich>
      </c:tx>
      <c:layout>
        <c:manualLayout>
          <c:xMode val="edge"/>
          <c:yMode val="edge"/>
          <c:x val="0.17710459327150399"/>
          <c:y val="1.4453477868112014E-2"/>
        </c:manualLayout>
      </c:layout>
      <c:overlay val="0"/>
      <c:spPr>
        <a:noFill/>
        <a:ln>
          <a:noFill/>
        </a:ln>
        <a:effectLst/>
      </c:spPr>
      <c:txPr>
        <a:bodyPr rot="0" spcFirstLastPara="1" vertOverflow="ellipsis" vert="horz" wrap="square" anchor="ctr" anchorCtr="1"/>
        <a:lstStyle/>
        <a:p>
          <a:pPr algn="ctr" rtl="0">
            <a:defRPr lang="en-US" sz="18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794154651437605E-2"/>
          <c:y val="0.10685035229903975"/>
          <c:w val="0.93241169069712482"/>
          <c:h val="0.80794019159098263"/>
        </c:manualLayout>
      </c:layout>
      <c:barChart>
        <c:barDir val="col"/>
        <c:grouping val="clustered"/>
        <c:varyColors val="0"/>
        <c:ser>
          <c:idx val="0"/>
          <c:order val="0"/>
          <c:tx>
            <c:strRef>
              <c:f>'Pivot Table'!$AA$6</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Table'!$Z$7:$Z$18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Table'!$AA$7:$AA$18</c:f>
              <c:numCache>
                <c:formatCode>General</c:formatCode>
                <c:ptCount val="12"/>
                <c:pt idx="0">
                  <c:v>34</c:v>
                </c:pt>
                <c:pt idx="1">
                  <c:v>32</c:v>
                </c:pt>
                <c:pt idx="2">
                  <c:v>31</c:v>
                </c:pt>
                <c:pt idx="3">
                  <c:v>38</c:v>
                </c:pt>
                <c:pt idx="4">
                  <c:v>30</c:v>
                </c:pt>
                <c:pt idx="5">
                  <c:v>32</c:v>
                </c:pt>
                <c:pt idx="6">
                  <c:v>27</c:v>
                </c:pt>
                <c:pt idx="7">
                  <c:v>24</c:v>
                </c:pt>
                <c:pt idx="8">
                  <c:v>26</c:v>
                </c:pt>
                <c:pt idx="9">
                  <c:v>32</c:v>
                </c:pt>
                <c:pt idx="10">
                  <c:v>40</c:v>
                </c:pt>
                <c:pt idx="11">
                  <c:v>29</c:v>
                </c:pt>
              </c:numCache>
            </c:numRef>
          </c:val>
          <c:extLst>
            <c:ext xmlns:c16="http://schemas.microsoft.com/office/drawing/2014/chart" uri="{C3380CC4-5D6E-409C-BE32-E72D297353CC}">
              <c16:uniqueId val="{00000000-48BE-4D2B-97D4-8220FB91D857}"/>
            </c:ext>
          </c:extLst>
        </c:ser>
        <c:dLbls>
          <c:showLegendKey val="0"/>
          <c:showVal val="0"/>
          <c:showCatName val="0"/>
          <c:showSerName val="0"/>
          <c:showPercent val="0"/>
          <c:showBubbleSize val="0"/>
        </c:dLbls>
        <c:gapWidth val="45"/>
        <c:overlap val="-27"/>
        <c:axId val="1633295952"/>
        <c:axId val="1633296432"/>
      </c:barChart>
      <c:catAx>
        <c:axId val="1633295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33296432"/>
        <c:crosses val="autoZero"/>
        <c:auto val="1"/>
        <c:lblAlgn val="ctr"/>
        <c:lblOffset val="100"/>
        <c:noMultiLvlLbl val="0"/>
      </c:catAx>
      <c:valAx>
        <c:axId val="1633296432"/>
        <c:scaling>
          <c:orientation val="minMax"/>
        </c:scaling>
        <c:delete val="1"/>
        <c:axPos val="l"/>
        <c:numFmt formatCode="General" sourceLinked="1"/>
        <c:majorTickMark val="none"/>
        <c:minorTickMark val="none"/>
        <c:tickLblPos val="nextTo"/>
        <c:crossAx val="1633295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rich>
          <a:bodyPr spcFirstLastPara="1" vertOverflow="ellipsis" horzOverflow="overflow" wrap="square" lIns="0" tIns="0" rIns="0" bIns="0" anchor="ctr" anchorCtr="1"/>
          <a:lstStyle/>
          <a:p>
            <a:pPr algn="ctr" rtl="0">
              <a:defRPr/>
            </a:pPr>
            <a:r>
              <a:rPr lang="en-US" sz="1600" b="1">
                <a:solidFill>
                  <a:srgbClr val="002060"/>
                </a:solidFill>
              </a:rPr>
              <a:t>Enrollment Trends Across Academic Years</a:t>
            </a:r>
            <a:endParaRPr lang="en-US" sz="1600" b="1" i="0" u="none" strike="noStrike" baseline="0">
              <a:solidFill>
                <a:srgbClr val="002060"/>
              </a:solidFill>
              <a:latin typeface="Calibri" panose="020F0502020204030204"/>
            </a:endParaRPr>
          </a:p>
        </cx:rich>
      </cx:tx>
    </cx:title>
    <cx:plotArea>
      <cx:plotAreaRegion>
        <cx:series layoutId="waterfall" uniqueId="{7974D137-75D7-40EB-8E9B-E5864BC8BBA8}">
          <cx:spPr>
            <a:solidFill>
              <a:srgbClr val="002060"/>
            </a:solidFill>
          </cx:spPr>
          <cx:dataLabels pos="outEnd">
            <cx:txPr>
              <a:bodyPr spcFirstLastPara="1" vertOverflow="ellipsis" horzOverflow="overflow" wrap="square" lIns="0" tIns="0" rIns="0" bIns="0" anchor="ctr" anchorCtr="1"/>
              <a:lstStyle/>
              <a:p>
                <a:pPr algn="ctr" rtl="0">
                  <a:defRPr sz="1000" b="1">
                    <a:solidFill>
                      <a:schemeClr val="tx1"/>
                    </a:solidFill>
                  </a:defRPr>
                </a:pPr>
                <a:endParaRPr lang="en-US" sz="1000" b="1" i="0" u="none" strike="noStrike" baseline="0">
                  <a:solidFill>
                    <a:schemeClr val="tx1"/>
                  </a:solidFill>
                  <a:latin typeface="Calibri" panose="020F0502020204030204"/>
                </a:endParaRPr>
              </a:p>
            </cx:txPr>
            <cx:visibility seriesName="0" categoryName="0" value="1"/>
            <cx:separator>, </cx:separator>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900" b="1">
                <a:solidFill>
                  <a:schemeClr val="tx1"/>
                </a:solidFill>
              </a:defRPr>
            </a:pPr>
            <a:endParaRPr lang="en-US" sz="900" b="1" i="0" u="none" strike="noStrike" baseline="0">
              <a:solidFill>
                <a:schemeClr val="tx1"/>
              </a:solidFill>
              <a:latin typeface="Calibri" panose="020F0502020204030204"/>
            </a:endParaRPr>
          </a:p>
        </cx:txPr>
      </cx:axis>
      <cx:axis id="1" hidden="1">
        <cx:valScaling/>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rich>
          <a:bodyPr spcFirstLastPara="1" vertOverflow="ellipsis" horzOverflow="overflow" wrap="square" lIns="0" tIns="0" rIns="0" bIns="0" anchor="ctr" anchorCtr="1"/>
          <a:lstStyle/>
          <a:p>
            <a:pPr algn="ctr" rtl="0">
              <a:defRPr sz="1600" b="1"/>
            </a:pPr>
            <a:r>
              <a:rPr lang="en-US" sz="1600" b="1" i="0" u="none" strike="noStrike" baseline="0">
                <a:solidFill>
                  <a:srgbClr val="002060"/>
                </a:solidFill>
                <a:latin typeface="Calibri" panose="020F0502020204030204"/>
                <a:cs typeface="Calibri" panose="020F0502020204030204" pitchFamily="34" charset="0"/>
              </a:rPr>
              <a:t>Enrollment</a:t>
            </a:r>
            <a:r>
              <a:rPr lang="en-US" sz="1600" b="1" dirty="0">
                <a:solidFill>
                  <a:srgbClr val="002060"/>
                </a:solidFill>
              </a:rPr>
              <a:t> Distribution by Course Duration</a:t>
            </a:r>
            <a:endParaRPr lang="en-US" sz="1600" b="1" i="0" u="none" strike="noStrike" baseline="0" dirty="0">
              <a:solidFill>
                <a:srgbClr val="002060"/>
              </a:solidFill>
              <a:latin typeface="Calibri" panose="020F0502020204030204"/>
            </a:endParaRPr>
          </a:p>
        </cx:rich>
      </cx:tx>
    </cx:title>
    <cx:plotArea>
      <cx:plotAreaRegion>
        <cx:series layoutId="funnel" uniqueId="{E2BBA239-C845-42F8-AB04-C59E417B333C}">
          <cx:spPr>
            <a:solidFill>
              <a:srgbClr val="002060"/>
            </a:solidFill>
          </cx:spPr>
          <cx:dataLabels>
            <cx:txPr>
              <a:bodyPr spcFirstLastPara="1" vertOverflow="ellipsis" horzOverflow="overflow" wrap="square" lIns="0" tIns="0" rIns="0" bIns="0" anchor="ctr" anchorCtr="1"/>
              <a:lstStyle/>
              <a:p>
                <a:pPr algn="ctr" rtl="0">
                  <a:defRPr sz="1600" b="1">
                    <a:solidFill>
                      <a:schemeClr val="bg1"/>
                    </a:solidFill>
                  </a:defRPr>
                </a:pPr>
                <a:endParaRPr lang="en-US" sz="16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chemeClr val="tx1"/>
                </a:solidFill>
              </a:defRPr>
            </a:pPr>
            <a:endParaRPr lang="en-US" sz="900" b="1" i="0" u="none" strike="noStrike" baseline="0">
              <a:solidFill>
                <a:schemeClr val="tx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Home Page'!A1"/></Relationships>
</file>

<file path=xl/drawings/_rels/drawing2.xml.rels><?xml version="1.0" encoding="UTF-8" standalone="yes"?>
<Relationships xmlns="http://schemas.openxmlformats.org/package/2006/relationships"><Relationship Id="rId1" Type="http://schemas.openxmlformats.org/officeDocument/2006/relationships/hyperlink" Target="#'Home Page'!A1"/></Relationships>
</file>

<file path=xl/drawings/_rels/drawing3.xml.rels><?xml version="1.0" encoding="UTF-8" standalone="yes"?>
<Relationships xmlns="http://schemas.openxmlformats.org/package/2006/relationships"><Relationship Id="rId1" Type="http://schemas.openxmlformats.org/officeDocument/2006/relationships/hyperlink" Target="#'Home Page'!A1"/></Relationships>
</file>

<file path=xl/drawings/_rels/drawing4.xml.rels><?xml version="1.0" encoding="UTF-8" standalone="yes"?>
<Relationships xmlns="http://schemas.openxmlformats.org/package/2006/relationships"><Relationship Id="rId1" Type="http://schemas.openxmlformats.org/officeDocument/2006/relationships/hyperlink" Target="#'Home Page'!A1"/></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5.png"/><Relationship Id="rId18" Type="http://schemas.openxmlformats.org/officeDocument/2006/relationships/image" Target="../media/image10.svg"/><Relationship Id="rId3" Type="http://schemas.microsoft.com/office/2014/relationships/chartEx" Target="../charts/chartEx2.xml"/><Relationship Id="rId21" Type="http://schemas.openxmlformats.org/officeDocument/2006/relationships/image" Target="../media/image13.png"/><Relationship Id="rId7" Type="http://schemas.openxmlformats.org/officeDocument/2006/relationships/hyperlink" Target="#'Home Page'!A1"/><Relationship Id="rId12" Type="http://schemas.openxmlformats.org/officeDocument/2006/relationships/image" Target="../media/image4.svg"/><Relationship Id="rId17" Type="http://schemas.openxmlformats.org/officeDocument/2006/relationships/image" Target="../media/image9.png"/><Relationship Id="rId2" Type="http://schemas.microsoft.com/office/2014/relationships/chartEx" Target="../charts/chartEx1.xml"/><Relationship Id="rId16" Type="http://schemas.openxmlformats.org/officeDocument/2006/relationships/image" Target="../media/image8.svg"/><Relationship Id="rId20" Type="http://schemas.openxmlformats.org/officeDocument/2006/relationships/image" Target="../media/image12.sv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3.png"/><Relationship Id="rId5" Type="http://schemas.openxmlformats.org/officeDocument/2006/relationships/chart" Target="../charts/chart3.xml"/><Relationship Id="rId15" Type="http://schemas.openxmlformats.org/officeDocument/2006/relationships/image" Target="../media/image7.png"/><Relationship Id="rId10" Type="http://schemas.openxmlformats.org/officeDocument/2006/relationships/image" Target="../media/image2.png"/><Relationship Id="rId19" Type="http://schemas.openxmlformats.org/officeDocument/2006/relationships/image" Target="../media/image11.png"/><Relationship Id="rId4" Type="http://schemas.openxmlformats.org/officeDocument/2006/relationships/chart" Target="../charts/chart2.xml"/><Relationship Id="rId9" Type="http://schemas.openxmlformats.org/officeDocument/2006/relationships/hyperlink" Target="https://vcebhilai.in" TargetMode="External"/><Relationship Id="rId14" Type="http://schemas.openxmlformats.org/officeDocument/2006/relationships/image" Target="../media/image6.svg"/><Relationship Id="rId22"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6</xdr:col>
      <xdr:colOff>447675</xdr:colOff>
      <xdr:row>0</xdr:row>
      <xdr:rowOff>95250</xdr:rowOff>
    </xdr:from>
    <xdr:to>
      <xdr:col>6</xdr:col>
      <xdr:colOff>978460</xdr:colOff>
      <xdr:row>3</xdr:row>
      <xdr:rowOff>76200</xdr:rowOff>
    </xdr:to>
    <xdr:grpSp>
      <xdr:nvGrpSpPr>
        <xdr:cNvPr id="11" name="Group 10">
          <a:hlinkClick xmlns:r="http://schemas.openxmlformats.org/officeDocument/2006/relationships" r:id="rId1"/>
          <a:extLst>
            <a:ext uri="{FF2B5EF4-FFF2-40B4-BE49-F238E27FC236}">
              <a16:creationId xmlns:a16="http://schemas.microsoft.com/office/drawing/2014/main" id="{EC91BFAD-A97B-4C65-969A-604E5F2180FF}"/>
            </a:ext>
          </a:extLst>
        </xdr:cNvPr>
        <xdr:cNvGrpSpPr/>
      </xdr:nvGrpSpPr>
      <xdr:grpSpPr>
        <a:xfrm>
          <a:off x="6477000" y="95250"/>
          <a:ext cx="530785" cy="552450"/>
          <a:chOff x="3543300" y="3171825"/>
          <a:chExt cx="530785" cy="552450"/>
        </a:xfrm>
      </xdr:grpSpPr>
      <xdr:sp macro="" textlink="">
        <xdr:nvSpPr>
          <xdr:cNvPr id="12" name="Oval 11">
            <a:extLst>
              <a:ext uri="{FF2B5EF4-FFF2-40B4-BE49-F238E27FC236}">
                <a16:creationId xmlns:a16="http://schemas.microsoft.com/office/drawing/2014/main" id="{DF679DFC-207C-5D9B-1022-8DC1871C3397}"/>
              </a:ext>
            </a:extLst>
          </xdr:cNvPr>
          <xdr:cNvSpPr/>
        </xdr:nvSpPr>
        <xdr:spPr>
          <a:xfrm>
            <a:off x="3543300" y="3171825"/>
            <a:ext cx="530785" cy="552450"/>
          </a:xfrm>
          <a:prstGeom prst="ellipse">
            <a:avLst/>
          </a:prstGeom>
          <a:solidFill>
            <a:schemeClr val="bg1"/>
          </a:solidFill>
          <a:ln w="285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13" name="Group 12">
            <a:extLst>
              <a:ext uri="{FF2B5EF4-FFF2-40B4-BE49-F238E27FC236}">
                <a16:creationId xmlns:a16="http://schemas.microsoft.com/office/drawing/2014/main" id="{7A919C73-7EC2-ECDC-310A-1B225BD9711C}"/>
              </a:ext>
            </a:extLst>
          </xdr:cNvPr>
          <xdr:cNvGrpSpPr/>
        </xdr:nvGrpSpPr>
        <xdr:grpSpPr>
          <a:xfrm>
            <a:off x="3604022" y="3245645"/>
            <a:ext cx="425051" cy="364330"/>
            <a:chOff x="2765821" y="2950369"/>
            <a:chExt cx="558403" cy="478631"/>
          </a:xfrm>
        </xdr:grpSpPr>
        <xdr:sp macro="" textlink="">
          <xdr:nvSpPr>
            <xdr:cNvPr id="14" name="Freeform: Shape 13">
              <a:extLst>
                <a:ext uri="{FF2B5EF4-FFF2-40B4-BE49-F238E27FC236}">
                  <a16:creationId xmlns:a16="http://schemas.microsoft.com/office/drawing/2014/main" id="{4DFFB61E-D104-1AFD-FFF0-E5F0EE7E0857}"/>
                </a:ext>
              </a:extLst>
            </xdr:cNvPr>
            <xdr:cNvSpPr/>
          </xdr:nvSpPr>
          <xdr:spPr>
            <a:xfrm>
              <a:off x="2765821" y="2950369"/>
              <a:ext cx="558403" cy="291167"/>
            </a:xfrm>
            <a:custGeom>
              <a:avLst/>
              <a:gdLst>
                <a:gd name="connsiteX0" fmla="*/ 358378 w 716756"/>
                <a:gd name="connsiteY0" fmla="*/ 0 h 373737"/>
                <a:gd name="connsiteX1" fmla="*/ 358378 w 716756"/>
                <a:gd name="connsiteY1" fmla="*/ 0 h 373737"/>
                <a:gd name="connsiteX2" fmla="*/ 0 w 716756"/>
                <a:gd name="connsiteY2" fmla="*/ 341313 h 373737"/>
                <a:gd name="connsiteX3" fmla="*/ 38398 w 716756"/>
                <a:gd name="connsiteY3" fmla="*/ 373737 h 373737"/>
                <a:gd name="connsiteX4" fmla="*/ 358378 w 716756"/>
                <a:gd name="connsiteY4" fmla="*/ 69969 h 373737"/>
                <a:gd name="connsiteX5" fmla="*/ 358378 w 716756"/>
                <a:gd name="connsiteY5" fmla="*/ 69969 h 373737"/>
                <a:gd name="connsiteX6" fmla="*/ 678359 w 716756"/>
                <a:gd name="connsiteY6" fmla="*/ 373737 h 373737"/>
                <a:gd name="connsiteX7" fmla="*/ 716756 w 716756"/>
                <a:gd name="connsiteY7" fmla="*/ 341313 h 373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716756" h="373737">
                  <a:moveTo>
                    <a:pt x="358378" y="0"/>
                  </a:moveTo>
                  <a:lnTo>
                    <a:pt x="358378" y="0"/>
                  </a:lnTo>
                  <a:lnTo>
                    <a:pt x="0" y="341313"/>
                  </a:lnTo>
                  <a:lnTo>
                    <a:pt x="38398" y="373737"/>
                  </a:lnTo>
                  <a:lnTo>
                    <a:pt x="358378" y="69969"/>
                  </a:lnTo>
                  <a:lnTo>
                    <a:pt x="358378" y="69969"/>
                  </a:lnTo>
                  <a:lnTo>
                    <a:pt x="678359" y="373737"/>
                  </a:lnTo>
                  <a:lnTo>
                    <a:pt x="716756" y="341313"/>
                  </a:lnTo>
                  <a:close/>
                </a:path>
              </a:pathLst>
            </a:custGeom>
            <a:solidFill>
              <a:srgbClr val="000000"/>
            </a:solidFill>
            <a:ln w="8533" cap="flat">
              <a:noFill/>
              <a:prstDash val="solid"/>
              <a:miter/>
            </a:ln>
          </xdr:spPr>
          <xdr:txBody>
            <a:bodyPr rtlCol="0" anchor="ctr"/>
            <a:lstStyle/>
            <a:p>
              <a:endParaRPr lang="en-US"/>
            </a:p>
          </xdr:txBody>
        </xdr:sp>
        <xdr:sp macro="" textlink="">
          <xdr:nvSpPr>
            <xdr:cNvPr id="15" name="Freeform: Shape 14">
              <a:extLst>
                <a:ext uri="{FF2B5EF4-FFF2-40B4-BE49-F238E27FC236}">
                  <a16:creationId xmlns:a16="http://schemas.microsoft.com/office/drawing/2014/main" id="{F6FE4D3C-C5A3-95D5-0186-35E70A0B3D89}"/>
                </a:ext>
              </a:extLst>
            </xdr:cNvPr>
            <xdr:cNvSpPr/>
          </xdr:nvSpPr>
          <xdr:spPr>
            <a:xfrm>
              <a:off x="2845593" y="3042107"/>
              <a:ext cx="398859" cy="386893"/>
            </a:xfrm>
            <a:custGeom>
              <a:avLst/>
              <a:gdLst>
                <a:gd name="connsiteX0" fmla="*/ 0 w 511968"/>
                <a:gd name="connsiteY0" fmla="*/ 243185 h 496609"/>
                <a:gd name="connsiteX1" fmla="*/ 0 w 511968"/>
                <a:gd name="connsiteY1" fmla="*/ 496610 h 496609"/>
                <a:gd name="connsiteX2" fmla="*/ 204788 w 511968"/>
                <a:gd name="connsiteY2" fmla="*/ 496610 h 496609"/>
                <a:gd name="connsiteX3" fmla="*/ 204788 w 511968"/>
                <a:gd name="connsiteY3" fmla="*/ 283289 h 496609"/>
                <a:gd name="connsiteX4" fmla="*/ 307181 w 511968"/>
                <a:gd name="connsiteY4" fmla="*/ 283289 h 496609"/>
                <a:gd name="connsiteX5" fmla="*/ 307181 w 511968"/>
                <a:gd name="connsiteY5" fmla="*/ 496610 h 496609"/>
                <a:gd name="connsiteX6" fmla="*/ 511969 w 511968"/>
                <a:gd name="connsiteY6" fmla="*/ 496610 h 496609"/>
                <a:gd name="connsiteX7" fmla="*/ 511969 w 511968"/>
                <a:gd name="connsiteY7" fmla="*/ 243185 h 496609"/>
                <a:gd name="connsiteX8" fmla="*/ 255984 w 511968"/>
                <a:gd name="connsiteY8" fmla="*/ 0 h 496609"/>
                <a:gd name="connsiteX9" fmla="*/ 0 w 511968"/>
                <a:gd name="connsiteY9" fmla="*/ 243185 h 4966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11968" h="496609">
                  <a:moveTo>
                    <a:pt x="0" y="243185"/>
                  </a:moveTo>
                  <a:lnTo>
                    <a:pt x="0" y="496610"/>
                  </a:lnTo>
                  <a:lnTo>
                    <a:pt x="204788" y="496610"/>
                  </a:lnTo>
                  <a:lnTo>
                    <a:pt x="204788" y="283289"/>
                  </a:lnTo>
                  <a:lnTo>
                    <a:pt x="307181" y="283289"/>
                  </a:lnTo>
                  <a:lnTo>
                    <a:pt x="307181" y="496610"/>
                  </a:lnTo>
                  <a:lnTo>
                    <a:pt x="511969" y="496610"/>
                  </a:lnTo>
                  <a:lnTo>
                    <a:pt x="511969" y="243185"/>
                  </a:lnTo>
                  <a:lnTo>
                    <a:pt x="255984" y="0"/>
                  </a:lnTo>
                  <a:lnTo>
                    <a:pt x="0" y="243185"/>
                  </a:lnTo>
                  <a:close/>
                </a:path>
              </a:pathLst>
            </a:custGeom>
            <a:solidFill>
              <a:srgbClr val="000000"/>
            </a:solidFill>
            <a:ln w="8533" cap="flat">
              <a:noFill/>
              <a:prstDash val="solid"/>
              <a:miter/>
            </a:ln>
          </xdr:spPr>
          <xdr:txBody>
            <a:bodyPr rtlCol="0" anchor="ctr"/>
            <a:lstStyle/>
            <a:p>
              <a:endParaRPr lang="en-US"/>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123825</xdr:colOff>
      <xdr:row>0</xdr:row>
      <xdr:rowOff>76200</xdr:rowOff>
    </xdr:from>
    <xdr:to>
      <xdr:col>1</xdr:col>
      <xdr:colOff>92635</xdr:colOff>
      <xdr:row>3</xdr:row>
      <xdr:rowOff>57150</xdr:rowOff>
    </xdr:to>
    <xdr:grpSp>
      <xdr:nvGrpSpPr>
        <xdr:cNvPr id="11" name="Group 10">
          <a:hlinkClick xmlns:r="http://schemas.openxmlformats.org/officeDocument/2006/relationships" r:id="rId1"/>
          <a:extLst>
            <a:ext uri="{FF2B5EF4-FFF2-40B4-BE49-F238E27FC236}">
              <a16:creationId xmlns:a16="http://schemas.microsoft.com/office/drawing/2014/main" id="{E543F52F-EF4A-0DF1-9C1C-6B8B8EC82A70}"/>
            </a:ext>
          </a:extLst>
        </xdr:cNvPr>
        <xdr:cNvGrpSpPr/>
      </xdr:nvGrpSpPr>
      <xdr:grpSpPr>
        <a:xfrm>
          <a:off x="123825" y="76200"/>
          <a:ext cx="530785" cy="552450"/>
          <a:chOff x="3543300" y="3171825"/>
          <a:chExt cx="530785" cy="552450"/>
        </a:xfrm>
      </xdr:grpSpPr>
      <xdr:sp macro="" textlink="">
        <xdr:nvSpPr>
          <xdr:cNvPr id="6" name="Oval 5">
            <a:extLst>
              <a:ext uri="{FF2B5EF4-FFF2-40B4-BE49-F238E27FC236}">
                <a16:creationId xmlns:a16="http://schemas.microsoft.com/office/drawing/2014/main" id="{2E780BF7-22DE-BE65-7B7F-FFC58506A47B}"/>
              </a:ext>
            </a:extLst>
          </xdr:cNvPr>
          <xdr:cNvSpPr/>
        </xdr:nvSpPr>
        <xdr:spPr>
          <a:xfrm>
            <a:off x="3543300" y="3171825"/>
            <a:ext cx="530785" cy="552450"/>
          </a:xfrm>
          <a:prstGeom prst="ellipse">
            <a:avLst/>
          </a:prstGeom>
          <a:solidFill>
            <a:schemeClr val="bg1"/>
          </a:solidFill>
          <a:ln w="285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10" name="Group 9">
            <a:extLst>
              <a:ext uri="{FF2B5EF4-FFF2-40B4-BE49-F238E27FC236}">
                <a16:creationId xmlns:a16="http://schemas.microsoft.com/office/drawing/2014/main" id="{5CBD5462-1E2F-38BD-64B5-CDFAFD4BF386}"/>
              </a:ext>
            </a:extLst>
          </xdr:cNvPr>
          <xdr:cNvGrpSpPr/>
        </xdr:nvGrpSpPr>
        <xdr:grpSpPr>
          <a:xfrm>
            <a:off x="3604022" y="3245645"/>
            <a:ext cx="425051" cy="364330"/>
            <a:chOff x="2765821" y="2950369"/>
            <a:chExt cx="558403" cy="478631"/>
          </a:xfrm>
        </xdr:grpSpPr>
        <xdr:sp macro="" textlink="">
          <xdr:nvSpPr>
            <xdr:cNvPr id="8" name="Freeform: Shape 7">
              <a:extLst>
                <a:ext uri="{FF2B5EF4-FFF2-40B4-BE49-F238E27FC236}">
                  <a16:creationId xmlns:a16="http://schemas.microsoft.com/office/drawing/2014/main" id="{2687A8D5-60C8-A524-EB00-1B4D110FDD53}"/>
                </a:ext>
              </a:extLst>
            </xdr:cNvPr>
            <xdr:cNvSpPr/>
          </xdr:nvSpPr>
          <xdr:spPr>
            <a:xfrm>
              <a:off x="2765821" y="2950369"/>
              <a:ext cx="558403" cy="291167"/>
            </a:xfrm>
            <a:custGeom>
              <a:avLst/>
              <a:gdLst>
                <a:gd name="connsiteX0" fmla="*/ 358378 w 716756"/>
                <a:gd name="connsiteY0" fmla="*/ 0 h 373737"/>
                <a:gd name="connsiteX1" fmla="*/ 358378 w 716756"/>
                <a:gd name="connsiteY1" fmla="*/ 0 h 373737"/>
                <a:gd name="connsiteX2" fmla="*/ 0 w 716756"/>
                <a:gd name="connsiteY2" fmla="*/ 341313 h 373737"/>
                <a:gd name="connsiteX3" fmla="*/ 38398 w 716756"/>
                <a:gd name="connsiteY3" fmla="*/ 373737 h 373737"/>
                <a:gd name="connsiteX4" fmla="*/ 358378 w 716756"/>
                <a:gd name="connsiteY4" fmla="*/ 69969 h 373737"/>
                <a:gd name="connsiteX5" fmla="*/ 358378 w 716756"/>
                <a:gd name="connsiteY5" fmla="*/ 69969 h 373737"/>
                <a:gd name="connsiteX6" fmla="*/ 678359 w 716756"/>
                <a:gd name="connsiteY6" fmla="*/ 373737 h 373737"/>
                <a:gd name="connsiteX7" fmla="*/ 716756 w 716756"/>
                <a:gd name="connsiteY7" fmla="*/ 341313 h 373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716756" h="373737">
                  <a:moveTo>
                    <a:pt x="358378" y="0"/>
                  </a:moveTo>
                  <a:lnTo>
                    <a:pt x="358378" y="0"/>
                  </a:lnTo>
                  <a:lnTo>
                    <a:pt x="0" y="341313"/>
                  </a:lnTo>
                  <a:lnTo>
                    <a:pt x="38398" y="373737"/>
                  </a:lnTo>
                  <a:lnTo>
                    <a:pt x="358378" y="69969"/>
                  </a:lnTo>
                  <a:lnTo>
                    <a:pt x="358378" y="69969"/>
                  </a:lnTo>
                  <a:lnTo>
                    <a:pt x="678359" y="373737"/>
                  </a:lnTo>
                  <a:lnTo>
                    <a:pt x="716756" y="341313"/>
                  </a:lnTo>
                  <a:close/>
                </a:path>
              </a:pathLst>
            </a:custGeom>
            <a:solidFill>
              <a:srgbClr val="000000"/>
            </a:solidFill>
            <a:ln w="8533" cap="flat">
              <a:noFill/>
              <a:prstDash val="solid"/>
              <a:miter/>
            </a:ln>
          </xdr:spPr>
          <xdr:txBody>
            <a:bodyPr rtlCol="0" anchor="ctr"/>
            <a:lstStyle/>
            <a:p>
              <a:endParaRPr lang="en-US"/>
            </a:p>
          </xdr:txBody>
        </xdr:sp>
        <xdr:sp macro="" textlink="">
          <xdr:nvSpPr>
            <xdr:cNvPr id="9" name="Freeform: Shape 8">
              <a:extLst>
                <a:ext uri="{FF2B5EF4-FFF2-40B4-BE49-F238E27FC236}">
                  <a16:creationId xmlns:a16="http://schemas.microsoft.com/office/drawing/2014/main" id="{295F9723-0AFA-359B-04C4-C671B77FAF4E}"/>
                </a:ext>
              </a:extLst>
            </xdr:cNvPr>
            <xdr:cNvSpPr/>
          </xdr:nvSpPr>
          <xdr:spPr>
            <a:xfrm>
              <a:off x="2845593" y="3042107"/>
              <a:ext cx="398859" cy="386893"/>
            </a:xfrm>
            <a:custGeom>
              <a:avLst/>
              <a:gdLst>
                <a:gd name="connsiteX0" fmla="*/ 0 w 511968"/>
                <a:gd name="connsiteY0" fmla="*/ 243185 h 496609"/>
                <a:gd name="connsiteX1" fmla="*/ 0 w 511968"/>
                <a:gd name="connsiteY1" fmla="*/ 496610 h 496609"/>
                <a:gd name="connsiteX2" fmla="*/ 204788 w 511968"/>
                <a:gd name="connsiteY2" fmla="*/ 496610 h 496609"/>
                <a:gd name="connsiteX3" fmla="*/ 204788 w 511968"/>
                <a:gd name="connsiteY3" fmla="*/ 283289 h 496609"/>
                <a:gd name="connsiteX4" fmla="*/ 307181 w 511968"/>
                <a:gd name="connsiteY4" fmla="*/ 283289 h 496609"/>
                <a:gd name="connsiteX5" fmla="*/ 307181 w 511968"/>
                <a:gd name="connsiteY5" fmla="*/ 496610 h 496609"/>
                <a:gd name="connsiteX6" fmla="*/ 511969 w 511968"/>
                <a:gd name="connsiteY6" fmla="*/ 496610 h 496609"/>
                <a:gd name="connsiteX7" fmla="*/ 511969 w 511968"/>
                <a:gd name="connsiteY7" fmla="*/ 243185 h 496609"/>
                <a:gd name="connsiteX8" fmla="*/ 255984 w 511968"/>
                <a:gd name="connsiteY8" fmla="*/ 0 h 496609"/>
                <a:gd name="connsiteX9" fmla="*/ 0 w 511968"/>
                <a:gd name="connsiteY9" fmla="*/ 243185 h 4966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11968" h="496609">
                  <a:moveTo>
                    <a:pt x="0" y="243185"/>
                  </a:moveTo>
                  <a:lnTo>
                    <a:pt x="0" y="496610"/>
                  </a:lnTo>
                  <a:lnTo>
                    <a:pt x="204788" y="496610"/>
                  </a:lnTo>
                  <a:lnTo>
                    <a:pt x="204788" y="283289"/>
                  </a:lnTo>
                  <a:lnTo>
                    <a:pt x="307181" y="283289"/>
                  </a:lnTo>
                  <a:lnTo>
                    <a:pt x="307181" y="496610"/>
                  </a:lnTo>
                  <a:lnTo>
                    <a:pt x="511969" y="496610"/>
                  </a:lnTo>
                  <a:lnTo>
                    <a:pt x="511969" y="243185"/>
                  </a:lnTo>
                  <a:lnTo>
                    <a:pt x="255984" y="0"/>
                  </a:lnTo>
                  <a:lnTo>
                    <a:pt x="0" y="243185"/>
                  </a:lnTo>
                  <a:close/>
                </a:path>
              </a:pathLst>
            </a:custGeom>
            <a:solidFill>
              <a:srgbClr val="000000"/>
            </a:solidFill>
            <a:ln w="8533" cap="flat">
              <a:noFill/>
              <a:prstDash val="solid"/>
              <a:miter/>
            </a:ln>
          </xdr:spPr>
          <xdr:txBody>
            <a:bodyPr rtlCol="0" anchor="ctr"/>
            <a:lstStyle/>
            <a:p>
              <a:endParaRPr lang="en-US"/>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95250</xdr:colOff>
      <xdr:row>0</xdr:row>
      <xdr:rowOff>104775</xdr:rowOff>
    </xdr:from>
    <xdr:to>
      <xdr:col>1</xdr:col>
      <xdr:colOff>64060</xdr:colOff>
      <xdr:row>3</xdr:row>
      <xdr:rowOff>85725</xdr:rowOff>
    </xdr:to>
    <xdr:grpSp>
      <xdr:nvGrpSpPr>
        <xdr:cNvPr id="2" name="Group 1">
          <a:hlinkClick xmlns:r="http://schemas.openxmlformats.org/officeDocument/2006/relationships" r:id="rId1"/>
          <a:extLst>
            <a:ext uri="{FF2B5EF4-FFF2-40B4-BE49-F238E27FC236}">
              <a16:creationId xmlns:a16="http://schemas.microsoft.com/office/drawing/2014/main" id="{4FA4E428-400D-46E1-8739-F38216D9452F}"/>
            </a:ext>
          </a:extLst>
        </xdr:cNvPr>
        <xdr:cNvGrpSpPr/>
      </xdr:nvGrpSpPr>
      <xdr:grpSpPr>
        <a:xfrm>
          <a:off x="95250" y="104775"/>
          <a:ext cx="530785" cy="552450"/>
          <a:chOff x="3543300" y="3171825"/>
          <a:chExt cx="530785" cy="552450"/>
        </a:xfrm>
      </xdr:grpSpPr>
      <xdr:sp macro="" textlink="">
        <xdr:nvSpPr>
          <xdr:cNvPr id="3" name="Oval 2">
            <a:extLst>
              <a:ext uri="{FF2B5EF4-FFF2-40B4-BE49-F238E27FC236}">
                <a16:creationId xmlns:a16="http://schemas.microsoft.com/office/drawing/2014/main" id="{625A3E1C-5AD4-3D9D-ABC9-3B44F05956AC}"/>
              </a:ext>
            </a:extLst>
          </xdr:cNvPr>
          <xdr:cNvSpPr/>
        </xdr:nvSpPr>
        <xdr:spPr>
          <a:xfrm>
            <a:off x="3543300" y="3171825"/>
            <a:ext cx="530785" cy="552450"/>
          </a:xfrm>
          <a:prstGeom prst="ellipse">
            <a:avLst/>
          </a:prstGeom>
          <a:solidFill>
            <a:schemeClr val="bg1"/>
          </a:solidFill>
          <a:ln w="285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6EA8637B-4C54-9E92-FCC1-FE0A3322FF51}"/>
              </a:ext>
            </a:extLst>
          </xdr:cNvPr>
          <xdr:cNvGrpSpPr/>
        </xdr:nvGrpSpPr>
        <xdr:grpSpPr>
          <a:xfrm>
            <a:off x="3604022" y="3245645"/>
            <a:ext cx="425051" cy="364330"/>
            <a:chOff x="2765821" y="2950369"/>
            <a:chExt cx="558403" cy="478631"/>
          </a:xfrm>
        </xdr:grpSpPr>
        <xdr:sp macro="" textlink="">
          <xdr:nvSpPr>
            <xdr:cNvPr id="5" name="Freeform: Shape 4">
              <a:extLst>
                <a:ext uri="{FF2B5EF4-FFF2-40B4-BE49-F238E27FC236}">
                  <a16:creationId xmlns:a16="http://schemas.microsoft.com/office/drawing/2014/main" id="{57C2EB72-7C98-8683-FE97-AC563137393C}"/>
                </a:ext>
              </a:extLst>
            </xdr:cNvPr>
            <xdr:cNvSpPr/>
          </xdr:nvSpPr>
          <xdr:spPr>
            <a:xfrm>
              <a:off x="2765821" y="2950369"/>
              <a:ext cx="558403" cy="291167"/>
            </a:xfrm>
            <a:custGeom>
              <a:avLst/>
              <a:gdLst>
                <a:gd name="connsiteX0" fmla="*/ 358378 w 716756"/>
                <a:gd name="connsiteY0" fmla="*/ 0 h 373737"/>
                <a:gd name="connsiteX1" fmla="*/ 358378 w 716756"/>
                <a:gd name="connsiteY1" fmla="*/ 0 h 373737"/>
                <a:gd name="connsiteX2" fmla="*/ 0 w 716756"/>
                <a:gd name="connsiteY2" fmla="*/ 341313 h 373737"/>
                <a:gd name="connsiteX3" fmla="*/ 38398 w 716756"/>
                <a:gd name="connsiteY3" fmla="*/ 373737 h 373737"/>
                <a:gd name="connsiteX4" fmla="*/ 358378 w 716756"/>
                <a:gd name="connsiteY4" fmla="*/ 69969 h 373737"/>
                <a:gd name="connsiteX5" fmla="*/ 358378 w 716756"/>
                <a:gd name="connsiteY5" fmla="*/ 69969 h 373737"/>
                <a:gd name="connsiteX6" fmla="*/ 678359 w 716756"/>
                <a:gd name="connsiteY6" fmla="*/ 373737 h 373737"/>
                <a:gd name="connsiteX7" fmla="*/ 716756 w 716756"/>
                <a:gd name="connsiteY7" fmla="*/ 341313 h 373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716756" h="373737">
                  <a:moveTo>
                    <a:pt x="358378" y="0"/>
                  </a:moveTo>
                  <a:lnTo>
                    <a:pt x="358378" y="0"/>
                  </a:lnTo>
                  <a:lnTo>
                    <a:pt x="0" y="341313"/>
                  </a:lnTo>
                  <a:lnTo>
                    <a:pt x="38398" y="373737"/>
                  </a:lnTo>
                  <a:lnTo>
                    <a:pt x="358378" y="69969"/>
                  </a:lnTo>
                  <a:lnTo>
                    <a:pt x="358378" y="69969"/>
                  </a:lnTo>
                  <a:lnTo>
                    <a:pt x="678359" y="373737"/>
                  </a:lnTo>
                  <a:lnTo>
                    <a:pt x="716756" y="341313"/>
                  </a:lnTo>
                  <a:close/>
                </a:path>
              </a:pathLst>
            </a:custGeom>
            <a:solidFill>
              <a:srgbClr val="000000"/>
            </a:solidFill>
            <a:ln w="8533" cap="flat">
              <a:noFill/>
              <a:prstDash val="solid"/>
              <a:miter/>
            </a:ln>
          </xdr:spPr>
          <xdr:txBody>
            <a:bodyPr rtlCol="0" anchor="ctr"/>
            <a:lstStyle/>
            <a:p>
              <a:endParaRPr lang="en-US"/>
            </a:p>
          </xdr:txBody>
        </xdr:sp>
        <xdr:sp macro="" textlink="">
          <xdr:nvSpPr>
            <xdr:cNvPr id="6" name="Freeform: Shape 5">
              <a:extLst>
                <a:ext uri="{FF2B5EF4-FFF2-40B4-BE49-F238E27FC236}">
                  <a16:creationId xmlns:a16="http://schemas.microsoft.com/office/drawing/2014/main" id="{40707F2D-9E77-FBBB-6C54-314FC3ED69B0}"/>
                </a:ext>
              </a:extLst>
            </xdr:cNvPr>
            <xdr:cNvSpPr/>
          </xdr:nvSpPr>
          <xdr:spPr>
            <a:xfrm>
              <a:off x="2845593" y="3042107"/>
              <a:ext cx="398859" cy="386893"/>
            </a:xfrm>
            <a:custGeom>
              <a:avLst/>
              <a:gdLst>
                <a:gd name="connsiteX0" fmla="*/ 0 w 511968"/>
                <a:gd name="connsiteY0" fmla="*/ 243185 h 496609"/>
                <a:gd name="connsiteX1" fmla="*/ 0 w 511968"/>
                <a:gd name="connsiteY1" fmla="*/ 496610 h 496609"/>
                <a:gd name="connsiteX2" fmla="*/ 204788 w 511968"/>
                <a:gd name="connsiteY2" fmla="*/ 496610 h 496609"/>
                <a:gd name="connsiteX3" fmla="*/ 204788 w 511968"/>
                <a:gd name="connsiteY3" fmla="*/ 283289 h 496609"/>
                <a:gd name="connsiteX4" fmla="*/ 307181 w 511968"/>
                <a:gd name="connsiteY4" fmla="*/ 283289 h 496609"/>
                <a:gd name="connsiteX5" fmla="*/ 307181 w 511968"/>
                <a:gd name="connsiteY5" fmla="*/ 496610 h 496609"/>
                <a:gd name="connsiteX6" fmla="*/ 511969 w 511968"/>
                <a:gd name="connsiteY6" fmla="*/ 496610 h 496609"/>
                <a:gd name="connsiteX7" fmla="*/ 511969 w 511968"/>
                <a:gd name="connsiteY7" fmla="*/ 243185 h 496609"/>
                <a:gd name="connsiteX8" fmla="*/ 255984 w 511968"/>
                <a:gd name="connsiteY8" fmla="*/ 0 h 496609"/>
                <a:gd name="connsiteX9" fmla="*/ 0 w 511968"/>
                <a:gd name="connsiteY9" fmla="*/ 243185 h 4966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11968" h="496609">
                  <a:moveTo>
                    <a:pt x="0" y="243185"/>
                  </a:moveTo>
                  <a:lnTo>
                    <a:pt x="0" y="496610"/>
                  </a:lnTo>
                  <a:lnTo>
                    <a:pt x="204788" y="496610"/>
                  </a:lnTo>
                  <a:lnTo>
                    <a:pt x="204788" y="283289"/>
                  </a:lnTo>
                  <a:lnTo>
                    <a:pt x="307181" y="283289"/>
                  </a:lnTo>
                  <a:lnTo>
                    <a:pt x="307181" y="496610"/>
                  </a:lnTo>
                  <a:lnTo>
                    <a:pt x="511969" y="496610"/>
                  </a:lnTo>
                  <a:lnTo>
                    <a:pt x="511969" y="243185"/>
                  </a:lnTo>
                  <a:lnTo>
                    <a:pt x="255984" y="0"/>
                  </a:lnTo>
                  <a:lnTo>
                    <a:pt x="0" y="243185"/>
                  </a:lnTo>
                  <a:close/>
                </a:path>
              </a:pathLst>
            </a:custGeom>
            <a:solidFill>
              <a:srgbClr val="000000"/>
            </a:solidFill>
            <a:ln w="8533" cap="flat">
              <a:noFill/>
              <a:prstDash val="solid"/>
              <a:miter/>
            </a:ln>
          </xdr:spPr>
          <xdr:txBody>
            <a:bodyPr rtlCol="0" anchor="ctr"/>
            <a:lstStyle/>
            <a:p>
              <a:endParaRPr lang="en-US"/>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104775</xdr:colOff>
      <xdr:row>0</xdr:row>
      <xdr:rowOff>85725</xdr:rowOff>
    </xdr:from>
    <xdr:to>
      <xdr:col>0</xdr:col>
      <xdr:colOff>635560</xdr:colOff>
      <xdr:row>2</xdr:row>
      <xdr:rowOff>152400</xdr:rowOff>
    </xdr:to>
    <xdr:grpSp>
      <xdr:nvGrpSpPr>
        <xdr:cNvPr id="2" name="Group 1">
          <a:hlinkClick xmlns:r="http://schemas.openxmlformats.org/officeDocument/2006/relationships" r:id="rId1"/>
          <a:extLst>
            <a:ext uri="{FF2B5EF4-FFF2-40B4-BE49-F238E27FC236}">
              <a16:creationId xmlns:a16="http://schemas.microsoft.com/office/drawing/2014/main" id="{007D8C19-0224-48F1-B8B0-B97FFE59F5D9}"/>
            </a:ext>
          </a:extLst>
        </xdr:cNvPr>
        <xdr:cNvGrpSpPr/>
      </xdr:nvGrpSpPr>
      <xdr:grpSpPr>
        <a:xfrm>
          <a:off x="104775" y="85725"/>
          <a:ext cx="530785" cy="552450"/>
          <a:chOff x="3543300" y="3171825"/>
          <a:chExt cx="530785" cy="552450"/>
        </a:xfrm>
      </xdr:grpSpPr>
      <xdr:sp macro="" textlink="">
        <xdr:nvSpPr>
          <xdr:cNvPr id="3" name="Oval 2">
            <a:extLst>
              <a:ext uri="{FF2B5EF4-FFF2-40B4-BE49-F238E27FC236}">
                <a16:creationId xmlns:a16="http://schemas.microsoft.com/office/drawing/2014/main" id="{252F4692-7D0A-B4FB-92AD-B221421DD221}"/>
              </a:ext>
            </a:extLst>
          </xdr:cNvPr>
          <xdr:cNvSpPr/>
        </xdr:nvSpPr>
        <xdr:spPr>
          <a:xfrm>
            <a:off x="3543300" y="3171825"/>
            <a:ext cx="530785" cy="552450"/>
          </a:xfrm>
          <a:prstGeom prst="ellipse">
            <a:avLst/>
          </a:prstGeom>
          <a:solidFill>
            <a:schemeClr val="bg1"/>
          </a:solidFill>
          <a:ln w="28575">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380FB823-91A8-E7C5-79CF-A868CC7CB620}"/>
              </a:ext>
            </a:extLst>
          </xdr:cNvPr>
          <xdr:cNvGrpSpPr/>
        </xdr:nvGrpSpPr>
        <xdr:grpSpPr>
          <a:xfrm>
            <a:off x="3604022" y="3245645"/>
            <a:ext cx="425051" cy="364330"/>
            <a:chOff x="2765821" y="2950369"/>
            <a:chExt cx="558403" cy="478631"/>
          </a:xfrm>
        </xdr:grpSpPr>
        <xdr:sp macro="" textlink="">
          <xdr:nvSpPr>
            <xdr:cNvPr id="5" name="Freeform: Shape 4">
              <a:extLst>
                <a:ext uri="{FF2B5EF4-FFF2-40B4-BE49-F238E27FC236}">
                  <a16:creationId xmlns:a16="http://schemas.microsoft.com/office/drawing/2014/main" id="{490B587B-E50A-464B-DE67-75EB70991400}"/>
                </a:ext>
              </a:extLst>
            </xdr:cNvPr>
            <xdr:cNvSpPr/>
          </xdr:nvSpPr>
          <xdr:spPr>
            <a:xfrm>
              <a:off x="2765821" y="2950369"/>
              <a:ext cx="558403" cy="291167"/>
            </a:xfrm>
            <a:custGeom>
              <a:avLst/>
              <a:gdLst>
                <a:gd name="connsiteX0" fmla="*/ 358378 w 716756"/>
                <a:gd name="connsiteY0" fmla="*/ 0 h 373737"/>
                <a:gd name="connsiteX1" fmla="*/ 358378 w 716756"/>
                <a:gd name="connsiteY1" fmla="*/ 0 h 373737"/>
                <a:gd name="connsiteX2" fmla="*/ 0 w 716756"/>
                <a:gd name="connsiteY2" fmla="*/ 341313 h 373737"/>
                <a:gd name="connsiteX3" fmla="*/ 38398 w 716756"/>
                <a:gd name="connsiteY3" fmla="*/ 373737 h 373737"/>
                <a:gd name="connsiteX4" fmla="*/ 358378 w 716756"/>
                <a:gd name="connsiteY4" fmla="*/ 69969 h 373737"/>
                <a:gd name="connsiteX5" fmla="*/ 358378 w 716756"/>
                <a:gd name="connsiteY5" fmla="*/ 69969 h 373737"/>
                <a:gd name="connsiteX6" fmla="*/ 678359 w 716756"/>
                <a:gd name="connsiteY6" fmla="*/ 373737 h 373737"/>
                <a:gd name="connsiteX7" fmla="*/ 716756 w 716756"/>
                <a:gd name="connsiteY7" fmla="*/ 341313 h 37373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716756" h="373737">
                  <a:moveTo>
                    <a:pt x="358378" y="0"/>
                  </a:moveTo>
                  <a:lnTo>
                    <a:pt x="358378" y="0"/>
                  </a:lnTo>
                  <a:lnTo>
                    <a:pt x="0" y="341313"/>
                  </a:lnTo>
                  <a:lnTo>
                    <a:pt x="38398" y="373737"/>
                  </a:lnTo>
                  <a:lnTo>
                    <a:pt x="358378" y="69969"/>
                  </a:lnTo>
                  <a:lnTo>
                    <a:pt x="358378" y="69969"/>
                  </a:lnTo>
                  <a:lnTo>
                    <a:pt x="678359" y="373737"/>
                  </a:lnTo>
                  <a:lnTo>
                    <a:pt x="716756" y="341313"/>
                  </a:lnTo>
                  <a:close/>
                </a:path>
              </a:pathLst>
            </a:custGeom>
            <a:solidFill>
              <a:srgbClr val="000000"/>
            </a:solidFill>
            <a:ln w="8533" cap="flat">
              <a:noFill/>
              <a:prstDash val="solid"/>
              <a:miter/>
            </a:ln>
          </xdr:spPr>
          <xdr:txBody>
            <a:bodyPr rtlCol="0" anchor="ctr"/>
            <a:lstStyle/>
            <a:p>
              <a:endParaRPr lang="en-US"/>
            </a:p>
          </xdr:txBody>
        </xdr:sp>
        <xdr:sp macro="" textlink="">
          <xdr:nvSpPr>
            <xdr:cNvPr id="6" name="Freeform: Shape 5">
              <a:extLst>
                <a:ext uri="{FF2B5EF4-FFF2-40B4-BE49-F238E27FC236}">
                  <a16:creationId xmlns:a16="http://schemas.microsoft.com/office/drawing/2014/main" id="{D715480A-D1C9-1DDC-C6A3-ACB95821F280}"/>
                </a:ext>
              </a:extLst>
            </xdr:cNvPr>
            <xdr:cNvSpPr/>
          </xdr:nvSpPr>
          <xdr:spPr>
            <a:xfrm>
              <a:off x="2845593" y="3042107"/>
              <a:ext cx="398859" cy="386893"/>
            </a:xfrm>
            <a:custGeom>
              <a:avLst/>
              <a:gdLst>
                <a:gd name="connsiteX0" fmla="*/ 0 w 511968"/>
                <a:gd name="connsiteY0" fmla="*/ 243185 h 496609"/>
                <a:gd name="connsiteX1" fmla="*/ 0 w 511968"/>
                <a:gd name="connsiteY1" fmla="*/ 496610 h 496609"/>
                <a:gd name="connsiteX2" fmla="*/ 204788 w 511968"/>
                <a:gd name="connsiteY2" fmla="*/ 496610 h 496609"/>
                <a:gd name="connsiteX3" fmla="*/ 204788 w 511968"/>
                <a:gd name="connsiteY3" fmla="*/ 283289 h 496609"/>
                <a:gd name="connsiteX4" fmla="*/ 307181 w 511968"/>
                <a:gd name="connsiteY4" fmla="*/ 283289 h 496609"/>
                <a:gd name="connsiteX5" fmla="*/ 307181 w 511968"/>
                <a:gd name="connsiteY5" fmla="*/ 496610 h 496609"/>
                <a:gd name="connsiteX6" fmla="*/ 511969 w 511968"/>
                <a:gd name="connsiteY6" fmla="*/ 496610 h 496609"/>
                <a:gd name="connsiteX7" fmla="*/ 511969 w 511968"/>
                <a:gd name="connsiteY7" fmla="*/ 243185 h 496609"/>
                <a:gd name="connsiteX8" fmla="*/ 255984 w 511968"/>
                <a:gd name="connsiteY8" fmla="*/ 0 h 496609"/>
                <a:gd name="connsiteX9" fmla="*/ 0 w 511968"/>
                <a:gd name="connsiteY9" fmla="*/ 243185 h 4966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Lst>
              <a:rect l="l" t="t" r="r" b="b"/>
              <a:pathLst>
                <a:path w="511968" h="496609">
                  <a:moveTo>
                    <a:pt x="0" y="243185"/>
                  </a:moveTo>
                  <a:lnTo>
                    <a:pt x="0" y="496610"/>
                  </a:lnTo>
                  <a:lnTo>
                    <a:pt x="204788" y="496610"/>
                  </a:lnTo>
                  <a:lnTo>
                    <a:pt x="204788" y="283289"/>
                  </a:lnTo>
                  <a:lnTo>
                    <a:pt x="307181" y="283289"/>
                  </a:lnTo>
                  <a:lnTo>
                    <a:pt x="307181" y="496610"/>
                  </a:lnTo>
                  <a:lnTo>
                    <a:pt x="511969" y="496610"/>
                  </a:lnTo>
                  <a:lnTo>
                    <a:pt x="511969" y="243185"/>
                  </a:lnTo>
                  <a:lnTo>
                    <a:pt x="255984" y="0"/>
                  </a:lnTo>
                  <a:lnTo>
                    <a:pt x="0" y="243185"/>
                  </a:lnTo>
                  <a:close/>
                </a:path>
              </a:pathLst>
            </a:custGeom>
            <a:solidFill>
              <a:srgbClr val="000000"/>
            </a:solidFill>
            <a:ln w="8533" cap="flat">
              <a:noFill/>
              <a:prstDash val="solid"/>
              <a:miter/>
            </a:ln>
          </xdr:spPr>
          <xdr:txBody>
            <a:bodyPr rtlCol="0" anchor="ctr"/>
            <a:lstStyle/>
            <a:p>
              <a:endParaRPr lang="en-US"/>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95252</xdr:colOff>
      <xdr:row>0</xdr:row>
      <xdr:rowOff>66675</xdr:rowOff>
    </xdr:from>
    <xdr:to>
      <xdr:col>3</xdr:col>
      <xdr:colOff>105833</xdr:colOff>
      <xdr:row>4</xdr:row>
      <xdr:rowOff>104775</xdr:rowOff>
    </xdr:to>
    <xdr:sp macro="" textlink="">
      <xdr:nvSpPr>
        <xdr:cNvPr id="2" name="Rectangle: Rounded Corners 1">
          <a:extLst>
            <a:ext uri="{FF2B5EF4-FFF2-40B4-BE49-F238E27FC236}">
              <a16:creationId xmlns:a16="http://schemas.microsoft.com/office/drawing/2014/main" id="{DACB1EE8-F95D-00E3-1D80-C083ADEC9D2D}"/>
            </a:ext>
          </a:extLst>
        </xdr:cNvPr>
        <xdr:cNvSpPr/>
      </xdr:nvSpPr>
      <xdr:spPr>
        <a:xfrm>
          <a:off x="95252" y="66675"/>
          <a:ext cx="1852081" cy="11811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211667</xdr:colOff>
      <xdr:row>0</xdr:row>
      <xdr:rowOff>53975</xdr:rowOff>
    </xdr:from>
    <xdr:to>
      <xdr:col>24</xdr:col>
      <xdr:colOff>150283</xdr:colOff>
      <xdr:row>4</xdr:row>
      <xdr:rowOff>92075</xdr:rowOff>
    </xdr:to>
    <xdr:sp macro="" textlink="">
      <xdr:nvSpPr>
        <xdr:cNvPr id="3" name="Rectangle: Rounded Corners 2">
          <a:extLst>
            <a:ext uri="{FF2B5EF4-FFF2-40B4-BE49-F238E27FC236}">
              <a16:creationId xmlns:a16="http://schemas.microsoft.com/office/drawing/2014/main" id="{210D89F1-5F3B-AA7D-BAF3-8362CCB0702F}"/>
            </a:ext>
          </a:extLst>
        </xdr:cNvPr>
        <xdr:cNvSpPr/>
      </xdr:nvSpPr>
      <xdr:spPr>
        <a:xfrm>
          <a:off x="2053167" y="53975"/>
          <a:ext cx="12829116" cy="11811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75144</xdr:colOff>
      <xdr:row>4</xdr:row>
      <xdr:rowOff>168274</xdr:rowOff>
    </xdr:from>
    <xdr:to>
      <xdr:col>3</xdr:col>
      <xdr:colOff>103719</xdr:colOff>
      <xdr:row>44</xdr:row>
      <xdr:rowOff>148167</xdr:rowOff>
    </xdr:to>
    <xdr:sp macro="" textlink="">
      <xdr:nvSpPr>
        <xdr:cNvPr id="4" name="Rectangle: Rounded Corners 3">
          <a:extLst>
            <a:ext uri="{FF2B5EF4-FFF2-40B4-BE49-F238E27FC236}">
              <a16:creationId xmlns:a16="http://schemas.microsoft.com/office/drawing/2014/main" id="{F399A493-93FF-4830-711F-89072E3884F6}"/>
            </a:ext>
          </a:extLst>
        </xdr:cNvPr>
        <xdr:cNvSpPr/>
      </xdr:nvSpPr>
      <xdr:spPr>
        <a:xfrm>
          <a:off x="75144" y="930274"/>
          <a:ext cx="1870075" cy="7599893"/>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263525</xdr:colOff>
      <xdr:row>5</xdr:row>
      <xdr:rowOff>22225</xdr:rowOff>
    </xdr:from>
    <xdr:to>
      <xdr:col>6</xdr:col>
      <xdr:colOff>222251</xdr:colOff>
      <xdr:row>10</xdr:row>
      <xdr:rowOff>60325</xdr:rowOff>
    </xdr:to>
    <xdr:sp macro="" textlink="">
      <xdr:nvSpPr>
        <xdr:cNvPr id="5" name="Rectangle: Rounded Corners 4">
          <a:extLst>
            <a:ext uri="{FF2B5EF4-FFF2-40B4-BE49-F238E27FC236}">
              <a16:creationId xmlns:a16="http://schemas.microsoft.com/office/drawing/2014/main" id="{595E39E8-B244-643E-54F9-8D6DC5A720B0}"/>
            </a:ext>
          </a:extLst>
        </xdr:cNvPr>
        <xdr:cNvSpPr/>
      </xdr:nvSpPr>
      <xdr:spPr>
        <a:xfrm>
          <a:off x="2105025" y="974725"/>
          <a:ext cx="1800226" cy="9906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257175</xdr:colOff>
      <xdr:row>11</xdr:row>
      <xdr:rowOff>57149</xdr:rowOff>
    </xdr:from>
    <xdr:to>
      <xdr:col>9</xdr:col>
      <xdr:colOff>600075</xdr:colOff>
      <xdr:row>25</xdr:row>
      <xdr:rowOff>123824</xdr:rowOff>
    </xdr:to>
    <xdr:sp macro="" textlink="">
      <xdr:nvSpPr>
        <xdr:cNvPr id="12" name="Rectangle: Rounded Corners 11">
          <a:extLst>
            <a:ext uri="{FF2B5EF4-FFF2-40B4-BE49-F238E27FC236}">
              <a16:creationId xmlns:a16="http://schemas.microsoft.com/office/drawing/2014/main" id="{4BADD4B2-3508-DF5E-EEEC-7F9094DBDA88}"/>
            </a:ext>
          </a:extLst>
        </xdr:cNvPr>
        <xdr:cNvSpPr/>
      </xdr:nvSpPr>
      <xdr:spPr>
        <a:xfrm>
          <a:off x="2098675" y="2152649"/>
          <a:ext cx="4025900" cy="2733675"/>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266700</xdr:colOff>
      <xdr:row>11</xdr:row>
      <xdr:rowOff>1</xdr:rowOff>
    </xdr:from>
    <xdr:to>
      <xdr:col>9</xdr:col>
      <xdr:colOff>476250</xdr:colOff>
      <xdr:row>25</xdr:row>
      <xdr:rowOff>66675</xdr:rowOff>
    </xdr:to>
    <xdr:graphicFrame macro="">
      <xdr:nvGraphicFramePr>
        <xdr:cNvPr id="11" name="Chart 10">
          <a:extLst>
            <a:ext uri="{FF2B5EF4-FFF2-40B4-BE49-F238E27FC236}">
              <a16:creationId xmlns:a16="http://schemas.microsoft.com/office/drawing/2014/main" id="{1CA8253A-11CF-43F4-AE93-77BA11D972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104774</xdr:colOff>
      <xdr:row>11</xdr:row>
      <xdr:rowOff>66674</xdr:rowOff>
    </xdr:from>
    <xdr:to>
      <xdr:col>17</xdr:col>
      <xdr:colOff>85725</xdr:colOff>
      <xdr:row>25</xdr:row>
      <xdr:rowOff>133349</xdr:rowOff>
    </xdr:to>
    <xdr:sp macro="" textlink="">
      <xdr:nvSpPr>
        <xdr:cNvPr id="14" name="Rectangle: Rounded Corners 13">
          <a:extLst>
            <a:ext uri="{FF2B5EF4-FFF2-40B4-BE49-F238E27FC236}">
              <a16:creationId xmlns:a16="http://schemas.microsoft.com/office/drawing/2014/main" id="{7923096A-9DE8-7DE9-175E-A43735525DF6}"/>
            </a:ext>
          </a:extLst>
        </xdr:cNvPr>
        <xdr:cNvSpPr/>
      </xdr:nvSpPr>
      <xdr:spPr>
        <a:xfrm>
          <a:off x="5591174" y="2352674"/>
          <a:ext cx="4248151" cy="2733675"/>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219075</xdr:colOff>
      <xdr:row>11</xdr:row>
      <xdr:rowOff>31750</xdr:rowOff>
    </xdr:from>
    <xdr:to>
      <xdr:col>17</xdr:col>
      <xdr:colOff>114300</xdr:colOff>
      <xdr:row>25</xdr:row>
      <xdr:rowOff>133350</xdr:rowOff>
    </xdr:to>
    <mc:AlternateContent xmlns:mc="http://schemas.openxmlformats.org/markup-compatibility/2006">
      <mc:Choice xmlns:cx1="http://schemas.microsoft.com/office/drawing/2015/9/8/chartex" Requires="cx1">
        <xdr:graphicFrame macro="">
          <xdr:nvGraphicFramePr>
            <xdr:cNvPr id="13" name="Chart 12">
              <a:extLst>
                <a:ext uri="{FF2B5EF4-FFF2-40B4-BE49-F238E27FC236}">
                  <a16:creationId xmlns:a16="http://schemas.microsoft.com/office/drawing/2014/main" id="{689B1C75-36ED-468B-8122-2E3D21F941C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315075" y="2127250"/>
              <a:ext cx="4162425" cy="2768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190500</xdr:colOff>
      <xdr:row>11</xdr:row>
      <xdr:rowOff>19049</xdr:rowOff>
    </xdr:from>
    <xdr:to>
      <xdr:col>24</xdr:col>
      <xdr:colOff>171450</xdr:colOff>
      <xdr:row>25</xdr:row>
      <xdr:rowOff>85724</xdr:rowOff>
    </xdr:to>
    <xdr:sp macro="" textlink="">
      <xdr:nvSpPr>
        <xdr:cNvPr id="16" name="Rectangle: Rounded Corners 15">
          <a:extLst>
            <a:ext uri="{FF2B5EF4-FFF2-40B4-BE49-F238E27FC236}">
              <a16:creationId xmlns:a16="http://schemas.microsoft.com/office/drawing/2014/main" id="{6F1C2314-1D35-435D-C88A-DD97BE3D17F7}"/>
            </a:ext>
          </a:extLst>
        </xdr:cNvPr>
        <xdr:cNvSpPr/>
      </xdr:nvSpPr>
      <xdr:spPr>
        <a:xfrm>
          <a:off x="10625667" y="2495549"/>
          <a:ext cx="4277783" cy="2733675"/>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257175</xdr:colOff>
      <xdr:row>11</xdr:row>
      <xdr:rowOff>10584</xdr:rowOff>
    </xdr:from>
    <xdr:to>
      <xdr:col>24</xdr:col>
      <xdr:colOff>152400</xdr:colOff>
      <xdr:row>25</xdr:row>
      <xdr:rowOff>85726</xdr:rowOff>
    </xdr:to>
    <mc:AlternateContent xmlns:mc="http://schemas.openxmlformats.org/markup-compatibility/2006">
      <mc:Choice xmlns:cx2="http://schemas.microsoft.com/office/drawing/2015/10/21/chartex" Requires="cx2">
        <xdr:graphicFrame macro="">
          <xdr:nvGraphicFramePr>
            <xdr:cNvPr id="15" name="Chart 14">
              <a:extLst>
                <a:ext uri="{FF2B5EF4-FFF2-40B4-BE49-F238E27FC236}">
                  <a16:creationId xmlns:a16="http://schemas.microsoft.com/office/drawing/2014/main" id="{74CDBB0C-20C3-4697-A0CF-A92D9239CD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620375" y="2106084"/>
              <a:ext cx="4162425" cy="274214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266702</xdr:colOff>
      <xdr:row>26</xdr:row>
      <xdr:rowOff>0</xdr:rowOff>
    </xdr:from>
    <xdr:to>
      <xdr:col>9</xdr:col>
      <xdr:colOff>529167</xdr:colOff>
      <xdr:row>44</xdr:row>
      <xdr:rowOff>123826</xdr:rowOff>
    </xdr:to>
    <xdr:sp macro="" textlink="">
      <xdr:nvSpPr>
        <xdr:cNvPr id="18" name="Rectangle: Rounded Corners 17">
          <a:extLst>
            <a:ext uri="{FF2B5EF4-FFF2-40B4-BE49-F238E27FC236}">
              <a16:creationId xmlns:a16="http://schemas.microsoft.com/office/drawing/2014/main" id="{0D705536-4752-64D8-8DA9-05D4204379B0}"/>
            </a:ext>
          </a:extLst>
        </xdr:cNvPr>
        <xdr:cNvSpPr/>
      </xdr:nvSpPr>
      <xdr:spPr>
        <a:xfrm>
          <a:off x="2108202" y="4953000"/>
          <a:ext cx="3945465" cy="3552826"/>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323849</xdr:colOff>
      <xdr:row>25</xdr:row>
      <xdr:rowOff>152399</xdr:rowOff>
    </xdr:from>
    <xdr:to>
      <xdr:col>10</xdr:col>
      <xdr:colOff>63499</xdr:colOff>
      <xdr:row>45</xdr:row>
      <xdr:rowOff>66674</xdr:rowOff>
    </xdr:to>
    <xdr:graphicFrame macro="">
      <xdr:nvGraphicFramePr>
        <xdr:cNvPr id="17" name="Chart 16">
          <a:extLst>
            <a:ext uri="{FF2B5EF4-FFF2-40B4-BE49-F238E27FC236}">
              <a16:creationId xmlns:a16="http://schemas.microsoft.com/office/drawing/2014/main" id="{80CCC227-FC43-488F-8B2A-208D7F6748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63499</xdr:colOff>
      <xdr:row>26</xdr:row>
      <xdr:rowOff>19050</xdr:rowOff>
    </xdr:from>
    <xdr:to>
      <xdr:col>17</xdr:col>
      <xdr:colOff>228600</xdr:colOff>
      <xdr:row>44</xdr:row>
      <xdr:rowOff>114300</xdr:rowOff>
    </xdr:to>
    <xdr:sp macro="" textlink="">
      <xdr:nvSpPr>
        <xdr:cNvPr id="20" name="Rectangle: Rounded Corners 19">
          <a:extLst>
            <a:ext uri="{FF2B5EF4-FFF2-40B4-BE49-F238E27FC236}">
              <a16:creationId xmlns:a16="http://schemas.microsoft.com/office/drawing/2014/main" id="{8C79172F-9640-5487-4500-DEC5BE14E546}"/>
            </a:ext>
          </a:extLst>
        </xdr:cNvPr>
        <xdr:cNvSpPr/>
      </xdr:nvSpPr>
      <xdr:spPr>
        <a:xfrm>
          <a:off x="6201832" y="4972050"/>
          <a:ext cx="4461935" cy="352425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10</xdr:col>
      <xdr:colOff>161926</xdr:colOff>
      <xdr:row>25</xdr:row>
      <xdr:rowOff>142875</xdr:rowOff>
    </xdr:from>
    <xdr:to>
      <xdr:col>17</xdr:col>
      <xdr:colOff>219075</xdr:colOff>
      <xdr:row>43</xdr:row>
      <xdr:rowOff>133350</xdr:rowOff>
    </xdr:to>
    <xdr:graphicFrame macro="">
      <xdr:nvGraphicFramePr>
        <xdr:cNvPr id="19" name="Chart 18">
          <a:extLst>
            <a:ext uri="{FF2B5EF4-FFF2-40B4-BE49-F238E27FC236}">
              <a16:creationId xmlns:a16="http://schemas.microsoft.com/office/drawing/2014/main" id="{FB4B6303-E099-457D-86A9-76EF6629F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370416</xdr:colOff>
      <xdr:row>25</xdr:row>
      <xdr:rowOff>152400</xdr:rowOff>
    </xdr:from>
    <xdr:to>
      <xdr:col>24</xdr:col>
      <xdr:colOff>180976</xdr:colOff>
      <xdr:row>44</xdr:row>
      <xdr:rowOff>57150</xdr:rowOff>
    </xdr:to>
    <xdr:sp macro="" textlink="">
      <xdr:nvSpPr>
        <xdr:cNvPr id="22" name="Rectangle: Rounded Corners 21">
          <a:extLst>
            <a:ext uri="{FF2B5EF4-FFF2-40B4-BE49-F238E27FC236}">
              <a16:creationId xmlns:a16="http://schemas.microsoft.com/office/drawing/2014/main" id="{85C185D6-0D93-62BF-34FE-C274C76D896D}"/>
            </a:ext>
          </a:extLst>
        </xdr:cNvPr>
        <xdr:cNvSpPr/>
      </xdr:nvSpPr>
      <xdr:spPr>
        <a:xfrm>
          <a:off x="10805583" y="4914900"/>
          <a:ext cx="4107393" cy="352425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465666</xdr:colOff>
      <xdr:row>26</xdr:row>
      <xdr:rowOff>10583</xdr:rowOff>
    </xdr:from>
    <xdr:to>
      <xdr:col>24</xdr:col>
      <xdr:colOff>105832</xdr:colOff>
      <xdr:row>43</xdr:row>
      <xdr:rowOff>74083</xdr:rowOff>
    </xdr:to>
    <xdr:graphicFrame macro="">
      <xdr:nvGraphicFramePr>
        <xdr:cNvPr id="21" name="Chart 20">
          <a:extLst>
            <a:ext uri="{FF2B5EF4-FFF2-40B4-BE49-F238E27FC236}">
              <a16:creationId xmlns:a16="http://schemas.microsoft.com/office/drawing/2014/main" id="{843CD5E9-4D1A-4C31-A0CB-8C12BC370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158752</xdr:colOff>
      <xdr:row>21</xdr:row>
      <xdr:rowOff>190498</xdr:rowOff>
    </xdr:from>
    <xdr:to>
      <xdr:col>3</xdr:col>
      <xdr:colOff>9252</xdr:colOff>
      <xdr:row>44</xdr:row>
      <xdr:rowOff>31748</xdr:rowOff>
    </xdr:to>
    <mc:AlternateContent xmlns:mc="http://schemas.openxmlformats.org/markup-compatibility/2006" xmlns:a14="http://schemas.microsoft.com/office/drawing/2010/main">
      <mc:Choice Requires="a14">
        <xdr:graphicFrame macro="">
          <xdr:nvGraphicFramePr>
            <xdr:cNvPr id="23" name="COURSE CODE">
              <a:extLst>
                <a:ext uri="{FF2B5EF4-FFF2-40B4-BE49-F238E27FC236}">
                  <a16:creationId xmlns:a16="http://schemas.microsoft.com/office/drawing/2014/main" id="{175F29D8-EB64-41D5-AC97-FE40020D7D9D}"/>
                </a:ext>
              </a:extLst>
            </xdr:cNvPr>
            <xdr:cNvGraphicFramePr/>
          </xdr:nvGraphicFramePr>
          <xdr:xfrm>
            <a:off x="0" y="0"/>
            <a:ext cx="0" cy="0"/>
          </xdr:xfrm>
          <a:graphic>
            <a:graphicData uri="http://schemas.microsoft.com/office/drawing/2010/slicer">
              <sle:slicer xmlns:sle="http://schemas.microsoft.com/office/drawing/2010/slicer" name="COURSE CODE"/>
            </a:graphicData>
          </a:graphic>
        </xdr:graphicFrame>
      </mc:Choice>
      <mc:Fallback xmlns="">
        <xdr:sp macro="" textlink="">
          <xdr:nvSpPr>
            <xdr:cNvPr id="0" name=""/>
            <xdr:cNvSpPr>
              <a:spLocks noTextEdit="1"/>
            </xdr:cNvSpPr>
          </xdr:nvSpPr>
          <xdr:spPr>
            <a:xfrm>
              <a:off x="158752" y="4190998"/>
              <a:ext cx="1692000" cy="4222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137587</xdr:colOff>
      <xdr:row>5</xdr:row>
      <xdr:rowOff>169338</xdr:rowOff>
    </xdr:from>
    <xdr:to>
      <xdr:col>3</xdr:col>
      <xdr:colOff>60087</xdr:colOff>
      <xdr:row>11</xdr:row>
      <xdr:rowOff>21170</xdr:rowOff>
    </xdr:to>
    <mc:AlternateContent xmlns:mc="http://schemas.openxmlformats.org/markup-compatibility/2006" xmlns:a14="http://schemas.microsoft.com/office/drawing/2010/main">
      <mc:Choice Requires="a14">
        <xdr:graphicFrame macro="">
          <xdr:nvGraphicFramePr>
            <xdr:cNvPr id="24" name="CERTIFICATION TYPE">
              <a:extLst>
                <a:ext uri="{FF2B5EF4-FFF2-40B4-BE49-F238E27FC236}">
                  <a16:creationId xmlns:a16="http://schemas.microsoft.com/office/drawing/2014/main" id="{CDA072E2-758B-4E74-805B-BC0B1FC9DE08}"/>
                </a:ext>
              </a:extLst>
            </xdr:cNvPr>
            <xdr:cNvGraphicFramePr/>
          </xdr:nvGraphicFramePr>
          <xdr:xfrm>
            <a:off x="0" y="0"/>
            <a:ext cx="0" cy="0"/>
          </xdr:xfrm>
          <a:graphic>
            <a:graphicData uri="http://schemas.microsoft.com/office/drawing/2010/slicer">
              <sle:slicer xmlns:sle="http://schemas.microsoft.com/office/drawing/2010/slicer" name="CERTIFICATION TYPE"/>
            </a:graphicData>
          </a:graphic>
        </xdr:graphicFrame>
      </mc:Choice>
      <mc:Fallback xmlns="">
        <xdr:sp macro="" textlink="">
          <xdr:nvSpPr>
            <xdr:cNvPr id="0" name=""/>
            <xdr:cNvSpPr>
              <a:spLocks noTextEdit="1"/>
            </xdr:cNvSpPr>
          </xdr:nvSpPr>
          <xdr:spPr>
            <a:xfrm>
              <a:off x="137587" y="1121838"/>
              <a:ext cx="1764000" cy="9948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127000</xdr:colOff>
      <xdr:row>10</xdr:row>
      <xdr:rowOff>137588</xdr:rowOff>
    </xdr:from>
    <xdr:to>
      <xdr:col>3</xdr:col>
      <xdr:colOff>49500</xdr:colOff>
      <xdr:row>15</xdr:row>
      <xdr:rowOff>148171</xdr:rowOff>
    </xdr:to>
    <mc:AlternateContent xmlns:mc="http://schemas.openxmlformats.org/markup-compatibility/2006" xmlns:a14="http://schemas.microsoft.com/office/drawing/2010/main">
      <mc:Choice Requires="a14">
        <xdr:graphicFrame macro="">
          <xdr:nvGraphicFramePr>
            <xdr:cNvPr id="25" name="Session">
              <a:extLst>
                <a:ext uri="{FF2B5EF4-FFF2-40B4-BE49-F238E27FC236}">
                  <a16:creationId xmlns:a16="http://schemas.microsoft.com/office/drawing/2014/main" id="{385F0EAD-D607-4E72-99CC-E0A3DEC78DC4}"/>
                </a:ext>
              </a:extLst>
            </xdr:cNvPr>
            <xdr:cNvGraphicFramePr/>
          </xdr:nvGraphicFramePr>
          <xdr:xfrm>
            <a:off x="0" y="0"/>
            <a:ext cx="0" cy="0"/>
          </xdr:xfrm>
          <a:graphic>
            <a:graphicData uri="http://schemas.microsoft.com/office/drawing/2010/slicer">
              <sle:slicer xmlns:sle="http://schemas.microsoft.com/office/drawing/2010/slicer" name="Session"/>
            </a:graphicData>
          </a:graphic>
        </xdr:graphicFrame>
      </mc:Choice>
      <mc:Fallback xmlns="">
        <xdr:sp macro="" textlink="">
          <xdr:nvSpPr>
            <xdr:cNvPr id="0" name=""/>
            <xdr:cNvSpPr>
              <a:spLocks noTextEdit="1"/>
            </xdr:cNvSpPr>
          </xdr:nvSpPr>
          <xdr:spPr>
            <a:xfrm>
              <a:off x="127000" y="2042588"/>
              <a:ext cx="1764000" cy="9630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158751</xdr:colOff>
      <xdr:row>15</xdr:row>
      <xdr:rowOff>116416</xdr:rowOff>
    </xdr:from>
    <xdr:to>
      <xdr:col>3</xdr:col>
      <xdr:colOff>9251</xdr:colOff>
      <xdr:row>21</xdr:row>
      <xdr:rowOff>190498</xdr:rowOff>
    </xdr:to>
    <mc:AlternateContent xmlns:mc="http://schemas.openxmlformats.org/markup-compatibility/2006" xmlns:a14="http://schemas.microsoft.com/office/drawing/2010/main">
      <mc:Choice Requires="a14">
        <xdr:graphicFrame macro="">
          <xdr:nvGraphicFramePr>
            <xdr:cNvPr id="26" name="Course Duration">
              <a:extLst>
                <a:ext uri="{FF2B5EF4-FFF2-40B4-BE49-F238E27FC236}">
                  <a16:creationId xmlns:a16="http://schemas.microsoft.com/office/drawing/2014/main" id="{ECE4A1B3-0732-42BB-B734-BD506365EACB}"/>
                </a:ext>
              </a:extLst>
            </xdr:cNvPr>
            <xdr:cNvGraphicFramePr/>
          </xdr:nvGraphicFramePr>
          <xdr:xfrm>
            <a:off x="0" y="0"/>
            <a:ext cx="0" cy="0"/>
          </xdr:xfrm>
          <a:graphic>
            <a:graphicData uri="http://schemas.microsoft.com/office/drawing/2010/slicer">
              <sle:slicer xmlns:sle="http://schemas.microsoft.com/office/drawing/2010/slicer" name="Course Duration"/>
            </a:graphicData>
          </a:graphic>
        </xdr:graphicFrame>
      </mc:Choice>
      <mc:Fallback xmlns="">
        <xdr:sp macro="" textlink="">
          <xdr:nvSpPr>
            <xdr:cNvPr id="0" name=""/>
            <xdr:cNvSpPr>
              <a:spLocks noTextEdit="1"/>
            </xdr:cNvSpPr>
          </xdr:nvSpPr>
          <xdr:spPr>
            <a:xfrm>
              <a:off x="158751" y="2973916"/>
              <a:ext cx="1692000" cy="12170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299515</xdr:colOff>
      <xdr:row>5</xdr:row>
      <xdr:rowOff>26459</xdr:rowOff>
    </xdr:from>
    <xdr:to>
      <xdr:col>9</xdr:col>
      <xdr:colOff>317500</xdr:colOff>
      <xdr:row>10</xdr:row>
      <xdr:rowOff>64559</xdr:rowOff>
    </xdr:to>
    <xdr:sp macro="" textlink="">
      <xdr:nvSpPr>
        <xdr:cNvPr id="31" name="Rectangle: Rounded Corners 30">
          <a:extLst>
            <a:ext uri="{FF2B5EF4-FFF2-40B4-BE49-F238E27FC236}">
              <a16:creationId xmlns:a16="http://schemas.microsoft.com/office/drawing/2014/main" id="{6FED2563-4660-82D2-620C-2322DEAD148B}"/>
            </a:ext>
          </a:extLst>
        </xdr:cNvPr>
        <xdr:cNvSpPr/>
      </xdr:nvSpPr>
      <xdr:spPr>
        <a:xfrm>
          <a:off x="3982515" y="978959"/>
          <a:ext cx="1859485" cy="9906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455081</xdr:colOff>
      <xdr:row>0</xdr:row>
      <xdr:rowOff>74083</xdr:rowOff>
    </xdr:from>
    <xdr:to>
      <xdr:col>24</xdr:col>
      <xdr:colOff>211665</xdr:colOff>
      <xdr:row>4</xdr:row>
      <xdr:rowOff>105833</xdr:rowOff>
    </xdr:to>
    <xdr:sp macro="" textlink="">
      <xdr:nvSpPr>
        <xdr:cNvPr id="10" name="TextBox 9">
          <a:extLst>
            <a:ext uri="{FF2B5EF4-FFF2-40B4-BE49-F238E27FC236}">
              <a16:creationId xmlns:a16="http://schemas.microsoft.com/office/drawing/2014/main" id="{18615422-DA5E-0A8C-4DF0-2CAEBC20C2CE}"/>
            </a:ext>
          </a:extLst>
        </xdr:cNvPr>
        <xdr:cNvSpPr txBox="1"/>
      </xdr:nvSpPr>
      <xdr:spPr>
        <a:xfrm>
          <a:off x="2910414" y="74083"/>
          <a:ext cx="12033251" cy="79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5000" b="1">
              <a:solidFill>
                <a:srgbClr val="002060"/>
              </a:solidFill>
            </a:rPr>
            <a:t>VANDANA COMPUTER EDUCATION, BHILAI</a:t>
          </a:r>
        </a:p>
      </xdr:txBody>
    </xdr:sp>
    <xdr:clientData/>
  </xdr:twoCellAnchor>
  <xdr:twoCellAnchor editAs="oneCell">
    <xdr:from>
      <xdr:col>0</xdr:col>
      <xdr:colOff>156635</xdr:colOff>
      <xdr:row>0</xdr:row>
      <xdr:rowOff>127000</xdr:rowOff>
    </xdr:from>
    <xdr:to>
      <xdr:col>3</xdr:col>
      <xdr:colOff>84667</xdr:colOff>
      <xdr:row>4</xdr:row>
      <xdr:rowOff>63500</xdr:rowOff>
    </xdr:to>
    <xdr:pic>
      <xdr:nvPicPr>
        <xdr:cNvPr id="28" name="Picture 27">
          <a:hlinkClick xmlns:r="http://schemas.openxmlformats.org/officeDocument/2006/relationships" r:id="rId7"/>
          <a:extLst>
            <a:ext uri="{FF2B5EF4-FFF2-40B4-BE49-F238E27FC236}">
              <a16:creationId xmlns:a16="http://schemas.microsoft.com/office/drawing/2014/main" id="{BE759B3A-2CFD-CCD7-0F90-96107A9ABE3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56635" y="127000"/>
          <a:ext cx="1769532" cy="698500"/>
        </a:xfrm>
        <a:prstGeom prst="rect">
          <a:avLst/>
        </a:prstGeom>
      </xdr:spPr>
    </xdr:pic>
    <xdr:clientData/>
  </xdr:twoCellAnchor>
  <xdr:twoCellAnchor editAs="oneCell">
    <xdr:from>
      <xdr:col>3</xdr:col>
      <xdr:colOff>279401</xdr:colOff>
      <xdr:row>0</xdr:row>
      <xdr:rowOff>99486</xdr:rowOff>
    </xdr:from>
    <xdr:to>
      <xdr:col>4</xdr:col>
      <xdr:colOff>385568</xdr:colOff>
      <xdr:row>4</xdr:row>
      <xdr:rowOff>57486</xdr:rowOff>
    </xdr:to>
    <xdr:pic>
      <xdr:nvPicPr>
        <xdr:cNvPr id="30" name="Picture 29">
          <a:hlinkClick xmlns:r="http://schemas.openxmlformats.org/officeDocument/2006/relationships" r:id="rId9"/>
          <a:extLst>
            <a:ext uri="{FF2B5EF4-FFF2-40B4-BE49-F238E27FC236}">
              <a16:creationId xmlns:a16="http://schemas.microsoft.com/office/drawing/2014/main" id="{C692C33B-B75E-AFB5-942D-D77F433C8CC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120901" y="99486"/>
          <a:ext cx="720000" cy="720000"/>
        </a:xfrm>
        <a:prstGeom prst="rect">
          <a:avLst/>
        </a:prstGeom>
      </xdr:spPr>
    </xdr:pic>
    <xdr:clientData/>
  </xdr:twoCellAnchor>
  <xdr:twoCellAnchor editAs="oneCell">
    <xdr:from>
      <xdr:col>3</xdr:col>
      <xdr:colOff>116415</xdr:colOff>
      <xdr:row>5</xdr:row>
      <xdr:rowOff>52915</xdr:rowOff>
    </xdr:from>
    <xdr:to>
      <xdr:col>4</xdr:col>
      <xdr:colOff>412750</xdr:colOff>
      <xdr:row>10</xdr:row>
      <xdr:rowOff>10583</xdr:rowOff>
    </xdr:to>
    <xdr:pic>
      <xdr:nvPicPr>
        <xdr:cNvPr id="7" name="Graphic 6" descr="Dollar with solid fill">
          <a:extLst>
            <a:ext uri="{FF2B5EF4-FFF2-40B4-BE49-F238E27FC236}">
              <a16:creationId xmlns:a16="http://schemas.microsoft.com/office/drawing/2014/main" id="{F9948F46-18FE-92E3-3D8F-3DA92D9E3591}"/>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957915" y="1005415"/>
          <a:ext cx="910168" cy="910168"/>
        </a:xfrm>
        <a:prstGeom prst="rect">
          <a:avLst/>
        </a:prstGeom>
      </xdr:spPr>
    </xdr:pic>
    <xdr:clientData/>
  </xdr:twoCellAnchor>
  <xdr:twoCellAnchor>
    <xdr:from>
      <xdr:col>4</xdr:col>
      <xdr:colOff>52917</xdr:colOff>
      <xdr:row>5</xdr:row>
      <xdr:rowOff>31750</xdr:rowOff>
    </xdr:from>
    <xdr:to>
      <xdr:col>6</xdr:col>
      <xdr:colOff>275166</xdr:colOff>
      <xdr:row>7</xdr:row>
      <xdr:rowOff>137583</xdr:rowOff>
    </xdr:to>
    <xdr:sp macro="" textlink="">
      <xdr:nvSpPr>
        <xdr:cNvPr id="39" name="TextBox 38">
          <a:extLst>
            <a:ext uri="{FF2B5EF4-FFF2-40B4-BE49-F238E27FC236}">
              <a16:creationId xmlns:a16="http://schemas.microsoft.com/office/drawing/2014/main" id="{6A90F5D9-93E0-7802-810B-84B0819AA56B}"/>
            </a:ext>
          </a:extLst>
        </xdr:cNvPr>
        <xdr:cNvSpPr txBox="1"/>
      </xdr:nvSpPr>
      <xdr:spPr>
        <a:xfrm>
          <a:off x="2508250" y="984250"/>
          <a:ext cx="14499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Revenue</a:t>
          </a:r>
          <a:endParaRPr lang="en-US" sz="2400" b="1">
            <a:solidFill>
              <a:srgbClr val="002060"/>
            </a:solidFill>
          </a:endParaRPr>
        </a:p>
      </xdr:txBody>
    </xdr:sp>
    <xdr:clientData/>
  </xdr:twoCellAnchor>
  <xdr:twoCellAnchor>
    <xdr:from>
      <xdr:col>4</xdr:col>
      <xdr:colOff>78317</xdr:colOff>
      <xdr:row>7</xdr:row>
      <xdr:rowOff>57150</xdr:rowOff>
    </xdr:from>
    <xdr:to>
      <xdr:col>6</xdr:col>
      <xdr:colOff>300566</xdr:colOff>
      <xdr:row>9</xdr:row>
      <xdr:rowOff>162983</xdr:rowOff>
    </xdr:to>
    <xdr:sp macro="" textlink="'Pivot Table'!A10">
      <xdr:nvSpPr>
        <xdr:cNvPr id="40" name="TextBox 39">
          <a:extLst>
            <a:ext uri="{FF2B5EF4-FFF2-40B4-BE49-F238E27FC236}">
              <a16:creationId xmlns:a16="http://schemas.microsoft.com/office/drawing/2014/main" id="{79060B5D-5226-F09C-5EB7-4CF9F4CDB58F}"/>
            </a:ext>
          </a:extLst>
        </xdr:cNvPr>
        <xdr:cNvSpPr txBox="1"/>
      </xdr:nvSpPr>
      <xdr:spPr>
        <a:xfrm>
          <a:off x="2533650" y="1390650"/>
          <a:ext cx="14499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D6E3E58-1CED-4E81-A232-057D2640FD97}" type="TxLink">
            <a:rPr lang="en-US" sz="2400" b="1" i="0" u="none" strike="noStrike">
              <a:solidFill>
                <a:srgbClr val="7030A0"/>
              </a:solidFill>
              <a:latin typeface="Calibri"/>
              <a:cs typeface="Calibri"/>
            </a:rPr>
            <a:pPr algn="ctr"/>
            <a:t>21.9 Lakh</a:t>
          </a:fld>
          <a:endParaRPr lang="en-US" sz="4800" b="1">
            <a:solidFill>
              <a:srgbClr val="7030A0"/>
            </a:solidFill>
          </a:endParaRPr>
        </a:p>
      </xdr:txBody>
    </xdr:sp>
    <xdr:clientData/>
  </xdr:twoCellAnchor>
  <xdr:twoCellAnchor editAs="oneCell">
    <xdr:from>
      <xdr:col>6</xdr:col>
      <xdr:colOff>204266</xdr:colOff>
      <xdr:row>5</xdr:row>
      <xdr:rowOff>37042</xdr:rowOff>
    </xdr:from>
    <xdr:to>
      <xdr:col>7</xdr:col>
      <xdr:colOff>539759</xdr:colOff>
      <xdr:row>10</xdr:row>
      <xdr:rowOff>33868</xdr:rowOff>
    </xdr:to>
    <xdr:pic>
      <xdr:nvPicPr>
        <xdr:cNvPr id="41" name="Graphic 40" descr="User with solid fill">
          <a:extLst>
            <a:ext uri="{FF2B5EF4-FFF2-40B4-BE49-F238E27FC236}">
              <a16:creationId xmlns:a16="http://schemas.microsoft.com/office/drawing/2014/main" id="{67B31AC2-F591-491F-91E0-902A21478F8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3887266" y="989542"/>
          <a:ext cx="949326" cy="949326"/>
        </a:xfrm>
        <a:prstGeom prst="rect">
          <a:avLst/>
        </a:prstGeom>
      </xdr:spPr>
    </xdr:pic>
    <xdr:clientData/>
  </xdr:twoCellAnchor>
  <xdr:twoCellAnchor>
    <xdr:from>
      <xdr:col>7</xdr:col>
      <xdr:colOff>46571</xdr:colOff>
      <xdr:row>5</xdr:row>
      <xdr:rowOff>88899</xdr:rowOff>
    </xdr:from>
    <xdr:to>
      <xdr:col>9</xdr:col>
      <xdr:colOff>508005</xdr:colOff>
      <xdr:row>8</xdr:row>
      <xdr:rowOff>4232</xdr:rowOff>
    </xdr:to>
    <xdr:sp macro="" textlink="">
      <xdr:nvSpPr>
        <xdr:cNvPr id="42" name="TextBox 41">
          <a:extLst>
            <a:ext uri="{FF2B5EF4-FFF2-40B4-BE49-F238E27FC236}">
              <a16:creationId xmlns:a16="http://schemas.microsoft.com/office/drawing/2014/main" id="{8C15532C-4945-925C-1096-9576EB7D7DCF}"/>
            </a:ext>
          </a:extLst>
        </xdr:cNvPr>
        <xdr:cNvSpPr txBox="1"/>
      </xdr:nvSpPr>
      <xdr:spPr>
        <a:xfrm>
          <a:off x="4343404" y="1041399"/>
          <a:ext cx="1689101"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rPr>
            <a:t>Enrollment</a:t>
          </a:r>
          <a:endParaRPr lang="en-US" sz="2400" b="1">
            <a:solidFill>
              <a:srgbClr val="002060"/>
            </a:solidFill>
          </a:endParaRPr>
        </a:p>
      </xdr:txBody>
    </xdr:sp>
    <xdr:clientData/>
  </xdr:twoCellAnchor>
  <xdr:twoCellAnchor>
    <xdr:from>
      <xdr:col>7</xdr:col>
      <xdr:colOff>103720</xdr:colOff>
      <xdr:row>7</xdr:row>
      <xdr:rowOff>71966</xdr:rowOff>
    </xdr:from>
    <xdr:to>
      <xdr:col>9</xdr:col>
      <xdr:colOff>325969</xdr:colOff>
      <xdr:row>9</xdr:row>
      <xdr:rowOff>177799</xdr:rowOff>
    </xdr:to>
    <xdr:sp macro="" textlink="'Pivot Table'!A15">
      <xdr:nvSpPr>
        <xdr:cNvPr id="43" name="TextBox 42">
          <a:extLst>
            <a:ext uri="{FF2B5EF4-FFF2-40B4-BE49-F238E27FC236}">
              <a16:creationId xmlns:a16="http://schemas.microsoft.com/office/drawing/2014/main" id="{14ED3A49-8C95-E2FE-86A4-E2A291E9576E}"/>
            </a:ext>
          </a:extLst>
        </xdr:cNvPr>
        <xdr:cNvSpPr txBox="1"/>
      </xdr:nvSpPr>
      <xdr:spPr>
        <a:xfrm>
          <a:off x="4400553" y="1405466"/>
          <a:ext cx="14499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18ACBE6-BB0D-455F-984D-8DFA7595456E}" type="TxLink">
            <a:rPr lang="en-US" sz="2400" b="1" i="0" u="none" strike="noStrike">
              <a:solidFill>
                <a:srgbClr val="7030A0"/>
              </a:solidFill>
              <a:latin typeface="Calibri"/>
              <a:ea typeface="+mn-ea"/>
              <a:cs typeface="Calibri"/>
            </a:rPr>
            <a:pPr marL="0" indent="0" algn="ctr"/>
            <a:t>375</a:t>
          </a:fld>
          <a:endParaRPr lang="en-US" sz="2400" b="1" i="0" u="none" strike="noStrike">
            <a:solidFill>
              <a:srgbClr val="7030A0"/>
            </a:solidFill>
            <a:latin typeface="Calibri"/>
            <a:ea typeface="+mn-ea"/>
            <a:cs typeface="Calibri"/>
          </a:endParaRPr>
        </a:p>
      </xdr:txBody>
    </xdr:sp>
    <xdr:clientData/>
  </xdr:twoCellAnchor>
  <xdr:twoCellAnchor>
    <xdr:from>
      <xdr:col>9</xdr:col>
      <xdr:colOff>388411</xdr:colOff>
      <xdr:row>5</xdr:row>
      <xdr:rowOff>51860</xdr:rowOff>
    </xdr:from>
    <xdr:to>
      <xdr:col>13</xdr:col>
      <xdr:colOff>21167</xdr:colOff>
      <xdr:row>10</xdr:row>
      <xdr:rowOff>89960</xdr:rowOff>
    </xdr:to>
    <xdr:sp macro="" textlink="">
      <xdr:nvSpPr>
        <xdr:cNvPr id="44" name="Rectangle: Rounded Corners 43">
          <a:extLst>
            <a:ext uri="{FF2B5EF4-FFF2-40B4-BE49-F238E27FC236}">
              <a16:creationId xmlns:a16="http://schemas.microsoft.com/office/drawing/2014/main" id="{9C7E53E1-D4E6-3DD5-B299-C04021B8F7A4}"/>
            </a:ext>
          </a:extLst>
        </xdr:cNvPr>
        <xdr:cNvSpPr/>
      </xdr:nvSpPr>
      <xdr:spPr>
        <a:xfrm>
          <a:off x="5912911" y="1004360"/>
          <a:ext cx="2088089" cy="9906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9</xdr:col>
      <xdr:colOff>388411</xdr:colOff>
      <xdr:row>5</xdr:row>
      <xdr:rowOff>147108</xdr:rowOff>
    </xdr:from>
    <xdr:to>
      <xdr:col>10</xdr:col>
      <xdr:colOff>611720</xdr:colOff>
      <xdr:row>10</xdr:row>
      <xdr:rowOff>31750</xdr:rowOff>
    </xdr:to>
    <xdr:pic>
      <xdr:nvPicPr>
        <xdr:cNvPr id="45" name="Graphic 44" descr="Group success with solid fill">
          <a:extLst>
            <a:ext uri="{FF2B5EF4-FFF2-40B4-BE49-F238E27FC236}">
              <a16:creationId xmlns:a16="http://schemas.microsoft.com/office/drawing/2014/main" id="{1B475C58-60D9-4E76-9D4E-EBC71DED1AF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5912911" y="1099608"/>
          <a:ext cx="837142" cy="837142"/>
        </a:xfrm>
        <a:prstGeom prst="rect">
          <a:avLst/>
        </a:prstGeom>
      </xdr:spPr>
    </xdr:pic>
    <xdr:clientData/>
  </xdr:twoCellAnchor>
  <xdr:twoCellAnchor>
    <xdr:from>
      <xdr:col>10</xdr:col>
      <xdr:colOff>368304</xdr:colOff>
      <xdr:row>5</xdr:row>
      <xdr:rowOff>82548</xdr:rowOff>
    </xdr:from>
    <xdr:to>
      <xdr:col>13</xdr:col>
      <xdr:colOff>215905</xdr:colOff>
      <xdr:row>7</xdr:row>
      <xdr:rowOff>188381</xdr:rowOff>
    </xdr:to>
    <xdr:sp macro="" textlink="">
      <xdr:nvSpPr>
        <xdr:cNvPr id="46" name="TextBox 45">
          <a:extLst>
            <a:ext uri="{FF2B5EF4-FFF2-40B4-BE49-F238E27FC236}">
              <a16:creationId xmlns:a16="http://schemas.microsoft.com/office/drawing/2014/main" id="{BAE964CE-C79C-3775-F64E-B410252E0215}"/>
            </a:ext>
          </a:extLst>
        </xdr:cNvPr>
        <xdr:cNvSpPr txBox="1"/>
      </xdr:nvSpPr>
      <xdr:spPr>
        <a:xfrm>
          <a:off x="6506637" y="1035048"/>
          <a:ext cx="1689101"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latin typeface="+mn-lt"/>
              <a:ea typeface="+mn-ea"/>
              <a:cs typeface="+mn-cs"/>
            </a:rPr>
            <a:t>Completion</a:t>
          </a:r>
          <a:endParaRPr lang="en-US" sz="2400" b="1">
            <a:solidFill>
              <a:srgbClr val="002060"/>
            </a:solidFill>
            <a:latin typeface="+mn-lt"/>
            <a:ea typeface="+mn-ea"/>
            <a:cs typeface="+mn-cs"/>
          </a:endParaRPr>
        </a:p>
      </xdr:txBody>
    </xdr:sp>
    <xdr:clientData/>
  </xdr:twoCellAnchor>
  <xdr:twoCellAnchor>
    <xdr:from>
      <xdr:col>10</xdr:col>
      <xdr:colOff>309033</xdr:colOff>
      <xdr:row>7</xdr:row>
      <xdr:rowOff>23285</xdr:rowOff>
    </xdr:from>
    <xdr:to>
      <xdr:col>12</xdr:col>
      <xdr:colOff>531282</xdr:colOff>
      <xdr:row>9</xdr:row>
      <xdr:rowOff>129118</xdr:rowOff>
    </xdr:to>
    <xdr:sp macro="" textlink="'Pivot Table'!X7">
      <xdr:nvSpPr>
        <xdr:cNvPr id="47" name="TextBox 46">
          <a:extLst>
            <a:ext uri="{FF2B5EF4-FFF2-40B4-BE49-F238E27FC236}">
              <a16:creationId xmlns:a16="http://schemas.microsoft.com/office/drawing/2014/main" id="{7CADAE8F-5995-DB64-CEEA-CCA5FED792F0}"/>
            </a:ext>
          </a:extLst>
        </xdr:cNvPr>
        <xdr:cNvSpPr txBox="1"/>
      </xdr:nvSpPr>
      <xdr:spPr>
        <a:xfrm>
          <a:off x="6447366" y="1356785"/>
          <a:ext cx="14499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26F26E-4DCD-4106-B55E-84EA739DF347}" type="TxLink">
            <a:rPr lang="en-US" sz="2400" b="1" i="0" u="none" strike="noStrike">
              <a:solidFill>
                <a:srgbClr val="7030A0"/>
              </a:solidFill>
              <a:latin typeface="Calibri"/>
              <a:ea typeface="+mn-ea"/>
              <a:cs typeface="Calibri"/>
            </a:rPr>
            <a:pPr marL="0" indent="0" algn="ctr"/>
            <a:t>362</a:t>
          </a:fld>
          <a:endParaRPr lang="en-US" sz="2400" b="1" i="0" u="none" strike="noStrike">
            <a:solidFill>
              <a:srgbClr val="7030A0"/>
            </a:solidFill>
            <a:latin typeface="Calibri"/>
            <a:ea typeface="+mn-ea"/>
            <a:cs typeface="Calibri"/>
          </a:endParaRPr>
        </a:p>
      </xdr:txBody>
    </xdr:sp>
    <xdr:clientData/>
  </xdr:twoCellAnchor>
  <xdr:twoCellAnchor>
    <xdr:from>
      <xdr:col>13</xdr:col>
      <xdr:colOff>96315</xdr:colOff>
      <xdr:row>5</xdr:row>
      <xdr:rowOff>56092</xdr:rowOff>
    </xdr:from>
    <xdr:to>
      <xdr:col>16</xdr:col>
      <xdr:colOff>550334</xdr:colOff>
      <xdr:row>10</xdr:row>
      <xdr:rowOff>94192</xdr:rowOff>
    </xdr:to>
    <xdr:sp macro="" textlink="">
      <xdr:nvSpPr>
        <xdr:cNvPr id="50" name="Rectangle: Rounded Corners 49">
          <a:extLst>
            <a:ext uri="{FF2B5EF4-FFF2-40B4-BE49-F238E27FC236}">
              <a16:creationId xmlns:a16="http://schemas.microsoft.com/office/drawing/2014/main" id="{AF6B240D-05BF-5955-1963-65F75F3F27B5}"/>
            </a:ext>
          </a:extLst>
        </xdr:cNvPr>
        <xdr:cNvSpPr/>
      </xdr:nvSpPr>
      <xdr:spPr>
        <a:xfrm>
          <a:off x="8076148" y="1008592"/>
          <a:ext cx="2295519" cy="9906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13</xdr:col>
      <xdr:colOff>84669</xdr:colOff>
      <xdr:row>5</xdr:row>
      <xdr:rowOff>84666</xdr:rowOff>
    </xdr:from>
    <xdr:to>
      <xdr:col>14</xdr:col>
      <xdr:colOff>385235</xdr:colOff>
      <xdr:row>10</xdr:row>
      <xdr:rowOff>46566</xdr:rowOff>
    </xdr:to>
    <xdr:pic>
      <xdr:nvPicPr>
        <xdr:cNvPr id="49" name="Graphic 48" descr="Group with solid fill">
          <a:extLst>
            <a:ext uri="{FF2B5EF4-FFF2-40B4-BE49-F238E27FC236}">
              <a16:creationId xmlns:a16="http://schemas.microsoft.com/office/drawing/2014/main" id="{8AF34358-7A0E-40AB-A688-1DE133E2A15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064502" y="1037166"/>
          <a:ext cx="914400" cy="914400"/>
        </a:xfrm>
        <a:prstGeom prst="rect">
          <a:avLst/>
        </a:prstGeom>
      </xdr:spPr>
    </xdr:pic>
    <xdr:clientData/>
  </xdr:twoCellAnchor>
  <xdr:twoCellAnchor>
    <xdr:from>
      <xdr:col>14</xdr:col>
      <xdr:colOff>171446</xdr:colOff>
      <xdr:row>5</xdr:row>
      <xdr:rowOff>86782</xdr:rowOff>
    </xdr:from>
    <xdr:to>
      <xdr:col>17</xdr:col>
      <xdr:colOff>19047</xdr:colOff>
      <xdr:row>8</xdr:row>
      <xdr:rowOff>2115</xdr:rowOff>
    </xdr:to>
    <xdr:sp macro="" textlink="">
      <xdr:nvSpPr>
        <xdr:cNvPr id="51" name="TextBox 50">
          <a:extLst>
            <a:ext uri="{FF2B5EF4-FFF2-40B4-BE49-F238E27FC236}">
              <a16:creationId xmlns:a16="http://schemas.microsoft.com/office/drawing/2014/main" id="{2595A6FB-6029-1E64-696F-938E69D69A1C}"/>
            </a:ext>
          </a:extLst>
        </xdr:cNvPr>
        <xdr:cNvSpPr txBox="1"/>
      </xdr:nvSpPr>
      <xdr:spPr>
        <a:xfrm>
          <a:off x="8765113" y="1039282"/>
          <a:ext cx="1689101"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latin typeface="+mn-lt"/>
              <a:ea typeface="+mn-ea"/>
              <a:cs typeface="+mn-cs"/>
            </a:rPr>
            <a:t>Discontinued</a:t>
          </a:r>
          <a:endParaRPr lang="en-US" sz="2400" b="1">
            <a:solidFill>
              <a:srgbClr val="002060"/>
            </a:solidFill>
            <a:latin typeface="+mn-lt"/>
            <a:ea typeface="+mn-ea"/>
            <a:cs typeface="+mn-cs"/>
          </a:endParaRPr>
        </a:p>
      </xdr:txBody>
    </xdr:sp>
    <xdr:clientData/>
  </xdr:twoCellAnchor>
  <xdr:twoCellAnchor>
    <xdr:from>
      <xdr:col>14</xdr:col>
      <xdr:colOff>323854</xdr:colOff>
      <xdr:row>7</xdr:row>
      <xdr:rowOff>48685</xdr:rowOff>
    </xdr:from>
    <xdr:to>
      <xdr:col>16</xdr:col>
      <xdr:colOff>546104</xdr:colOff>
      <xdr:row>9</xdr:row>
      <xdr:rowOff>154518</xdr:rowOff>
    </xdr:to>
    <xdr:sp macro="" textlink="'Pivot Table'!X8">
      <xdr:nvSpPr>
        <xdr:cNvPr id="52" name="TextBox 51">
          <a:extLst>
            <a:ext uri="{FF2B5EF4-FFF2-40B4-BE49-F238E27FC236}">
              <a16:creationId xmlns:a16="http://schemas.microsoft.com/office/drawing/2014/main" id="{5C7778E0-32CF-A62D-52CB-28263B83FE80}"/>
            </a:ext>
          </a:extLst>
        </xdr:cNvPr>
        <xdr:cNvSpPr txBox="1"/>
      </xdr:nvSpPr>
      <xdr:spPr>
        <a:xfrm>
          <a:off x="8917521" y="1382185"/>
          <a:ext cx="14499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9703F30-E213-495A-9177-3A35DDEF85AD}" type="TxLink">
            <a:rPr lang="en-US" sz="2400" b="1" i="0" u="none" strike="noStrike">
              <a:solidFill>
                <a:srgbClr val="7030A0"/>
              </a:solidFill>
              <a:latin typeface="Calibri"/>
              <a:ea typeface="+mn-ea"/>
              <a:cs typeface="Calibri"/>
            </a:rPr>
            <a:pPr marL="0" indent="0" algn="ctr"/>
            <a:t>6</a:t>
          </a:fld>
          <a:endParaRPr lang="en-US" sz="2400" b="1" i="0" u="none" strike="noStrike">
            <a:solidFill>
              <a:srgbClr val="7030A0"/>
            </a:solidFill>
            <a:latin typeface="Calibri"/>
            <a:ea typeface="+mn-ea"/>
            <a:cs typeface="Calibri"/>
          </a:endParaRPr>
        </a:p>
      </xdr:txBody>
    </xdr:sp>
    <xdr:clientData/>
  </xdr:twoCellAnchor>
  <xdr:twoCellAnchor>
    <xdr:from>
      <xdr:col>17</xdr:col>
      <xdr:colOff>26465</xdr:colOff>
      <xdr:row>5</xdr:row>
      <xdr:rowOff>49742</xdr:rowOff>
    </xdr:from>
    <xdr:to>
      <xdr:col>20</xdr:col>
      <xdr:colOff>127000</xdr:colOff>
      <xdr:row>10</xdr:row>
      <xdr:rowOff>87842</xdr:rowOff>
    </xdr:to>
    <xdr:sp macro="" textlink="">
      <xdr:nvSpPr>
        <xdr:cNvPr id="53" name="Rectangle: Rounded Corners 52">
          <a:extLst>
            <a:ext uri="{FF2B5EF4-FFF2-40B4-BE49-F238E27FC236}">
              <a16:creationId xmlns:a16="http://schemas.microsoft.com/office/drawing/2014/main" id="{2C98A82F-89BC-1532-BB5B-2D9D49A2061C}"/>
            </a:ext>
          </a:extLst>
        </xdr:cNvPr>
        <xdr:cNvSpPr/>
      </xdr:nvSpPr>
      <xdr:spPr>
        <a:xfrm>
          <a:off x="10461632" y="1002242"/>
          <a:ext cx="1942035" cy="9906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17</xdr:col>
      <xdr:colOff>26462</xdr:colOff>
      <xdr:row>5</xdr:row>
      <xdr:rowOff>134409</xdr:rowOff>
    </xdr:from>
    <xdr:to>
      <xdr:col>18</xdr:col>
      <xdr:colOff>327029</xdr:colOff>
      <xdr:row>10</xdr:row>
      <xdr:rowOff>96309</xdr:rowOff>
    </xdr:to>
    <xdr:pic>
      <xdr:nvPicPr>
        <xdr:cNvPr id="54" name="Graphic 53" descr="Users with solid fill">
          <a:extLst>
            <a:ext uri="{FF2B5EF4-FFF2-40B4-BE49-F238E27FC236}">
              <a16:creationId xmlns:a16="http://schemas.microsoft.com/office/drawing/2014/main" id="{3CAAA75D-6DFA-4ADB-927A-F4375A4FB2B3}"/>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461629" y="1086909"/>
          <a:ext cx="914400" cy="914400"/>
        </a:xfrm>
        <a:prstGeom prst="rect">
          <a:avLst/>
        </a:prstGeom>
      </xdr:spPr>
    </xdr:pic>
    <xdr:clientData/>
  </xdr:twoCellAnchor>
  <xdr:twoCellAnchor>
    <xdr:from>
      <xdr:col>17</xdr:col>
      <xdr:colOff>493183</xdr:colOff>
      <xdr:row>5</xdr:row>
      <xdr:rowOff>69849</xdr:rowOff>
    </xdr:from>
    <xdr:to>
      <xdr:col>20</xdr:col>
      <xdr:colOff>340784</xdr:colOff>
      <xdr:row>7</xdr:row>
      <xdr:rowOff>175682</xdr:rowOff>
    </xdr:to>
    <xdr:sp macro="" textlink="">
      <xdr:nvSpPr>
        <xdr:cNvPr id="55" name="TextBox 54">
          <a:extLst>
            <a:ext uri="{FF2B5EF4-FFF2-40B4-BE49-F238E27FC236}">
              <a16:creationId xmlns:a16="http://schemas.microsoft.com/office/drawing/2014/main" id="{53AEBF3C-8DDD-0D1C-44CA-9CC63D6FF627}"/>
            </a:ext>
          </a:extLst>
        </xdr:cNvPr>
        <xdr:cNvSpPr txBox="1"/>
      </xdr:nvSpPr>
      <xdr:spPr>
        <a:xfrm>
          <a:off x="10928350" y="1022349"/>
          <a:ext cx="1689101"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latin typeface="+mn-lt"/>
              <a:ea typeface="+mn-ea"/>
              <a:cs typeface="+mn-cs"/>
            </a:rPr>
            <a:t>Ongoing</a:t>
          </a:r>
          <a:endParaRPr lang="en-US" sz="2400" b="1">
            <a:solidFill>
              <a:srgbClr val="002060"/>
            </a:solidFill>
            <a:latin typeface="+mn-lt"/>
            <a:ea typeface="+mn-ea"/>
            <a:cs typeface="+mn-cs"/>
          </a:endParaRPr>
        </a:p>
      </xdr:txBody>
    </xdr:sp>
    <xdr:clientData/>
  </xdr:twoCellAnchor>
  <xdr:twoCellAnchor>
    <xdr:from>
      <xdr:col>17</xdr:col>
      <xdr:colOff>582087</xdr:colOff>
      <xdr:row>7</xdr:row>
      <xdr:rowOff>42335</xdr:rowOff>
    </xdr:from>
    <xdr:to>
      <xdr:col>20</xdr:col>
      <xdr:colOff>190503</xdr:colOff>
      <xdr:row>9</xdr:row>
      <xdr:rowOff>148168</xdr:rowOff>
    </xdr:to>
    <xdr:sp macro="" textlink="'Pivot Table'!X9">
      <xdr:nvSpPr>
        <xdr:cNvPr id="56" name="TextBox 55">
          <a:extLst>
            <a:ext uri="{FF2B5EF4-FFF2-40B4-BE49-F238E27FC236}">
              <a16:creationId xmlns:a16="http://schemas.microsoft.com/office/drawing/2014/main" id="{6F00D7BD-F935-B51E-1FDB-2CCB9E635270}"/>
            </a:ext>
          </a:extLst>
        </xdr:cNvPr>
        <xdr:cNvSpPr txBox="1"/>
      </xdr:nvSpPr>
      <xdr:spPr>
        <a:xfrm>
          <a:off x="11017254" y="1375835"/>
          <a:ext cx="14499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2E88D00-9E81-4AD5-80A5-C99ED88D8D1C}" type="TxLink">
            <a:rPr lang="en-US" sz="2400" b="1" i="0" u="none" strike="noStrike">
              <a:solidFill>
                <a:srgbClr val="7030A0"/>
              </a:solidFill>
              <a:latin typeface="Calibri"/>
              <a:ea typeface="+mn-ea"/>
              <a:cs typeface="Calibri"/>
            </a:rPr>
            <a:pPr marL="0" indent="0" algn="ctr"/>
            <a:t>7</a:t>
          </a:fld>
          <a:endParaRPr lang="en-US" sz="2400" b="1" i="0" u="none" strike="noStrike">
            <a:solidFill>
              <a:srgbClr val="7030A0"/>
            </a:solidFill>
            <a:latin typeface="Calibri"/>
            <a:ea typeface="+mn-ea"/>
            <a:cs typeface="Calibri"/>
          </a:endParaRPr>
        </a:p>
      </xdr:txBody>
    </xdr:sp>
    <xdr:clientData/>
  </xdr:twoCellAnchor>
  <xdr:twoCellAnchor>
    <xdr:from>
      <xdr:col>20</xdr:col>
      <xdr:colOff>221199</xdr:colOff>
      <xdr:row>5</xdr:row>
      <xdr:rowOff>53975</xdr:rowOff>
    </xdr:from>
    <xdr:to>
      <xdr:col>24</xdr:col>
      <xdr:colOff>137583</xdr:colOff>
      <xdr:row>10</xdr:row>
      <xdr:rowOff>92075</xdr:rowOff>
    </xdr:to>
    <xdr:sp macro="" textlink="">
      <xdr:nvSpPr>
        <xdr:cNvPr id="57" name="Rectangle: Rounded Corners 56">
          <a:extLst>
            <a:ext uri="{FF2B5EF4-FFF2-40B4-BE49-F238E27FC236}">
              <a16:creationId xmlns:a16="http://schemas.microsoft.com/office/drawing/2014/main" id="{2868E0A7-4ADF-BF0E-4D3E-DDB66C6F712C}"/>
            </a:ext>
          </a:extLst>
        </xdr:cNvPr>
        <xdr:cNvSpPr/>
      </xdr:nvSpPr>
      <xdr:spPr>
        <a:xfrm>
          <a:off x="12497866" y="1006475"/>
          <a:ext cx="2371717" cy="990600"/>
        </a:xfrm>
        <a:prstGeom prst="roundRect">
          <a:avLst/>
        </a:prstGeom>
        <a:ln w="28575">
          <a:solidFill>
            <a:srgbClr val="002060"/>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190500</xdr:colOff>
      <xdr:row>5</xdr:row>
      <xdr:rowOff>42333</xdr:rowOff>
    </xdr:from>
    <xdr:to>
      <xdr:col>24</xdr:col>
      <xdr:colOff>137583</xdr:colOff>
      <xdr:row>7</xdr:row>
      <xdr:rowOff>148166</xdr:rowOff>
    </xdr:to>
    <xdr:sp macro="" textlink="">
      <xdr:nvSpPr>
        <xdr:cNvPr id="59" name="TextBox 58">
          <a:extLst>
            <a:ext uri="{FF2B5EF4-FFF2-40B4-BE49-F238E27FC236}">
              <a16:creationId xmlns:a16="http://schemas.microsoft.com/office/drawing/2014/main" id="{A339423E-0D24-AF77-59C3-571CC68EC936}"/>
            </a:ext>
          </a:extLst>
        </xdr:cNvPr>
        <xdr:cNvSpPr txBox="1"/>
      </xdr:nvSpPr>
      <xdr:spPr>
        <a:xfrm>
          <a:off x="12467167" y="994833"/>
          <a:ext cx="24024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rgbClr val="002060"/>
              </a:solidFill>
              <a:latin typeface="+mn-lt"/>
              <a:ea typeface="+mn-ea"/>
              <a:cs typeface="+mn-cs"/>
            </a:rPr>
            <a:t>% Completion Rate</a:t>
          </a:r>
          <a:endParaRPr lang="en-US" sz="2400" b="1">
            <a:solidFill>
              <a:srgbClr val="002060"/>
            </a:solidFill>
            <a:latin typeface="+mn-lt"/>
            <a:ea typeface="+mn-ea"/>
            <a:cs typeface="+mn-cs"/>
          </a:endParaRPr>
        </a:p>
      </xdr:txBody>
    </xdr:sp>
    <xdr:clientData/>
  </xdr:twoCellAnchor>
  <xdr:twoCellAnchor>
    <xdr:from>
      <xdr:col>21</xdr:col>
      <xdr:colOff>406404</xdr:colOff>
      <xdr:row>7</xdr:row>
      <xdr:rowOff>46568</xdr:rowOff>
    </xdr:from>
    <xdr:to>
      <xdr:col>24</xdr:col>
      <xdr:colOff>14820</xdr:colOff>
      <xdr:row>9</xdr:row>
      <xdr:rowOff>152401</xdr:rowOff>
    </xdr:to>
    <xdr:sp macro="" textlink="'Pivot Table'!X13">
      <xdr:nvSpPr>
        <xdr:cNvPr id="60" name="TextBox 59">
          <a:extLst>
            <a:ext uri="{FF2B5EF4-FFF2-40B4-BE49-F238E27FC236}">
              <a16:creationId xmlns:a16="http://schemas.microsoft.com/office/drawing/2014/main" id="{50AA3C8F-B545-31CA-E1FA-ED6D7A260576}"/>
            </a:ext>
          </a:extLst>
        </xdr:cNvPr>
        <xdr:cNvSpPr txBox="1"/>
      </xdr:nvSpPr>
      <xdr:spPr>
        <a:xfrm>
          <a:off x="13296904" y="1380068"/>
          <a:ext cx="1449916" cy="4868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229844A-CA07-460C-876F-59D0326DDF98}" type="TxLink">
            <a:rPr lang="en-US" sz="2400" b="1" i="0" u="none" strike="noStrike">
              <a:solidFill>
                <a:srgbClr val="7030A0"/>
              </a:solidFill>
              <a:latin typeface="Calibri"/>
              <a:ea typeface="+mn-ea"/>
              <a:cs typeface="Calibri"/>
            </a:rPr>
            <a:pPr marL="0" indent="0" algn="ctr"/>
            <a:t>96.53%</a:t>
          </a:fld>
          <a:endParaRPr lang="en-US" sz="2400" b="1" i="0" u="none" strike="noStrike">
            <a:solidFill>
              <a:srgbClr val="7030A0"/>
            </a:solidFill>
            <a:latin typeface="Calibri"/>
            <a:ea typeface="+mn-ea"/>
            <a:cs typeface="Calibri"/>
          </a:endParaRPr>
        </a:p>
      </xdr:txBody>
    </xdr:sp>
    <xdr:clientData/>
  </xdr:twoCellAnchor>
  <xdr:twoCellAnchor editAs="oneCell">
    <xdr:from>
      <xdr:col>20</xdr:col>
      <xdr:colOff>290399</xdr:colOff>
      <xdr:row>6</xdr:row>
      <xdr:rowOff>142232</xdr:rowOff>
    </xdr:from>
    <xdr:to>
      <xdr:col>21</xdr:col>
      <xdr:colOff>381000</xdr:colOff>
      <xdr:row>10</xdr:row>
      <xdr:rowOff>84666</xdr:rowOff>
    </xdr:to>
    <xdr:pic>
      <xdr:nvPicPr>
        <xdr:cNvPr id="68" name="Graphic 67" descr="Ribbon with solid fill">
          <a:extLst>
            <a:ext uri="{FF2B5EF4-FFF2-40B4-BE49-F238E27FC236}">
              <a16:creationId xmlns:a16="http://schemas.microsoft.com/office/drawing/2014/main" id="{642CC3A8-F116-F871-9E1A-86CB156458E2}"/>
            </a:ext>
          </a:extLst>
        </xdr:cNvPr>
        <xdr:cNvPicPr>
          <a:picLocks noChangeAspect="1"/>
        </xdr:cNvPicPr>
      </xdr:nvPicPr>
      <xdr:blipFill>
        <a:blip xmlns:r="http://schemas.openxmlformats.org/officeDocument/2006/relationships" r:embed="rId21">
          <a:extLst>
            <a:ext uri="{96DAC541-7B7A-43D3-8B79-37D633B846F1}">
              <asvg:svgBlip xmlns:asvg="http://schemas.microsoft.com/office/drawing/2016/SVG/main" r:embed="rId22"/>
            </a:ext>
          </a:extLst>
        </a:blip>
        <a:stretch>
          <a:fillRect/>
        </a:stretch>
      </xdr:blipFill>
      <xdr:spPr>
        <a:xfrm>
          <a:off x="12567066" y="1285232"/>
          <a:ext cx="704434" cy="70443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11.884690856481" createdVersion="8" refreshedVersion="8" minRefreshableVersion="3" recordCount="375" xr:uid="{87976D41-805E-4CA9-89EF-ADCAC997EDF4}">
  <cacheSource type="worksheet">
    <worksheetSource name="tbl_mainsheet"/>
  </cacheSource>
  <cacheFields count="57">
    <cacheField name="S. No" numFmtId="0">
      <sharedItems containsSemiMixedTypes="0" containsString="0" containsNumber="1" containsInteger="1" minValue="1" maxValue="375"/>
    </cacheField>
    <cacheField name="Form No." numFmtId="0">
      <sharedItems containsSemiMixedTypes="0" containsString="0" containsNumber="1" containsInteger="1" minValue="1" maxValue="375"/>
    </cacheField>
    <cacheField name="User ID" numFmtId="0">
      <sharedItems/>
    </cacheField>
    <cacheField name="Password" numFmtId="0">
      <sharedItems/>
    </cacheField>
    <cacheField name="Student Roll No." numFmtId="0">
      <sharedItems/>
    </cacheField>
    <cacheField name="DATE OF ADMISSION" numFmtId="14">
      <sharedItems containsSemiMixedTypes="0" containsNonDate="0" containsDate="1" containsString="0" minDate="2024-01-04T00:00:00" maxDate="2025-12-28T00:00:00" count="279">
        <d v="2024-01-04T00:00:00"/>
        <d v="2024-01-05T00:00:00"/>
        <d v="2024-01-06T00:00:00"/>
        <d v="2024-01-07T00:00:00"/>
        <d v="2024-01-08T00:00:00"/>
        <d v="2024-01-10T00:00:00"/>
        <d v="2024-01-11T00:00:00"/>
        <d v="2024-01-13T00:00:00"/>
        <d v="2024-01-14T00:00:00"/>
        <d v="2024-01-15T00:00:00"/>
        <d v="2024-01-16T00:00:00"/>
        <d v="2024-01-17T00:00:00"/>
        <d v="2024-01-18T00:00:00"/>
        <d v="2024-01-19T00:00:00"/>
        <d v="2024-01-21T00:00:00"/>
        <d v="2024-01-22T00:00:00"/>
        <d v="2024-01-24T00:00:00"/>
        <d v="2024-01-26T00:00:00"/>
        <d v="2024-02-01T00:00:00"/>
        <d v="2024-02-02T00:00:00"/>
        <d v="2024-02-05T00:00:00"/>
        <d v="2024-02-06T00:00:00"/>
        <d v="2024-02-07T00:00:00"/>
        <d v="2024-02-08T00:00:00"/>
        <d v="2024-02-13T00:00:00"/>
        <d v="2024-02-17T00:00:00"/>
        <d v="2024-02-19T00:00:00"/>
        <d v="2024-02-21T00:00:00"/>
        <d v="2024-02-24T00:00:00"/>
        <d v="2024-02-25T00:00:00"/>
        <d v="2024-02-27T00:00:00"/>
        <d v="2024-02-28T00:00:00"/>
        <d v="2024-03-01T00:00:00"/>
        <d v="2024-03-02T00:00:00"/>
        <d v="2024-03-03T00:00:00"/>
        <d v="2024-03-05T00:00:00"/>
        <d v="2024-03-08T00:00:00"/>
        <d v="2024-03-14T00:00:00"/>
        <d v="2024-03-19T00:00:00"/>
        <d v="2024-03-21T00:00:00"/>
        <d v="2024-03-22T00:00:00"/>
        <d v="2024-03-24T00:00:00"/>
        <d v="2024-03-28T00:00:00"/>
        <d v="2024-04-01T00:00:00"/>
        <d v="2024-04-02T00:00:00"/>
        <d v="2024-04-06T00:00:00"/>
        <d v="2024-04-07T00:00:00"/>
        <d v="2024-04-08T00:00:00"/>
        <d v="2024-04-10T00:00:00"/>
        <d v="2024-04-11T00:00:00"/>
        <d v="2024-04-12T00:00:00"/>
        <d v="2024-04-13T00:00:00"/>
        <d v="2024-04-14T00:00:00"/>
        <d v="2024-04-18T00:00:00"/>
        <d v="2024-04-19T00:00:00"/>
        <d v="2024-04-22T00:00:00"/>
        <d v="2024-04-23T00:00:00"/>
        <d v="2024-04-25T00:00:00"/>
        <d v="2024-04-26T00:00:00"/>
        <d v="2024-04-27T00:00:00"/>
        <d v="2024-04-28T00:00:00"/>
        <d v="2024-05-01T00:00:00"/>
        <d v="2024-05-05T00:00:00"/>
        <d v="2024-05-06T00:00:00"/>
        <d v="2024-05-08T00:00:00"/>
        <d v="2024-05-09T00:00:00"/>
        <d v="2024-05-10T00:00:00"/>
        <d v="2024-05-11T00:00:00"/>
        <d v="2024-05-18T00:00:00"/>
        <d v="2024-05-22T00:00:00"/>
        <d v="2024-05-23T00:00:00"/>
        <d v="2024-05-27T00:00:00"/>
        <d v="2024-06-05T00:00:00"/>
        <d v="2024-06-09T00:00:00"/>
        <d v="2024-06-12T00:00:00"/>
        <d v="2024-06-14T00:00:00"/>
        <d v="2024-06-15T00:00:00"/>
        <d v="2024-06-16T00:00:00"/>
        <d v="2024-06-18T00:00:00"/>
        <d v="2024-06-19T00:00:00"/>
        <d v="2024-06-20T00:00:00"/>
        <d v="2024-06-21T00:00:00"/>
        <d v="2024-06-22T00:00:00"/>
        <d v="2024-06-23T00:00:00"/>
        <d v="2024-06-24T00:00:00"/>
        <d v="2024-06-25T00:00:00"/>
        <d v="2024-06-27T00:00:00"/>
        <d v="2024-06-28T00:00:00"/>
        <d v="2024-07-02T00:00:00"/>
        <d v="2024-07-03T00:00:00"/>
        <d v="2024-07-04T00:00:00"/>
        <d v="2024-07-10T00:00:00"/>
        <d v="2024-07-13T00:00:00"/>
        <d v="2024-07-17T00:00:00"/>
        <d v="2024-07-19T00:00:00"/>
        <d v="2024-07-23T00:00:00"/>
        <d v="2024-07-24T00:00:00"/>
        <d v="2024-07-25T00:00:00"/>
        <d v="2024-07-26T00:00:00"/>
        <d v="2024-08-01T00:00:00"/>
        <d v="2024-08-04T00:00:00"/>
        <d v="2024-08-05T00:00:00"/>
        <d v="2024-08-07T00:00:00"/>
        <d v="2024-08-11T00:00:00"/>
        <d v="2024-08-13T00:00:00"/>
        <d v="2024-08-15T00:00:00"/>
        <d v="2024-08-17T00:00:00"/>
        <d v="2024-08-25T00:00:00"/>
        <d v="2024-08-27T00:00:00"/>
        <d v="2024-08-28T00:00:00"/>
        <d v="2024-09-06T00:00:00"/>
        <d v="2024-09-07T00:00:00"/>
        <d v="2024-09-08T00:00:00"/>
        <d v="2024-09-09T00:00:00"/>
        <d v="2024-09-11T00:00:00"/>
        <d v="2024-09-12T00:00:00"/>
        <d v="2024-09-14T00:00:00"/>
        <d v="2024-09-21T00:00:00"/>
        <d v="2024-09-22T00:00:00"/>
        <d v="2024-09-25T00:00:00"/>
        <d v="2024-10-04T00:00:00"/>
        <d v="2024-10-06T00:00:00"/>
        <d v="2024-10-07T00:00:00"/>
        <d v="2024-10-08T00:00:00"/>
        <d v="2024-10-09T00:00:00"/>
        <d v="2024-10-10T00:00:00"/>
        <d v="2024-10-14T00:00:00"/>
        <d v="2024-10-15T00:00:00"/>
        <d v="2024-10-16T00:00:00"/>
        <d v="2024-10-17T00:00:00"/>
        <d v="2024-10-19T00:00:00"/>
        <d v="2024-10-21T00:00:00"/>
        <d v="2024-10-22T00:00:00"/>
        <d v="2024-10-25T00:00:00"/>
        <d v="2024-10-26T00:00:00"/>
        <d v="2024-10-27T00:00:00"/>
        <d v="2024-10-28T00:00:00"/>
        <d v="2024-11-02T00:00:00"/>
        <d v="2024-11-03T00:00:00"/>
        <d v="2024-11-05T00:00:00"/>
        <d v="2024-11-07T00:00:00"/>
        <d v="2024-11-08T00:00:00"/>
        <d v="2024-11-10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2-03T00:00:00"/>
        <d v="2024-12-04T00:00:00"/>
        <d v="2024-12-05T00:00:00"/>
        <d v="2024-12-09T00:00:00"/>
        <d v="2024-12-10T00:00:00"/>
        <d v="2024-12-11T00:00:00"/>
        <d v="2024-12-12T00:00:00"/>
        <d v="2024-12-14T00:00:00"/>
        <d v="2024-12-18T00:00:00"/>
        <d v="2024-12-20T00:00:00"/>
        <d v="2024-12-22T00:00:00"/>
        <d v="2024-12-24T00:00:00"/>
        <d v="2024-12-27T00:00:00"/>
        <d v="2025-01-02T00:00:00"/>
        <d v="2025-01-05T00:00:00"/>
        <d v="2025-01-08T00:00:00"/>
        <d v="2025-01-11T00:00:00"/>
        <d v="2025-01-13T00:00:00"/>
        <d v="2025-01-15T00:00:00"/>
        <d v="2025-01-17T00:00:00"/>
        <d v="2025-01-27T00:00:00"/>
        <d v="2025-02-04T00:00:00"/>
        <d v="2025-02-05T00:00:00"/>
        <d v="2025-02-09T00:00:00"/>
        <d v="2025-02-10T00:00:00"/>
        <d v="2025-02-12T00:00:00"/>
        <d v="2025-02-20T00:00:00"/>
        <d v="2025-02-21T00:00:00"/>
        <d v="2025-03-01T00:00:00"/>
        <d v="2025-03-02T00:00:00"/>
        <d v="2025-03-08T00:00:00"/>
        <d v="2025-03-11T00:00:00"/>
        <d v="2025-03-12T00:00:00"/>
        <d v="2025-03-13T00:00:00"/>
        <d v="2025-03-14T00:00:00"/>
        <d v="2025-03-25T00:00:00"/>
        <d v="2025-03-28T00:00:00"/>
        <d v="2025-04-02T00:00:00"/>
        <d v="2025-04-03T00:00:00"/>
        <d v="2025-04-05T00:00:00"/>
        <d v="2025-04-08T00:00:00"/>
        <d v="2025-04-09T00:00:00"/>
        <d v="2025-04-15T00:00:00"/>
        <d v="2025-04-17T00:00:00"/>
        <d v="2025-04-19T00:00:00"/>
        <d v="2025-04-22T00:00:00"/>
        <d v="2025-05-02T00:00:00"/>
        <d v="2025-05-03T00:00:00"/>
        <d v="2025-05-05T00:00:00"/>
        <d v="2025-05-08T00:00:00"/>
        <d v="2025-05-10T00:00:00"/>
        <d v="2025-05-11T00:00:00"/>
        <d v="2025-05-12T00:00:00"/>
        <d v="2025-05-13T00:00:00"/>
        <d v="2025-05-23T00:00:00"/>
        <d v="2025-06-02T00:00:00"/>
        <d v="2025-06-04T00:00:00"/>
        <d v="2025-06-05T00:00:00"/>
        <d v="2025-06-07T00:00:00"/>
        <d v="2025-06-13T00:00:00"/>
        <d v="2025-06-21T00:00:00"/>
        <d v="2025-06-22T00:00:00"/>
        <d v="2025-06-25T00:00:00"/>
        <d v="2025-07-02T00:00:00"/>
        <d v="2025-07-03T00:00:00"/>
        <d v="2025-07-05T00:00:00"/>
        <d v="2025-07-09T00:00:00"/>
        <d v="2025-07-12T00:00:00"/>
        <d v="2025-07-16T00:00:00"/>
        <d v="2025-07-23T00:00:00"/>
        <d v="2025-08-03T00:00:00"/>
        <d v="2025-08-04T00:00:00"/>
        <d v="2025-08-10T00:00:00"/>
        <d v="2025-08-12T00:00:00"/>
        <d v="2025-08-17T00:00:00"/>
        <d v="2025-08-19T00:00:00"/>
        <d v="2025-08-21T00:00:00"/>
        <d v="2025-08-28T00:00:00"/>
        <d v="2025-09-02T00:00:00"/>
        <d v="2025-09-03T00:00:00"/>
        <d v="2025-09-04T00:00:00"/>
        <d v="2025-09-09T00:00:00"/>
        <d v="2025-09-15T00:00:00"/>
        <d v="2025-09-18T00:00:00"/>
        <d v="2025-09-21T00:00:00"/>
        <d v="2025-09-22T00:00:00"/>
        <d v="2025-09-23T00:00:00"/>
        <d v="2025-09-25T00:00:00"/>
        <d v="2025-09-26T00:00:00"/>
        <d v="2025-10-01T00:00:00"/>
        <d v="2025-10-07T00:00:00"/>
        <d v="2025-10-13T00:00:00"/>
        <d v="2025-10-22T00:00:00"/>
        <d v="2025-10-23T00:00:00"/>
        <d v="2025-10-25T00:00:00"/>
        <d v="2025-10-27T00:00:00"/>
        <d v="2025-10-28T00:00:00"/>
        <d v="2025-11-12T00:00:00"/>
        <d v="2025-11-13T00:00:00"/>
        <d v="2025-11-14T00:00:00"/>
        <d v="2025-11-16T00:00:00"/>
        <d v="2025-11-18T00:00:00"/>
        <d v="2025-11-19T00:00:00"/>
        <d v="2025-11-20T00:00:00"/>
        <d v="2025-11-21T00:00:00"/>
        <d v="2025-11-27T00:00:00"/>
        <d v="2025-11-28T00:00:00"/>
        <d v="2025-12-04T00:00:00"/>
        <d v="2025-12-07T00:00:00"/>
        <d v="2025-12-10T00:00:00"/>
        <d v="2025-12-13T00:00:00"/>
        <d v="2025-12-14T00:00:00"/>
        <d v="2025-12-15T00:00:00"/>
        <d v="2025-12-16T00:00:00"/>
        <d v="2025-12-17T00:00:00"/>
        <d v="2025-12-18T00:00:00"/>
        <d v="2025-12-19T00:00:00"/>
        <d v="2025-12-21T00:00:00"/>
        <d v="2025-12-25T00:00:00"/>
        <d v="2025-12-27T00:00:00"/>
      </sharedItems>
      <fieldGroup par="56"/>
    </cacheField>
    <cacheField name="COURSE NAME" numFmtId="0">
      <sharedItems count="14">
        <s v="Diploma in Computer Application (DCA)"/>
        <s v="Advanced Excel &amp; MIS"/>
        <s v="Web Designing"/>
        <s v="CDTP (Certificate in DTP)"/>
        <s v="Post Graduation Diploma in Computer Application (PGDCA)"/>
        <s v="CCC (Course on Computer Concepts)"/>
        <s v="Hindi Typing (25 WPM)"/>
        <s v="Data Entry Operator (DEO)"/>
        <s v="DDTP (Diploma in Desktop Publishing)"/>
        <s v="English Typing (30 WPM)"/>
        <s v="90 Days Basic Computer Course (BCC)"/>
        <s v="MS-CIT"/>
        <s v="Hardware &amp; Networking"/>
        <s v="Tally Prime with GST"/>
      </sharedItems>
    </cacheField>
    <cacheField name="COURSE CODE" numFmtId="0">
      <sharedItems count="14">
        <s v="DCA"/>
        <s v="MIS"/>
        <s v="Web"/>
        <s v="CDTP"/>
        <s v="PGDCA"/>
        <s v="CCC"/>
        <s v="Hindi Typing"/>
        <s v="DEO"/>
        <s v="DDTP"/>
        <s v="English Typing"/>
        <s v="BCC"/>
        <s v="MS-CIT"/>
        <s v="Hardware"/>
        <s v="Tally"/>
      </sharedItems>
    </cacheField>
    <cacheField name="CERTIFICATION TYPE" numFmtId="0">
      <sharedItems count="2">
        <s v="Diploma Course"/>
        <s v="Certification Course"/>
      </sharedItems>
    </cacheField>
    <cacheField name="Session" numFmtId="0">
      <sharedItems count="4">
        <s v="2024-25"/>
        <s v="2024"/>
        <s v="2025"/>
        <s v="2025-26"/>
      </sharedItems>
    </cacheField>
    <cacheField name="Course Duration" numFmtId="0">
      <sharedItems count="3">
        <s v="1 Year"/>
        <s v="3 Month"/>
        <s v="6 Month"/>
      </sharedItems>
    </cacheField>
    <cacheField name="BATCH DATE &amp; TIMING" numFmtId="0">
      <sharedItems/>
    </cacheField>
    <cacheField name="Batch Name" numFmtId="0">
      <sharedItems count="4">
        <s v="Evening Batch 1"/>
        <s v="Morning Batch 1"/>
        <s v="Afternoon Batch 1"/>
        <s v="Afternoon Batch 2"/>
      </sharedItems>
    </cacheField>
    <cacheField name="STUDENT NAME" numFmtId="0">
      <sharedItems/>
    </cacheField>
    <cacheField name="DATE OF BIRTH" numFmtId="14">
      <sharedItems containsSemiMixedTypes="0" containsNonDate="0" containsDate="1" containsString="0" minDate="1988-01-02T00:00:00" maxDate="2010-12-05T00:00:00"/>
    </cacheField>
    <cacheField name="FATHER'S NAME" numFmtId="0">
      <sharedItems/>
    </cacheField>
    <cacheField name="MOTHER'S NAME" numFmtId="0">
      <sharedItems/>
    </cacheField>
    <cacheField name="MEDIUM" numFmtId="0">
      <sharedItems count="2">
        <s v="Hindi"/>
        <s v="English"/>
      </sharedItems>
    </cacheField>
    <cacheField name="CASTE" numFmtId="0">
      <sharedItems count="4">
        <s v="OBC"/>
        <s v="SC"/>
        <s v="ST"/>
        <s v="GENERAL"/>
      </sharedItems>
    </cacheField>
    <cacheField name="STUDENT FULL ADDRESS" numFmtId="0">
      <sharedItems/>
    </cacheField>
    <cacheField name="Area" numFmtId="0">
      <sharedItems count="21">
        <s v="Risali"/>
        <s v="Sector - 04"/>
        <s v="Sector - 02"/>
        <s v="Nehru Nagar"/>
        <s v="Sector - 05"/>
        <s v="Vaishali Nagar"/>
        <s v="Sector - 10"/>
        <s v="Kosa Nagar"/>
        <s v="Shanti Nagar"/>
        <s v="Camp - 02"/>
        <s v="Sector - 03"/>
        <s v="Sector - 06"/>
        <s v="Sector - 09"/>
        <s v="Supela"/>
        <s v="Smriti Nagar"/>
        <s v="Kumhari"/>
        <s v="Charoda"/>
        <s v="Sector - 01"/>
        <s v="Sector - 08"/>
        <s v="Sector - 07"/>
        <s v="Camp - 01"/>
      </sharedItems>
    </cacheField>
    <cacheField name="CONTACT NO." numFmtId="0">
      <sharedItems containsSemiMixedTypes="0" containsString="0" containsNumber="1" containsInteger="1" minValue="6003522675" maxValue="9997800109"/>
    </cacheField>
    <cacheField name="STUDENT GMAIL ID" numFmtId="0">
      <sharedItems/>
    </cacheField>
    <cacheField name="HIGHEST QUALIFICATION" numFmtId="0">
      <sharedItems/>
    </cacheField>
    <cacheField name="DOCUMENT SUBMITTED" numFmtId="0">
      <sharedItems/>
    </cacheField>
    <cacheField name="ID CARD STATUS" numFmtId="0">
      <sharedItems/>
    </cacheField>
    <cacheField name="COURSE FESS" numFmtId="0">
      <sharedItems containsSemiMixedTypes="0" containsString="0" containsNumber="1" containsInteger="1" minValue="2000" maxValue="15000"/>
    </cacheField>
    <cacheField name="ADMISSION AMOUNT" numFmtId="0">
      <sharedItems containsSemiMixedTypes="0" containsString="0" containsNumber="1" containsInteger="1" minValue="200" maxValue="200"/>
    </cacheField>
    <cacheField name="EXAM FESS" numFmtId="0">
      <sharedItems containsSemiMixedTypes="0" containsString="0" containsNumber="1" containsInteger="1" minValue="300" maxValue="1200"/>
    </cacheField>
    <cacheField name="DISCOUNT AMOUNT" numFmtId="0">
      <sharedItems containsSemiMixedTypes="0" containsString="0" containsNumber="1" containsInteger="1" minValue="0" maxValue="500"/>
    </cacheField>
    <cacheField name="TOTAL PAYBLE AMOUNT" numFmtId="0">
      <sharedItems containsSemiMixedTypes="0" containsString="0" containsNumber="1" containsInteger="1" minValue="2000" maxValue="16400"/>
    </cacheField>
    <cacheField name="1ST PAYMENT" numFmtId="0">
      <sharedItems containsSemiMixedTypes="0" containsString="0" containsNumber="1" containsInteger="1" minValue="500" maxValue="5000"/>
    </cacheField>
    <cacheField name="DATE" numFmtId="14">
      <sharedItems containsSemiMixedTypes="0" containsNonDate="0" containsDate="1" containsString="0" minDate="2024-01-14T00:00:00" maxDate="2026-01-07T00:00:00"/>
    </cacheField>
    <cacheField name="REMAINING" numFmtId="0">
      <sharedItems containsSemiMixedTypes="0" containsString="0" containsNumber="1" containsInteger="1" minValue="1500" maxValue="11400"/>
    </cacheField>
    <cacheField name="2ND PAYMENT" numFmtId="0">
      <sharedItems containsString="0" containsBlank="1" containsNumber="1" containsInteger="1" minValue="500" maxValue="3000"/>
    </cacheField>
    <cacheField name="DATE2" numFmtId="14">
      <sharedItems containsSemiMixedTypes="0" containsNonDate="0" containsDate="1" containsString="0" minDate="2024-02-14T00:00:00" maxDate="2026-02-07T00:00:00"/>
    </cacheField>
    <cacheField name="REMAINING2" numFmtId="0">
      <sharedItems containsSemiMixedTypes="0" containsString="0" containsNumber="1" containsInteger="1" minValue="1000" maxValue="8400"/>
    </cacheField>
    <cacheField name="3RD PAYMENT" numFmtId="0">
      <sharedItems containsString="0" containsBlank="1" containsNumber="1" containsInteger="1" minValue="500" maxValue="3000"/>
    </cacheField>
    <cacheField name="DATE3" numFmtId="14">
      <sharedItems containsSemiMixedTypes="0" containsNonDate="0" containsDate="1" containsString="0" minDate="2024-03-14T00:00:00" maxDate="2026-03-07T00:00:00"/>
    </cacheField>
    <cacheField name="REMAINING3" numFmtId="0">
      <sharedItems containsSemiMixedTypes="0" containsString="0" containsNumber="1" containsInteger="1" minValue="500" maxValue="5700"/>
    </cacheField>
    <cacheField name="4TH PAYMENT" numFmtId="0">
      <sharedItems containsString="0" containsBlank="1" containsNumber="1" containsInteger="1" minValue="500" maxValue="3000"/>
    </cacheField>
    <cacheField name="DATE4" numFmtId="14">
      <sharedItems containsSemiMixedTypes="0" containsNonDate="0" containsDate="1" containsString="0" minDate="2024-04-14T00:00:00" maxDate="2026-04-07T00:00:00"/>
    </cacheField>
    <cacheField name="REMAINING4" numFmtId="0">
      <sharedItems containsSemiMixedTypes="0" containsString="0" containsNumber="1" containsInteger="1" minValue="0" maxValue="5700"/>
    </cacheField>
    <cacheField name="5TH PAYMENT" numFmtId="0">
      <sharedItems containsBlank="1" containsMixedTypes="1" containsNumber="1" containsInteger="1" minValue="100" maxValue="2000"/>
    </cacheField>
    <cacheField name="DATE5" numFmtId="14">
      <sharedItems containsDate="1" containsMixedTypes="1" minDate="2024-05-14T00:00:00" maxDate="2026-05-07T00:00:00"/>
    </cacheField>
    <cacheField name="REMAINING5" numFmtId="0">
      <sharedItems containsMixedTypes="1" containsNumber="1" containsInteger="1" minValue="0" maxValue="5700"/>
    </cacheField>
    <cacheField name="6TH PAYMENT" numFmtId="0">
      <sharedItems containsBlank="1" containsMixedTypes="1" containsNumber="1" containsInteger="1" minValue="100" maxValue="1900"/>
    </cacheField>
    <cacheField name="DATE6" numFmtId="14">
      <sharedItems containsDate="1" containsMixedTypes="1" minDate="2024-06-14T00:00:00" maxDate="2026-06-05T00:00:00"/>
    </cacheField>
    <cacheField name="REMAINING6" numFmtId="0">
      <sharedItems containsMixedTypes="1" containsNumber="1" containsInteger="1" minValue="0" maxValue="0"/>
    </cacheField>
    <cacheField name="Paid Amount" numFmtId="0">
      <sharedItems containsSemiMixedTypes="0" containsString="0" containsNumber="1" containsInteger="1" minValue="1000" maxValue="16400"/>
    </cacheField>
    <cacheField name="Remaining Amount" numFmtId="0">
      <sharedItems containsSemiMixedTypes="0" containsString="0" containsNumber="1" containsInteger="1" minValue="0" maxValue="5700"/>
    </cacheField>
    <cacheField name="PAYMENT STATUS" numFmtId="0">
      <sharedItems/>
    </cacheField>
    <cacheField name="PAYMENT" numFmtId="0">
      <sharedItems/>
    </cacheField>
    <cacheField name="Course Completion" numFmtId="0">
      <sharedItems count="3">
        <s v="Course Completion"/>
        <s v="Course Discontinued"/>
        <s v="Course Ongoing"/>
      </sharedItems>
    </cacheField>
    <cacheField name="Months (DATE OF ADMISSION)" numFmtId="0" databaseField="0">
      <fieldGroup base="5">
        <rangePr groupBy="months" startDate="2024-01-04T00:00:00" endDate="2025-12-28T00:00:00"/>
        <groupItems count="14">
          <s v="&lt;04-01-2024"/>
          <s v="Jan"/>
          <s v="Feb"/>
          <s v="Mar"/>
          <s v="Apr"/>
          <s v="May"/>
          <s v="Jun"/>
          <s v="Jul"/>
          <s v="Aug"/>
          <s v="Sep"/>
          <s v="Oct"/>
          <s v="Nov"/>
          <s v="Dec"/>
          <s v="&gt;28-12-2025"/>
        </groupItems>
      </fieldGroup>
    </cacheField>
    <cacheField name="Quarters (DATE OF ADMISSION)" numFmtId="0" databaseField="0">
      <fieldGroup base="5">
        <rangePr groupBy="quarters" startDate="2024-01-04T00:00:00" endDate="2025-12-28T00:00:00"/>
        <groupItems count="6">
          <s v="&lt;04-01-2024"/>
          <s v="Qtr1"/>
          <s v="Qtr2"/>
          <s v="Qtr3"/>
          <s v="Qtr4"/>
          <s v="&gt;28-12-2025"/>
        </groupItems>
      </fieldGroup>
    </cacheField>
    <cacheField name="Years (DATE OF ADMISSION)" numFmtId="0" databaseField="0">
      <fieldGroup base="5">
        <rangePr groupBy="years" startDate="2024-01-04T00:00:00" endDate="2025-12-28T00:00:00"/>
        <groupItems count="4">
          <s v="&lt;04-01-2024"/>
          <s v="2024"/>
          <s v="2025"/>
          <s v="&gt;28-12-2025"/>
        </groupItems>
      </fieldGroup>
    </cacheField>
  </cacheFields>
  <extLst>
    <ext xmlns:x14="http://schemas.microsoft.com/office/spreadsheetml/2009/9/main" uri="{725AE2AE-9491-48be-B2B4-4EB974FC3084}">
      <x14:pivotCacheDefinition pivotCacheId="4220556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5">
  <r>
    <n v="1"/>
    <n v="1"/>
    <s v="EMCE834604@emaxindia.in"/>
    <s v="shashi@2009"/>
    <s v="EMCE834604"/>
    <x v="0"/>
    <x v="0"/>
    <x v="0"/>
    <x v="0"/>
    <x v="0"/>
    <x v="0"/>
    <s v="04:30 PM to 06:00 PM"/>
    <x v="0"/>
    <s v="Shashi Sharma"/>
    <d v="2009-11-13T00:00:00"/>
    <s v="Santosh Kumar Sharma"/>
    <s v="Parvati"/>
    <x v="0"/>
    <x v="0"/>
    <s v="House No. - 423, Risali, Bhilai, Bhilai, Dist - Durg, Chhattisgarh, Pin - 490006"/>
    <x v="0"/>
    <n v="8721700429"/>
    <s v="shashishar5807@gmail.com"/>
    <s v="B.COM."/>
    <s v="YES"/>
    <s v="Issue"/>
    <n v="12500"/>
    <n v="200"/>
    <n v="1200"/>
    <n v="500"/>
    <n v="13400"/>
    <n v="5000"/>
    <d v="2024-01-14T00:00:00"/>
    <n v="8400"/>
    <n v="3000"/>
    <d v="2024-02-14T00:00:00"/>
    <n v="5400"/>
    <n v="3000"/>
    <d v="2024-03-14T00:00:00"/>
    <n v="2400"/>
    <n v="1000"/>
    <d v="2024-04-14T00:00:00"/>
    <n v="1400"/>
    <n v="1000"/>
    <d v="2024-05-14T00:00:00"/>
    <n v="400"/>
    <n v="400"/>
    <d v="2024-06-14T00:00:00"/>
    <n v="0"/>
    <n v="13400"/>
    <n v="0"/>
    <s v="Paid"/>
    <s v="R"/>
    <x v="0"/>
  </r>
  <r>
    <n v="2"/>
    <n v="2"/>
    <s v="EMCE841967@emaxindia.in"/>
    <s v="ramkumar@1996"/>
    <s v="EMCE841967"/>
    <x v="0"/>
    <x v="1"/>
    <x v="1"/>
    <x v="1"/>
    <x v="1"/>
    <x v="1"/>
    <s v="10:30 AM to 12:00 PM"/>
    <x v="1"/>
    <s v="Ramkumar Yadav"/>
    <d v="1996-08-15T00:00:00"/>
    <s v="Brijlal Yadav"/>
    <s v="Rukhmini"/>
    <x v="1"/>
    <x v="1"/>
    <s v="Qr. No. 13/E, Street No. - 14, Sector - 04, Bhilai, Dist - Durg, Chhattisgarh, Pin - 490001"/>
    <x v="1"/>
    <n v="6064038841"/>
    <s v="ramkumaryada5457@gmail.com"/>
    <s v="8TH PASS"/>
    <s v="YES"/>
    <s v="Issue"/>
    <n v="3000"/>
    <n v="200"/>
    <n v="500"/>
    <n v="0"/>
    <n v="3700"/>
    <n v="1000"/>
    <d v="2024-01-14T00:00:00"/>
    <n v="2700"/>
    <m/>
    <d v="2024-02-14T00:00:00"/>
    <n v="2700"/>
    <m/>
    <d v="2024-03-14T00:00:00"/>
    <n v="2700"/>
    <m/>
    <d v="2024-04-14T00:00:00"/>
    <n v="2700"/>
    <m/>
    <d v="2024-05-14T00:00:00"/>
    <n v="2700"/>
    <m/>
    <d v="2024-06-14T00:00:00"/>
    <n v="0"/>
    <n v="1000"/>
    <n v="2700"/>
    <s v="Unpaid"/>
    <s v="Q"/>
    <x v="1"/>
  </r>
  <r>
    <n v="3"/>
    <n v="3"/>
    <s v="EMCE878479@emaxindia.in"/>
    <s v="jyoti@1997"/>
    <s v="EMCE878479"/>
    <x v="0"/>
    <x v="2"/>
    <x v="2"/>
    <x v="0"/>
    <x v="1"/>
    <x v="2"/>
    <s v="12:45 PM to 2:30 PM"/>
    <x v="2"/>
    <s v="Jyoti Solanki"/>
    <d v="1997-06-25T00:00:00"/>
    <s v="Puran Lal Solanki"/>
    <s v="Ramkali"/>
    <x v="0"/>
    <x v="2"/>
    <s v="Qr. No. 19, Bl No. 9, Street No. Emr, Sector - 04, Bhilai, Dist - Durg, Chhattisgarh, Pin - 490001"/>
    <x v="1"/>
    <n v="6237246976"/>
    <s v="jyotisola6519@gmail.com"/>
    <s v="GRADUATE"/>
    <s v="YES"/>
    <s v="Issue"/>
    <n v="7000"/>
    <n v="200"/>
    <n v="800"/>
    <n v="500"/>
    <n v="7500"/>
    <n v="2500"/>
    <d v="2024-01-14T00:00:00"/>
    <n v="5000"/>
    <n v="3000"/>
    <d v="2024-02-14T00:00:00"/>
    <n v="2000"/>
    <n v="1000"/>
    <d v="2024-03-14T00:00:00"/>
    <n v="1000"/>
    <n v="500"/>
    <d v="2024-04-14T00:00:00"/>
    <n v="500"/>
    <n v="500"/>
    <d v="2024-05-14T00:00:00"/>
    <n v="0"/>
    <s v=""/>
    <s v=""/>
    <s v=""/>
    <n v="7500"/>
    <n v="0"/>
    <s v="Paid"/>
    <s v="R"/>
    <x v="0"/>
  </r>
  <r>
    <n v="4"/>
    <n v="4"/>
    <s v="EMCE832654@emaxindia.in"/>
    <s v="laxman@2006"/>
    <s v="EMCE832654"/>
    <x v="1"/>
    <x v="3"/>
    <x v="3"/>
    <x v="1"/>
    <x v="1"/>
    <x v="1"/>
    <s v="04:30 PM to 06:00 PM"/>
    <x v="0"/>
    <s v="Laxman Dubey"/>
    <d v="2006-10-11T00:00:00"/>
    <s v="Laxman Prasad Dubey"/>
    <s v="Ramkali"/>
    <x v="0"/>
    <x v="0"/>
    <s v="Qtr. No. 4/B, Street No. - 23, Sector - 02, Bhilai, Dist - Durg, Chhattisgarh, Pin - 490001"/>
    <x v="2"/>
    <n v="9383478028"/>
    <s v="laxmandube2630@gmail.com"/>
    <s v="12TH PASS"/>
    <s v="YES"/>
    <s v="Issue"/>
    <n v="3000"/>
    <n v="200"/>
    <n v="300"/>
    <n v="300"/>
    <n v="3200"/>
    <n v="1000"/>
    <d v="2024-01-15T00:00:00"/>
    <n v="2200"/>
    <n v="1000"/>
    <d v="2024-02-15T00:00:00"/>
    <n v="1200"/>
    <n v="500"/>
    <d v="2024-03-15T00:00:00"/>
    <n v="700"/>
    <n v="500"/>
    <d v="2024-04-15T00:00:00"/>
    <n v="200"/>
    <n v="200"/>
    <d v="2024-05-15T00:00:00"/>
    <n v="0"/>
    <s v=""/>
    <s v=""/>
    <s v=""/>
    <n v="3200"/>
    <n v="0"/>
    <s v="Paid"/>
    <s v="R"/>
    <x v="0"/>
  </r>
  <r>
    <n v="5"/>
    <n v="5"/>
    <s v="EMCE844507@emaxindia.in"/>
    <s v="abhishek@2000"/>
    <s v="EMCE844507"/>
    <x v="2"/>
    <x v="2"/>
    <x v="2"/>
    <x v="0"/>
    <x v="1"/>
    <x v="2"/>
    <s v="01:00 PM to 03:00 PM"/>
    <x v="3"/>
    <s v="Abhishek Koli"/>
    <d v="2000-10-27T00:00:00"/>
    <s v="Suresh Koli"/>
    <s v="Laxmi"/>
    <x v="0"/>
    <x v="0"/>
    <s v="House No. - 867, Ward - 20, Nehru Nagar, Bhilai, Dist - Durg, Chhattisgarh, Pin - 490020"/>
    <x v="3"/>
    <n v="7528455706"/>
    <s v="abhishekkoli3815@gmail.com"/>
    <s v="BCA"/>
    <s v="YES"/>
    <s v="Issue"/>
    <n v="7000"/>
    <n v="200"/>
    <n v="800"/>
    <n v="0"/>
    <n v="8000"/>
    <n v="2500"/>
    <d v="2024-01-16T00:00:00"/>
    <n v="5500"/>
    <n v="3000"/>
    <d v="2024-02-16T00:00:00"/>
    <n v="2500"/>
    <n v="1000"/>
    <d v="2024-03-16T00:00:00"/>
    <n v="1500"/>
    <n v="500"/>
    <d v="2024-04-16T00:00:00"/>
    <n v="1000"/>
    <n v="1000"/>
    <d v="2024-05-16T00:00:00"/>
    <n v="0"/>
    <s v=""/>
    <s v=""/>
    <s v=""/>
    <n v="8000"/>
    <n v="0"/>
    <s v="Paid"/>
    <s v="R"/>
    <x v="0"/>
  </r>
  <r>
    <n v="6"/>
    <n v="6"/>
    <s v="EMCE859927@emaxindia.in"/>
    <s v="saroj@2001"/>
    <s v="EMCE859927"/>
    <x v="2"/>
    <x v="4"/>
    <x v="4"/>
    <x v="0"/>
    <x v="0"/>
    <x v="0"/>
    <s v="12:45 PM to 2:30 PM"/>
    <x v="2"/>
    <s v="Saroj Rawat"/>
    <d v="2001-03-24T00:00:00"/>
    <s v="Sohan Lal Rawat"/>
    <s v="Radha Bai"/>
    <x v="0"/>
    <x v="2"/>
    <s v="Qrt. No. 16/A, Street No. - 23, Sector - 05, Bhilai, Dist - Durg, Chhattisgarh, Pin - 490001"/>
    <x v="4"/>
    <n v="6492525061"/>
    <s v="sarojrawa5604@gmail.com"/>
    <s v="GRADUATE"/>
    <s v="YES"/>
    <s v="Issue"/>
    <n v="15000"/>
    <n v="200"/>
    <n v="1200"/>
    <n v="500"/>
    <n v="15900"/>
    <n v="5000"/>
    <d v="2024-01-16T00:00:00"/>
    <n v="10900"/>
    <n v="3000"/>
    <d v="2024-02-16T00:00:00"/>
    <n v="7900"/>
    <n v="3000"/>
    <d v="2024-03-16T00:00:00"/>
    <n v="4900"/>
    <n v="1000"/>
    <d v="2024-04-16T00:00:00"/>
    <n v="3900"/>
    <n v="2000"/>
    <d v="2024-05-16T00:00:00"/>
    <n v="1900"/>
    <n v="1900"/>
    <d v="2024-06-16T00:00:00"/>
    <n v="0"/>
    <n v="15900"/>
    <n v="0"/>
    <s v="Paid"/>
    <s v="R"/>
    <x v="0"/>
  </r>
  <r>
    <n v="7"/>
    <n v="7"/>
    <s v="EMCE859707@emaxindia.in"/>
    <s v="neha@1993"/>
    <s v="EMCE859707"/>
    <x v="3"/>
    <x v="5"/>
    <x v="5"/>
    <x v="1"/>
    <x v="1"/>
    <x v="1"/>
    <s v="04:30 PM to 06:00 PM"/>
    <x v="0"/>
    <s v="Neha Soni"/>
    <d v="1993-01-17T00:00:00"/>
    <s v="Laxman Prasad Soni"/>
    <s v="Nirmala"/>
    <x v="0"/>
    <x v="0"/>
    <s v="Qr. No. 29/D, Street No. - 23, Sector - 04, Bhilai, Dist - Durg, Chhattisgarh, Pin - 490001"/>
    <x v="1"/>
    <n v="9629603968"/>
    <s v="nehasoni4088@gmail.com"/>
    <s v="12TH PASS"/>
    <s v="YES"/>
    <s v="Issue"/>
    <n v="2500"/>
    <n v="200"/>
    <n v="400"/>
    <n v="300"/>
    <n v="2800"/>
    <n v="1000"/>
    <d v="2024-01-17T00:00:00"/>
    <n v="1800"/>
    <n v="500"/>
    <d v="2024-02-17T00:00:00"/>
    <n v="1300"/>
    <n v="500"/>
    <d v="2024-03-17T00:00:00"/>
    <n v="800"/>
    <n v="500"/>
    <d v="2024-04-17T00:00:00"/>
    <n v="300"/>
    <n v="300"/>
    <d v="2024-05-17T00:00:00"/>
    <n v="0"/>
    <s v=""/>
    <s v=""/>
    <s v=""/>
    <n v="2800"/>
    <n v="0"/>
    <s v="Paid"/>
    <s v="R"/>
    <x v="0"/>
  </r>
  <r>
    <n v="8"/>
    <n v="8"/>
    <s v="EMCE853148@emaxindia.in"/>
    <s v="gunjan@2002"/>
    <s v="EMCE853148"/>
    <x v="4"/>
    <x v="6"/>
    <x v="6"/>
    <x v="1"/>
    <x v="1"/>
    <x v="1"/>
    <s v="11:30 AM to 12:45 PM"/>
    <x v="1"/>
    <s v="Gunjan Sutar"/>
    <d v="2002-12-24T00:00:00"/>
    <s v="Bharat Sutar"/>
    <s v="Sulochana"/>
    <x v="0"/>
    <x v="0"/>
    <s v="Block - 24/C, Street - 15, Sector - 04, Bhilai, Dist - Durg, Chhattisgarh, Pin - 490001"/>
    <x v="1"/>
    <n v="6201931172"/>
    <s v="gunjansuta7049@gmail.com"/>
    <s v="12TH PASS"/>
    <s v="YES"/>
    <s v="Issue"/>
    <n v="2000"/>
    <n v="200"/>
    <n v="300"/>
    <n v="300"/>
    <n v="2200"/>
    <n v="500"/>
    <d v="2024-01-18T00:00:00"/>
    <n v="1700"/>
    <n v="500"/>
    <d v="2024-02-18T00:00:00"/>
    <n v="1200"/>
    <n v="500"/>
    <d v="2024-03-18T00:00:00"/>
    <n v="700"/>
    <n v="500"/>
    <d v="2024-04-18T00:00:00"/>
    <n v="200"/>
    <n v="200"/>
    <d v="2024-05-18T00:00:00"/>
    <n v="0"/>
    <s v=""/>
    <s v=""/>
    <s v=""/>
    <n v="2200"/>
    <n v="0"/>
    <s v="Paid"/>
    <s v="R"/>
    <x v="0"/>
  </r>
  <r>
    <n v="9"/>
    <n v="9"/>
    <s v="EMCE850578@emaxindia.in"/>
    <s v="tulsiram@2010"/>
    <s v="EMCE850578"/>
    <x v="5"/>
    <x v="7"/>
    <x v="7"/>
    <x v="1"/>
    <x v="1"/>
    <x v="1"/>
    <s v="10:30 AM to 12:00 PM"/>
    <x v="1"/>
    <s v="Tulsiram Lohakare"/>
    <d v="2010-09-24T00:00:00"/>
    <s v="Govind Prasad Lohakare"/>
    <s v="Parsadi Bai"/>
    <x v="0"/>
    <x v="0"/>
    <s v="House No. - 175, Vaishali Nagar, Bhilai, Dist - Durg, Chhattisgarh, Pin - 490020"/>
    <x v="5"/>
    <n v="7156364258"/>
    <s v="tulsiramloha898@gmail.com"/>
    <s v="12TH PASS"/>
    <s v="YES"/>
    <s v="Issue"/>
    <n v="3000"/>
    <n v="200"/>
    <n v="500"/>
    <n v="0"/>
    <n v="3700"/>
    <n v="1000"/>
    <d v="2024-01-20T00:00:00"/>
    <n v="2700"/>
    <n v="1000"/>
    <d v="2024-02-20T00:00:00"/>
    <n v="1700"/>
    <n v="500"/>
    <d v="2024-03-20T00:00:00"/>
    <n v="1200"/>
    <n v="500"/>
    <d v="2024-04-20T00:00:00"/>
    <n v="700"/>
    <n v="500"/>
    <d v="2024-05-20T00:00:00"/>
    <n v="200"/>
    <n v="200"/>
    <d v="2024-06-20T00:00:00"/>
    <n v="0"/>
    <n v="3700"/>
    <n v="0"/>
    <s v="Paid"/>
    <s v="R"/>
    <x v="0"/>
  </r>
  <r>
    <n v="10"/>
    <n v="10"/>
    <s v="EMCE837917@emaxindia.in"/>
    <s v="rakesh@1994"/>
    <s v="EMCE837917"/>
    <x v="6"/>
    <x v="8"/>
    <x v="8"/>
    <x v="0"/>
    <x v="1"/>
    <x v="2"/>
    <s v="12:45 PM to 2:30 PM"/>
    <x v="2"/>
    <s v="Rakesh Naidu"/>
    <d v="1994-03-05T00:00:00"/>
    <s v="Parmanand Naidu"/>
    <s v="Sulochana"/>
    <x v="0"/>
    <x v="0"/>
    <s v="Quarter No. 8/F, Street - 10, Sector - 10, Bhilai, Dist - Durg, Chhattisgarh, Pin - 490006"/>
    <x v="6"/>
    <n v="7509262670"/>
    <s v="rakeshnaid6467@gmail.com"/>
    <s v="B.A."/>
    <s v="YES"/>
    <s v="Issue"/>
    <n v="6000"/>
    <n v="200"/>
    <n v="800"/>
    <n v="300"/>
    <n v="6700"/>
    <n v="2500"/>
    <d v="2024-01-21T00:00:00"/>
    <n v="4200"/>
    <n v="1000"/>
    <d v="2024-02-21T00:00:00"/>
    <n v="3200"/>
    <n v="1000"/>
    <d v="2024-03-21T00:00:00"/>
    <n v="2200"/>
    <n v="1000"/>
    <d v="2024-04-21T00:00:00"/>
    <n v="1200"/>
    <n v="1000"/>
    <d v="2024-05-21T00:00:00"/>
    <n v="200"/>
    <n v="200"/>
    <d v="2024-06-21T00:00:00"/>
    <n v="0"/>
    <n v="6700"/>
    <n v="0"/>
    <s v="Paid"/>
    <s v="R"/>
    <x v="0"/>
  </r>
  <r>
    <n v="11"/>
    <n v="11"/>
    <s v="EMCE846705@emaxindia.in"/>
    <s v="jyoti@1991"/>
    <s v="EMCE846705"/>
    <x v="6"/>
    <x v="7"/>
    <x v="7"/>
    <x v="1"/>
    <x v="1"/>
    <x v="1"/>
    <s v="11:30 AM to 12:45 PM"/>
    <x v="1"/>
    <s v="Jyoti Usendi"/>
    <d v="1991-01-11T00:00:00"/>
    <s v="Sanjay Kumar Usendi"/>
    <s v="Radha Bai"/>
    <x v="1"/>
    <x v="0"/>
    <s v="House No. - 276, Ward - 11, Kosa Nagar, Bhilai, Dist - Durg, Chhattisgarh, Pin - 490020"/>
    <x v="7"/>
    <n v="6169035173"/>
    <s v="jyotiusen7680@gmail.com"/>
    <s v="10TH PASS"/>
    <s v="YES"/>
    <s v="Issue"/>
    <n v="3000"/>
    <n v="200"/>
    <n v="500"/>
    <n v="500"/>
    <n v="3200"/>
    <n v="1000"/>
    <d v="2024-01-21T00:00:00"/>
    <n v="2200"/>
    <n v="1000"/>
    <d v="2024-02-21T00:00:00"/>
    <n v="1200"/>
    <n v="500"/>
    <d v="2024-03-21T00:00:00"/>
    <n v="700"/>
    <n v="500"/>
    <d v="2024-04-21T00:00:00"/>
    <n v="200"/>
    <n v="200"/>
    <d v="2024-05-21T00:00:00"/>
    <n v="0"/>
    <s v=""/>
    <s v=""/>
    <s v=""/>
    <n v="3200"/>
    <n v="0"/>
    <s v="Paid"/>
    <s v="R"/>
    <x v="0"/>
  </r>
  <r>
    <n v="12"/>
    <n v="12"/>
    <s v="EMCE852666@emaxindia.in"/>
    <s v="pratima@2010"/>
    <s v="EMCE852666"/>
    <x v="7"/>
    <x v="6"/>
    <x v="6"/>
    <x v="1"/>
    <x v="1"/>
    <x v="1"/>
    <s v="10:30 AM to 12:00 PM"/>
    <x v="1"/>
    <s v="Pratima Lohar"/>
    <d v="2010-04-22T00:00:00"/>
    <s v="Mukesh Kumar Lohar"/>
    <s v="Parsadi Bai"/>
    <x v="0"/>
    <x v="2"/>
    <s v="House No. - 580, Vaishali Nagar, Bhilai, Dist - Durg, Chhattisgarh, Pin - 490020"/>
    <x v="5"/>
    <n v="9295613039"/>
    <s v="pratimaloha4732@gmail.com"/>
    <s v="ITI"/>
    <s v="YES"/>
    <s v="Issue"/>
    <n v="2000"/>
    <n v="200"/>
    <n v="300"/>
    <n v="0"/>
    <n v="2500"/>
    <n v="1000"/>
    <d v="2024-01-23T00:00:00"/>
    <n v="1500"/>
    <n v="500"/>
    <d v="2024-02-23T00:00:00"/>
    <n v="1000"/>
    <n v="500"/>
    <d v="2024-03-23T00:00:00"/>
    <n v="500"/>
    <n v="500"/>
    <d v="2024-04-23T00:00:00"/>
    <n v="0"/>
    <s v=""/>
    <s v=""/>
    <s v=""/>
    <s v=""/>
    <s v=""/>
    <s v=""/>
    <n v="2500"/>
    <n v="0"/>
    <s v="Paid"/>
    <s v="R"/>
    <x v="0"/>
  </r>
  <r>
    <n v="13"/>
    <n v="13"/>
    <s v="EMCE835726@emaxindia.in"/>
    <s v="nisha@2008"/>
    <s v="EMCE835726"/>
    <x v="8"/>
    <x v="9"/>
    <x v="9"/>
    <x v="1"/>
    <x v="1"/>
    <x v="1"/>
    <s v="12:45 PM to 2:30 PM"/>
    <x v="2"/>
    <s v="Nisha Singh"/>
    <d v="2008-06-12T00:00:00"/>
    <s v="Mukesh Kumar Singh"/>
    <s v="Kiran"/>
    <x v="0"/>
    <x v="0"/>
    <s v="Qr. No. 1/C, Street No. - 02, Sector - 04, Bhilai, Dist - Durg, Chhattisgarh, Pin - 490001"/>
    <x v="1"/>
    <n v="6058567855"/>
    <s v="nishasing6922@gmail.com"/>
    <s v="DIPLOMA"/>
    <s v="YES"/>
    <s v="Issue"/>
    <n v="2000"/>
    <n v="200"/>
    <n v="300"/>
    <n v="0"/>
    <n v="2500"/>
    <n v="1000"/>
    <d v="2024-01-24T00:00:00"/>
    <n v="1500"/>
    <n v="500"/>
    <d v="2024-02-24T00:00:00"/>
    <n v="1000"/>
    <n v="500"/>
    <d v="2024-03-24T00:00:00"/>
    <n v="500"/>
    <n v="500"/>
    <d v="2024-04-24T00:00:00"/>
    <n v="0"/>
    <s v=""/>
    <s v=""/>
    <s v=""/>
    <s v=""/>
    <s v=""/>
    <s v=""/>
    <n v="2500"/>
    <n v="0"/>
    <s v="Paid"/>
    <s v="R"/>
    <x v="0"/>
  </r>
  <r>
    <n v="14"/>
    <n v="14"/>
    <s v="EMCE851646@emaxindia.in"/>
    <s v="ravi@1999"/>
    <s v="EMCE851646"/>
    <x v="8"/>
    <x v="10"/>
    <x v="10"/>
    <x v="1"/>
    <x v="1"/>
    <x v="1"/>
    <s v="12:45 PM to 2:30 PM"/>
    <x v="2"/>
    <s v="Ravi Pisda"/>
    <d v="1999-11-13T00:00:00"/>
    <s v="Bharat Pisda"/>
    <s v="Shakuntala"/>
    <x v="0"/>
    <x v="0"/>
    <s v="House No. - 493, Shanti Nagar, Bhilai, Dist - Durg, Chhattisgarh, Pin - 490020"/>
    <x v="8"/>
    <n v="6668053008"/>
    <s v="ravipisd9096@gmail.com"/>
    <s v="12TH PASS"/>
    <s v="YES"/>
    <s v="Issue"/>
    <n v="3000"/>
    <n v="200"/>
    <n v="500"/>
    <n v="0"/>
    <n v="3700"/>
    <n v="1000"/>
    <d v="2024-01-24T00:00:00"/>
    <n v="2700"/>
    <n v="1000"/>
    <d v="2024-02-24T00:00:00"/>
    <n v="1700"/>
    <n v="500"/>
    <d v="2024-03-24T00:00:00"/>
    <n v="1200"/>
    <n v="500"/>
    <d v="2024-04-24T00:00:00"/>
    <n v="700"/>
    <n v="500"/>
    <d v="2024-05-24T00:00:00"/>
    <n v="200"/>
    <n v="200"/>
    <d v="2024-06-24T00:00:00"/>
    <n v="0"/>
    <n v="3700"/>
    <n v="0"/>
    <s v="Paid"/>
    <s v="R"/>
    <x v="0"/>
  </r>
  <r>
    <n v="15"/>
    <n v="15"/>
    <s v="EMCE853851@emaxindia.in"/>
    <s v="surendra@1988"/>
    <s v="EMCE853851"/>
    <x v="9"/>
    <x v="7"/>
    <x v="7"/>
    <x v="1"/>
    <x v="1"/>
    <x v="1"/>
    <s v="10:30 AM to 12:00 PM"/>
    <x v="1"/>
    <s v="Surendra Raut"/>
    <d v="1988-01-02T00:00:00"/>
    <s v="Shyamlal Raut"/>
    <s v="Janki Bai"/>
    <x v="0"/>
    <x v="1"/>
    <s v="House No. - 927, Shanti Nagar, Bhilai, Dist - Durg, Chhattisgarh, Pin - 490020"/>
    <x v="8"/>
    <n v="8383177987"/>
    <s v="surendraraut3453@gmail.com"/>
    <s v="DIPLOMA"/>
    <s v="YES"/>
    <s v="Issue"/>
    <n v="3000"/>
    <n v="200"/>
    <n v="500"/>
    <n v="500"/>
    <n v="3200"/>
    <n v="1000"/>
    <d v="2024-01-25T00:00:00"/>
    <n v="2200"/>
    <n v="1000"/>
    <d v="2024-02-25T00:00:00"/>
    <n v="1200"/>
    <n v="500"/>
    <d v="2024-03-25T00:00:00"/>
    <n v="700"/>
    <n v="500"/>
    <d v="2024-04-25T00:00:00"/>
    <n v="200"/>
    <n v="200"/>
    <d v="2024-05-25T00:00:00"/>
    <n v="0"/>
    <s v=""/>
    <s v=""/>
    <s v=""/>
    <n v="3200"/>
    <n v="0"/>
    <s v="Paid"/>
    <s v="R"/>
    <x v="0"/>
  </r>
  <r>
    <n v="16"/>
    <n v="16"/>
    <s v="EMCE839149@emaxindia.in"/>
    <s v="gomati@2003"/>
    <s v="EMCE839149"/>
    <x v="10"/>
    <x v="2"/>
    <x v="2"/>
    <x v="0"/>
    <x v="1"/>
    <x v="2"/>
    <s v="04:30 PM to 06:00 PM"/>
    <x v="0"/>
    <s v="Gomati Nirmalkar"/>
    <d v="2003-12-04T00:00:00"/>
    <s v="Rajkumar Nirmalkar"/>
    <s v="Ratna"/>
    <x v="0"/>
    <x v="0"/>
    <s v="Qr. No. 6, Bl No. 5, Street No. Emr, Sector - 04, Bhilai, Dist - Durg, Chhattisgarh, Pin - 490001"/>
    <x v="1"/>
    <n v="7161254583"/>
    <s v="gomatinirm6703@gmail.com"/>
    <s v="12TH PASS"/>
    <s v="YES"/>
    <s v="Issue"/>
    <n v="7000"/>
    <n v="200"/>
    <n v="800"/>
    <n v="0"/>
    <n v="8000"/>
    <n v="2500"/>
    <d v="2024-01-26T00:00:00"/>
    <n v="5500"/>
    <n v="3000"/>
    <d v="2024-02-26T00:00:00"/>
    <n v="2500"/>
    <n v="1000"/>
    <d v="2024-03-26T00:00:00"/>
    <n v="1500"/>
    <n v="500"/>
    <d v="2024-04-26T00:00:00"/>
    <n v="1000"/>
    <n v="1000"/>
    <d v="2024-05-26T00:00:00"/>
    <n v="0"/>
    <s v=""/>
    <s v=""/>
    <s v=""/>
    <n v="8000"/>
    <n v="0"/>
    <s v="Paid"/>
    <s v="R"/>
    <x v="0"/>
  </r>
  <r>
    <n v="17"/>
    <n v="17"/>
    <s v="EMCE838634@emaxindia.in"/>
    <s v="komal@2002"/>
    <s v="EMCE838634"/>
    <x v="11"/>
    <x v="4"/>
    <x v="4"/>
    <x v="0"/>
    <x v="0"/>
    <x v="0"/>
    <s v="01:00 PM to 03:00 PM"/>
    <x v="3"/>
    <s v="Komal Awasthi"/>
    <d v="2002-06-25T00:00:00"/>
    <s v="Mohan Lal Awasthi"/>
    <s v="Anita"/>
    <x v="0"/>
    <x v="1"/>
    <s v="House No. - 730, Ward - 16, Camp - 02, Bhilai, Dist - Durg, Chhattisgarh, Pin - 490001"/>
    <x v="9"/>
    <n v="7238622293"/>
    <s v="komalawas3471@gmail.com"/>
    <s v="GRADUATE"/>
    <s v="YES"/>
    <s v="Issue"/>
    <n v="15000"/>
    <n v="200"/>
    <n v="1200"/>
    <n v="300"/>
    <n v="16100"/>
    <n v="5000"/>
    <d v="2024-01-27T00:00:00"/>
    <n v="11100"/>
    <n v="3000"/>
    <d v="2024-02-27T00:00:00"/>
    <n v="8100"/>
    <n v="3000"/>
    <d v="2024-03-27T00:00:00"/>
    <n v="5100"/>
    <n v="3000"/>
    <d v="2024-04-27T00:00:00"/>
    <n v="2100"/>
    <n v="2000"/>
    <d v="2024-05-27T00:00:00"/>
    <n v="100"/>
    <n v="100"/>
    <d v="2024-06-27T00:00:00"/>
    <n v="0"/>
    <n v="16100"/>
    <n v="0"/>
    <s v="Paid"/>
    <s v="R"/>
    <x v="0"/>
  </r>
  <r>
    <n v="18"/>
    <n v="18"/>
    <s v="EMCE845431@emaxindia.in"/>
    <s v="anil@2010"/>
    <s v="EMCE845431"/>
    <x v="12"/>
    <x v="1"/>
    <x v="1"/>
    <x v="1"/>
    <x v="1"/>
    <x v="1"/>
    <s v="10:30 AM to 12:00 PM"/>
    <x v="1"/>
    <s v="Anil Kashyap"/>
    <d v="2010-05-05T00:00:00"/>
    <s v="Kailash Kashyap"/>
    <s v="Sukhmati"/>
    <x v="0"/>
    <x v="0"/>
    <s v="Qtr. No. 21/A, Street No. - 03, Sector - 03, Bhilai, Dist - Durg, Chhattisgarh, Pin - 490001"/>
    <x v="10"/>
    <n v="7514875785"/>
    <s v="anilkash6211@gmail.com"/>
    <s v="12TH PASS"/>
    <s v="YES"/>
    <s v="Issue"/>
    <n v="3000"/>
    <n v="200"/>
    <n v="500"/>
    <n v="0"/>
    <n v="3700"/>
    <n v="1000"/>
    <d v="2024-01-28T00:00:00"/>
    <n v="2700"/>
    <n v="1000"/>
    <d v="2024-02-28T00:00:00"/>
    <n v="1700"/>
    <n v="500"/>
    <d v="2024-03-28T00:00:00"/>
    <n v="1200"/>
    <n v="500"/>
    <d v="2024-04-28T00:00:00"/>
    <n v="700"/>
    <n v="500"/>
    <d v="2024-05-28T00:00:00"/>
    <n v="200"/>
    <n v="200"/>
    <d v="2024-06-28T00:00:00"/>
    <n v="0"/>
    <n v="3700"/>
    <n v="0"/>
    <s v="Paid"/>
    <s v="R"/>
    <x v="0"/>
  </r>
  <r>
    <n v="19"/>
    <n v="19"/>
    <s v="EMCE885254@emaxindia.in"/>
    <s v="surendra@2002"/>
    <s v="EMCE885254"/>
    <x v="13"/>
    <x v="9"/>
    <x v="9"/>
    <x v="1"/>
    <x v="1"/>
    <x v="1"/>
    <s v="12:45 PM to 2:30 PM"/>
    <x v="2"/>
    <s v="Surendra Awasthi"/>
    <d v="2002-04-13T00:00:00"/>
    <s v="Devendra Kumar Awasthi"/>
    <s v="Savita"/>
    <x v="0"/>
    <x v="1"/>
    <s v="House No. - 715, Ward - 11, Nehru Nagar, Bhilai, Dist - Durg, Chhattisgarh, Pin - 490020"/>
    <x v="3"/>
    <n v="7459853641"/>
    <s v="surendraawas3761@gmail.com"/>
    <s v="10TH PASS"/>
    <s v="YES"/>
    <s v="Issue"/>
    <n v="2000"/>
    <n v="200"/>
    <n v="300"/>
    <n v="500"/>
    <n v="2000"/>
    <n v="500"/>
    <d v="2024-01-29T00:00:00"/>
    <n v="1500"/>
    <n v="500"/>
    <d v="2024-02-29T00:00:00"/>
    <n v="1000"/>
    <n v="500"/>
    <d v="2024-03-29T00:00:00"/>
    <n v="500"/>
    <n v="500"/>
    <d v="2024-04-29T00:00:00"/>
    <n v="0"/>
    <s v=""/>
    <s v=""/>
    <s v=""/>
    <s v=""/>
    <s v=""/>
    <s v=""/>
    <n v="2000"/>
    <n v="0"/>
    <s v="Paid"/>
    <s v="R"/>
    <x v="0"/>
  </r>
  <r>
    <n v="20"/>
    <n v="20"/>
    <s v="EMCE835100@emaxindia.in"/>
    <s v="ankita@1990"/>
    <s v="EMCE835100"/>
    <x v="14"/>
    <x v="3"/>
    <x v="3"/>
    <x v="1"/>
    <x v="1"/>
    <x v="1"/>
    <s v="04:30 PM to 06:00 PM"/>
    <x v="0"/>
    <s v="Ankita Gurjar"/>
    <d v="1990-01-18T00:00:00"/>
    <s v="Sanjay Kumar Gurjar"/>
    <s v="Tara Bai"/>
    <x v="1"/>
    <x v="3"/>
    <s v="Block - 10/A, Street - 13, Sector - 04, Bhilai, Dist - Durg, Chhattisgarh, Pin - 490001"/>
    <x v="1"/>
    <n v="8155210884"/>
    <s v="ankitagurj3400@gmail.com"/>
    <s v="B.SC."/>
    <s v="YES"/>
    <s v="Issue"/>
    <n v="3000"/>
    <n v="200"/>
    <n v="300"/>
    <n v="0"/>
    <n v="3500"/>
    <n v="1000"/>
    <d v="2024-01-31T00:00:00"/>
    <n v="2500"/>
    <n v="1000"/>
    <d v="2024-02-29T00:00:00"/>
    <n v="1500"/>
    <n v="500"/>
    <d v="2024-03-29T00:00:00"/>
    <n v="1000"/>
    <n v="500"/>
    <d v="2024-04-29T00:00:00"/>
    <n v="500"/>
    <n v="500"/>
    <d v="2024-05-29T00:00:00"/>
    <n v="0"/>
    <s v=""/>
    <s v=""/>
    <s v=""/>
    <n v="3500"/>
    <n v="0"/>
    <s v="Paid"/>
    <s v="R"/>
    <x v="0"/>
  </r>
  <r>
    <n v="21"/>
    <n v="21"/>
    <s v="EMCE837481@emaxindia.in"/>
    <s v="akash@2009"/>
    <s v="EMCE837481"/>
    <x v="15"/>
    <x v="9"/>
    <x v="9"/>
    <x v="1"/>
    <x v="1"/>
    <x v="1"/>
    <s v="04:30 PM to 06:00 PM"/>
    <x v="0"/>
    <s v="Akash Goud"/>
    <d v="2009-09-28T00:00:00"/>
    <s v="Sohan Lal Goud"/>
    <s v="Babita"/>
    <x v="0"/>
    <x v="0"/>
    <s v="House No. - 845, Ward - 11, Nehru Nagar, Bhilai, Dist - Durg, Chhattisgarh, Pin - 490020"/>
    <x v="3"/>
    <n v="8754693958"/>
    <s v="akashgoud7525@gmail.com"/>
    <s v="B.SC."/>
    <s v="YES"/>
    <s v="Issue"/>
    <n v="2000"/>
    <n v="200"/>
    <n v="300"/>
    <n v="300"/>
    <n v="2200"/>
    <n v="500"/>
    <d v="2024-02-01T00:00:00"/>
    <n v="1700"/>
    <n v="500"/>
    <d v="2024-03-01T00:00:00"/>
    <n v="1200"/>
    <n v="500"/>
    <d v="2024-04-01T00:00:00"/>
    <n v="700"/>
    <n v="500"/>
    <d v="2024-05-01T00:00:00"/>
    <n v="200"/>
    <n v="200"/>
    <d v="2024-06-01T00:00:00"/>
    <n v="0"/>
    <s v=""/>
    <s v=""/>
    <s v=""/>
    <n v="2200"/>
    <n v="0"/>
    <s v="Paid"/>
    <s v="R"/>
    <x v="0"/>
  </r>
  <r>
    <n v="22"/>
    <n v="22"/>
    <s v="EMCE832902@emaxindia.in"/>
    <s v="sunanda@2004"/>
    <s v="EMCE832902"/>
    <x v="16"/>
    <x v="11"/>
    <x v="11"/>
    <x v="1"/>
    <x v="1"/>
    <x v="1"/>
    <s v="11:30 AM to 12:45 PM"/>
    <x v="1"/>
    <s v="Sunanda Rathore"/>
    <d v="2004-02-03T00:00:00"/>
    <s v="Prem Kumar Rathore"/>
    <s v="Geeta"/>
    <x v="1"/>
    <x v="0"/>
    <s v="Block - 13/D, Street - 14, Sector - 04, Bhilai, Dist - Durg, Chhattisgarh, Pin - 490001"/>
    <x v="1"/>
    <n v="7211925595"/>
    <s v="sunandarath1093@gmail.com"/>
    <s v="GRADUATE"/>
    <s v="YES"/>
    <s v="Issue"/>
    <n v="2500"/>
    <n v="200"/>
    <n v="500"/>
    <n v="200"/>
    <n v="3000"/>
    <n v="1000"/>
    <d v="2024-02-03T00:00:00"/>
    <n v="2000"/>
    <n v="1000"/>
    <d v="2024-03-03T00:00:00"/>
    <n v="1000"/>
    <n v="500"/>
    <d v="2024-04-03T00:00:00"/>
    <n v="500"/>
    <n v="500"/>
    <d v="2024-05-03T00:00:00"/>
    <n v="0"/>
    <s v=""/>
    <s v=""/>
    <s v=""/>
    <s v=""/>
    <s v=""/>
    <s v=""/>
    <n v="3000"/>
    <n v="0"/>
    <s v="Paid"/>
    <s v="R"/>
    <x v="0"/>
  </r>
  <r>
    <n v="23"/>
    <n v="23"/>
    <s v="EMCE852939@emaxindia.in"/>
    <s v="chandan@2005"/>
    <s v="EMCE852939"/>
    <x v="16"/>
    <x v="8"/>
    <x v="8"/>
    <x v="0"/>
    <x v="1"/>
    <x v="2"/>
    <s v="10:30 AM to 12:00 PM"/>
    <x v="1"/>
    <s v="Chandan Nichlani"/>
    <d v="2005-10-16T00:00:00"/>
    <s v="Surendra Nichlani"/>
    <s v="Usha"/>
    <x v="0"/>
    <x v="3"/>
    <s v="Qt. No. 30/C, Street No. - 07, Sector - 06, Bhilai, Dist - Durg, Chhattisgarh, Pin - 490006"/>
    <x v="11"/>
    <n v="9359693036"/>
    <s v="chandannich2765@gmail.com"/>
    <s v="12TH PASS"/>
    <s v="YES"/>
    <s v="Issue"/>
    <n v="6000"/>
    <n v="200"/>
    <n v="800"/>
    <n v="0"/>
    <n v="7000"/>
    <n v="2500"/>
    <d v="2024-02-03T00:00:00"/>
    <n v="4500"/>
    <n v="1000"/>
    <d v="2024-03-03T00:00:00"/>
    <n v="3500"/>
    <n v="1000"/>
    <d v="2024-04-03T00:00:00"/>
    <n v="2500"/>
    <n v="1000"/>
    <d v="2024-05-03T00:00:00"/>
    <n v="1500"/>
    <n v="1000"/>
    <d v="2024-06-03T00:00:00"/>
    <n v="500"/>
    <n v="500"/>
    <d v="2024-07-03T00:00:00"/>
    <n v="0"/>
    <n v="7000"/>
    <n v="0"/>
    <s v="Paid"/>
    <s v="R"/>
    <x v="0"/>
  </r>
  <r>
    <n v="24"/>
    <n v="24"/>
    <s v="EMCE860567@emaxindia.in"/>
    <s v="akash@2004"/>
    <s v="EMCE860567"/>
    <x v="16"/>
    <x v="12"/>
    <x v="12"/>
    <x v="0"/>
    <x v="1"/>
    <x v="2"/>
    <s v="04:30 PM to 06:00 PM"/>
    <x v="0"/>
    <s v="Akash Markam"/>
    <d v="2004-09-05T00:00:00"/>
    <s v="Ghasiya Markam"/>
    <s v="Nirmala"/>
    <x v="0"/>
    <x v="2"/>
    <s v="Qtr. No. 20/B, Street No. - 16, Sector - 03, Bhilai, Dist - Durg, Chhattisgarh, Pin - 490001"/>
    <x v="10"/>
    <n v="8530617496"/>
    <s v="akashmark6954@gmail.com"/>
    <s v="ITI"/>
    <s v="YES"/>
    <s v="Issue"/>
    <n v="8000"/>
    <n v="200"/>
    <n v="1000"/>
    <n v="500"/>
    <n v="8700"/>
    <n v="2500"/>
    <d v="2024-02-03T00:00:00"/>
    <n v="6200"/>
    <n v="3000"/>
    <d v="2024-03-03T00:00:00"/>
    <n v="3200"/>
    <n v="1000"/>
    <d v="2024-04-03T00:00:00"/>
    <n v="2200"/>
    <n v="1000"/>
    <d v="2024-05-03T00:00:00"/>
    <n v="1200"/>
    <n v="1000"/>
    <d v="2024-06-03T00:00:00"/>
    <n v="200"/>
    <n v="200"/>
    <d v="2024-07-03T00:00:00"/>
    <n v="0"/>
    <n v="8700"/>
    <n v="0"/>
    <s v="Paid"/>
    <s v="R"/>
    <x v="0"/>
  </r>
  <r>
    <n v="25"/>
    <n v="25"/>
    <s v="EMCE831448@emaxindia.in"/>
    <s v="deepak@1997"/>
    <s v="EMCE831448"/>
    <x v="17"/>
    <x v="7"/>
    <x v="7"/>
    <x v="1"/>
    <x v="1"/>
    <x v="1"/>
    <s v="11:30 AM to 12:45 PM"/>
    <x v="1"/>
    <s v="Deepak Damor"/>
    <d v="1997-11-26T00:00:00"/>
    <s v="Anil Kumar Damor"/>
    <s v="Reena"/>
    <x v="0"/>
    <x v="0"/>
    <s v="Quarter No. - 14/D, Street - 24, Sector - 09, Bhilai, Dist - Durg, Chhattisgarh, Pin - 490001"/>
    <x v="12"/>
    <n v="7592921085"/>
    <s v="deepakdamo6669@gmail.com"/>
    <s v="ITI"/>
    <s v="YES"/>
    <s v="Issue"/>
    <n v="3000"/>
    <n v="200"/>
    <n v="500"/>
    <n v="0"/>
    <n v="3700"/>
    <n v="1000"/>
    <d v="2024-02-05T00:00:00"/>
    <n v="2700"/>
    <n v="1000"/>
    <d v="2024-03-05T00:00:00"/>
    <n v="1700"/>
    <n v="500"/>
    <d v="2024-04-05T00:00:00"/>
    <n v="1200"/>
    <n v="500"/>
    <d v="2024-05-05T00:00:00"/>
    <n v="700"/>
    <n v="500"/>
    <d v="2024-06-05T00:00:00"/>
    <n v="200"/>
    <n v="200"/>
    <d v="2024-07-05T00:00:00"/>
    <n v="0"/>
    <n v="3700"/>
    <n v="0"/>
    <s v="Paid"/>
    <s v="R"/>
    <x v="0"/>
  </r>
  <r>
    <n v="26"/>
    <n v="26"/>
    <s v="EMCE844742@emaxindia.in"/>
    <s v="rakesh@1991"/>
    <s v="EMCE844742"/>
    <x v="18"/>
    <x v="10"/>
    <x v="10"/>
    <x v="1"/>
    <x v="1"/>
    <x v="1"/>
    <s v="01:00 PM to 03:00 PM"/>
    <x v="3"/>
    <s v="Rakesh Banjare"/>
    <d v="1991-06-04T00:00:00"/>
    <s v="Govind Prasad Banjare"/>
    <s v="Kamla Bai"/>
    <x v="0"/>
    <x v="0"/>
    <s v="House No. - 743, Risali, Bhilai, Dist - Durg, Chhattisgarh, Pin - 490006"/>
    <x v="0"/>
    <n v="9403309516"/>
    <s v="rakeshbanj2707@gmail.com"/>
    <s v="ITI"/>
    <s v="YES"/>
    <s v="Issue"/>
    <n v="3000"/>
    <n v="200"/>
    <n v="500"/>
    <n v="200"/>
    <n v="3500"/>
    <n v="1000"/>
    <d v="2024-02-11T00:00:00"/>
    <n v="2500"/>
    <n v="1000"/>
    <d v="2024-03-11T00:00:00"/>
    <n v="1500"/>
    <n v="500"/>
    <d v="2024-04-11T00:00:00"/>
    <n v="1000"/>
    <n v="500"/>
    <d v="2024-05-11T00:00:00"/>
    <n v="500"/>
    <n v="500"/>
    <d v="2024-06-11T00:00:00"/>
    <n v="0"/>
    <s v=""/>
    <s v=""/>
    <s v=""/>
    <n v="3500"/>
    <n v="0"/>
    <s v="Paid"/>
    <s v="R"/>
    <x v="0"/>
  </r>
  <r>
    <n v="27"/>
    <n v="27"/>
    <s v="EMCE840729@emaxindia.in"/>
    <s v="heena@2008"/>
    <s v="EMCE840729"/>
    <x v="19"/>
    <x v="6"/>
    <x v="6"/>
    <x v="1"/>
    <x v="1"/>
    <x v="1"/>
    <s v="11:30 AM to 12:45 PM"/>
    <x v="1"/>
    <s v="Heena Bodley"/>
    <d v="2008-08-26T00:00:00"/>
    <s v="Kedarnath Bodley"/>
    <s v="Champa"/>
    <x v="0"/>
    <x v="2"/>
    <s v="House No. - 329, Ward - 02, Supela, Bhilai, Dist - Durg, Chhattisgarh, Pin - 490023"/>
    <x v="13"/>
    <n v="9503062561"/>
    <s v="heenabodl2127@gmail.com"/>
    <s v="B.COM."/>
    <s v="YES"/>
    <s v="Issue"/>
    <n v="2000"/>
    <n v="200"/>
    <n v="300"/>
    <n v="200"/>
    <n v="2300"/>
    <n v="500"/>
    <d v="2024-02-12T00:00:00"/>
    <n v="1800"/>
    <n v="500"/>
    <d v="2024-03-12T00:00:00"/>
    <n v="1300"/>
    <n v="500"/>
    <d v="2024-04-12T00:00:00"/>
    <n v="800"/>
    <n v="500"/>
    <d v="2024-05-12T00:00:00"/>
    <n v="300"/>
    <n v="300"/>
    <d v="2024-06-12T00:00:00"/>
    <n v="0"/>
    <s v=""/>
    <s v=""/>
    <s v=""/>
    <n v="2300"/>
    <n v="0"/>
    <s v="Paid"/>
    <s v="R"/>
    <x v="0"/>
  </r>
  <r>
    <n v="28"/>
    <n v="28"/>
    <s v="EMCE856128@emaxindia.in"/>
    <s v="nilesh@2001"/>
    <s v="EMCE856128"/>
    <x v="19"/>
    <x v="4"/>
    <x v="4"/>
    <x v="0"/>
    <x v="0"/>
    <x v="0"/>
    <s v="12:45 PM to 2:30 PM"/>
    <x v="2"/>
    <s v="Nilesh Barman"/>
    <d v="2001-11-07T00:00:00"/>
    <s v="Brijlal Barman"/>
    <s v="Sunita"/>
    <x v="0"/>
    <x v="0"/>
    <s v="Qr. No. 8, Bl No. 18, Street No. Emr, Sector - 04, Bhilai, Dist - Durg, Chhattisgarh, Pin - 490001"/>
    <x v="1"/>
    <n v="9485979761"/>
    <s v="nileshbarm5228@gmail.com"/>
    <s v="DIPLOMA"/>
    <s v="YES"/>
    <s v="Issue"/>
    <n v="15000"/>
    <n v="200"/>
    <n v="1200"/>
    <n v="200"/>
    <n v="16200"/>
    <n v="5000"/>
    <d v="2024-02-12T00:00:00"/>
    <n v="11200"/>
    <n v="3000"/>
    <d v="2024-03-12T00:00:00"/>
    <n v="8200"/>
    <n v="3000"/>
    <d v="2024-04-12T00:00:00"/>
    <n v="5200"/>
    <n v="3000"/>
    <d v="2024-05-12T00:00:00"/>
    <n v="2200"/>
    <n v="2000"/>
    <d v="2024-06-12T00:00:00"/>
    <n v="200"/>
    <n v="200"/>
    <d v="2024-07-12T00:00:00"/>
    <n v="0"/>
    <n v="16200"/>
    <n v="0"/>
    <s v="Paid"/>
    <s v="R"/>
    <x v="0"/>
  </r>
  <r>
    <n v="29"/>
    <n v="29"/>
    <s v="EMCE881436@emaxindia.in"/>
    <s v="savita@1999"/>
    <s v="EMCE881436"/>
    <x v="19"/>
    <x v="9"/>
    <x v="9"/>
    <x v="1"/>
    <x v="1"/>
    <x v="1"/>
    <s v="11:30 AM to 12:45 PM"/>
    <x v="1"/>
    <s v="Savita Nishad"/>
    <d v="1999-03-13T00:00:00"/>
    <s v="Ghasiya Nishad"/>
    <s v="Shobha"/>
    <x v="0"/>
    <x v="0"/>
    <s v="Qr. No. 16, Bl No. 2, Street No. Emr, Sector - 04, Bhilai, Dist - Durg, Chhattisgarh, Pin - 490001"/>
    <x v="1"/>
    <n v="8151407950"/>
    <s v="savitanish8776@gmail.com"/>
    <s v="ITI"/>
    <s v="YES"/>
    <s v="Issue"/>
    <n v="2000"/>
    <n v="200"/>
    <n v="300"/>
    <n v="200"/>
    <n v="2300"/>
    <n v="500"/>
    <d v="2024-02-12T00:00:00"/>
    <n v="1800"/>
    <n v="500"/>
    <d v="2024-03-12T00:00:00"/>
    <n v="1300"/>
    <n v="500"/>
    <d v="2024-04-12T00:00:00"/>
    <n v="800"/>
    <n v="500"/>
    <d v="2024-05-12T00:00:00"/>
    <n v="300"/>
    <n v="300"/>
    <d v="2024-06-12T00:00:00"/>
    <n v="0"/>
    <s v=""/>
    <s v=""/>
    <s v=""/>
    <n v="2300"/>
    <n v="0"/>
    <s v="Paid"/>
    <s v="R"/>
    <x v="0"/>
  </r>
  <r>
    <n v="30"/>
    <n v="30"/>
    <s v="EMCE879584@emaxindia.in"/>
    <s v="balram@2009"/>
    <s v="EMCE879584"/>
    <x v="20"/>
    <x v="11"/>
    <x v="11"/>
    <x v="1"/>
    <x v="1"/>
    <x v="1"/>
    <s v="01:00 PM to 03:00 PM"/>
    <x v="3"/>
    <s v="Balram Sinha"/>
    <d v="2009-02-06T00:00:00"/>
    <s v="Anil Kumar Sinha"/>
    <s v="Mamta"/>
    <x v="1"/>
    <x v="3"/>
    <s v="House No. - 152, Ward - 04, Nehru Nagar, Bhilai, Dist - Durg, Chhattisgarh, Pin - 490020"/>
    <x v="3"/>
    <n v="9276461695"/>
    <s v="balramsinh8372@gmail.com"/>
    <s v="BCA"/>
    <s v="YES"/>
    <s v="Issue"/>
    <n v="2500"/>
    <n v="200"/>
    <n v="500"/>
    <n v="500"/>
    <n v="2700"/>
    <n v="1000"/>
    <d v="2024-02-15T00:00:00"/>
    <n v="1700"/>
    <n v="500"/>
    <d v="2024-03-15T00:00:00"/>
    <n v="1200"/>
    <n v="500"/>
    <d v="2024-04-15T00:00:00"/>
    <n v="700"/>
    <n v="500"/>
    <d v="2024-05-15T00:00:00"/>
    <n v="200"/>
    <n v="200"/>
    <d v="2024-06-15T00:00:00"/>
    <n v="0"/>
    <s v=""/>
    <s v=""/>
    <s v=""/>
    <n v="2700"/>
    <n v="0"/>
    <s v="Paid"/>
    <s v="R"/>
    <x v="0"/>
  </r>
  <r>
    <n v="31"/>
    <n v="31"/>
    <s v="EMCE830099@emaxindia.in"/>
    <s v="suresh@1991"/>
    <s v="EMCE830099"/>
    <x v="21"/>
    <x v="0"/>
    <x v="0"/>
    <x v="0"/>
    <x v="0"/>
    <x v="0"/>
    <s v="12:45 PM to 2:30 PM"/>
    <x v="2"/>
    <s v="Suresh Soni"/>
    <d v="1991-04-09T00:00:00"/>
    <s v="Jivanram Soni"/>
    <s v="Sunita"/>
    <x v="0"/>
    <x v="0"/>
    <s v="Qtr. No. 3/A, Street No. - 24, Sector - 02, Bhilai, Dist - Durg, Chhattisgarh, Pin - 490001"/>
    <x v="2"/>
    <n v="9527690627"/>
    <s v="sureshsoni3310@gmail.com"/>
    <s v="10TH PASS"/>
    <s v="YES"/>
    <s v="Issue"/>
    <n v="12500"/>
    <n v="200"/>
    <n v="1200"/>
    <n v="500"/>
    <n v="13400"/>
    <n v="5000"/>
    <d v="2024-02-16T00:00:00"/>
    <n v="8400"/>
    <n v="3000"/>
    <d v="2024-03-16T00:00:00"/>
    <n v="5400"/>
    <n v="3000"/>
    <d v="2024-04-16T00:00:00"/>
    <n v="2400"/>
    <n v="1000"/>
    <d v="2024-05-16T00:00:00"/>
    <n v="1400"/>
    <n v="1000"/>
    <d v="2024-06-16T00:00:00"/>
    <n v="400"/>
    <n v="400"/>
    <d v="2024-07-16T00:00:00"/>
    <n v="0"/>
    <n v="13400"/>
    <n v="0"/>
    <s v="Paid"/>
    <s v="R"/>
    <x v="0"/>
  </r>
  <r>
    <n v="32"/>
    <n v="32"/>
    <s v="EMCE854945@emaxindia.in"/>
    <s v="amita@1992"/>
    <s v="EMCE854945"/>
    <x v="21"/>
    <x v="1"/>
    <x v="1"/>
    <x v="1"/>
    <x v="1"/>
    <x v="1"/>
    <s v="04:30 PM to 06:00 PM"/>
    <x v="0"/>
    <s v="Amita Dhiwar"/>
    <d v="1992-01-12T00:00:00"/>
    <s v="Manohar Lal Dhiwar"/>
    <s v="Sushila"/>
    <x v="0"/>
    <x v="0"/>
    <s v="House No. - 140, Ward - 02, Supela, Bhilai, Dist - Durg, Chhattisgarh, Pin - 490023"/>
    <x v="13"/>
    <n v="8465874762"/>
    <s v="amitadhiw5156@gmail.com"/>
    <s v="ITI"/>
    <s v="YES"/>
    <s v="Issue"/>
    <n v="3000"/>
    <n v="200"/>
    <n v="500"/>
    <n v="0"/>
    <n v="3700"/>
    <n v="1000"/>
    <d v="2024-02-16T00:00:00"/>
    <n v="2700"/>
    <n v="1000"/>
    <d v="2024-03-16T00:00:00"/>
    <n v="1700"/>
    <n v="500"/>
    <d v="2024-04-16T00:00:00"/>
    <n v="1200"/>
    <n v="500"/>
    <d v="2024-05-16T00:00:00"/>
    <n v="700"/>
    <n v="500"/>
    <d v="2024-06-16T00:00:00"/>
    <n v="200"/>
    <n v="200"/>
    <d v="2024-07-16T00:00:00"/>
    <n v="0"/>
    <n v="3700"/>
    <n v="0"/>
    <s v="Paid"/>
    <s v="R"/>
    <x v="0"/>
  </r>
  <r>
    <n v="33"/>
    <n v="33"/>
    <s v="EMCE864338@emaxindia.in"/>
    <s v="sohan@1994"/>
    <s v="EMCE864338"/>
    <x v="21"/>
    <x v="3"/>
    <x v="3"/>
    <x v="1"/>
    <x v="1"/>
    <x v="1"/>
    <s v="12:45 PM to 2:30 PM"/>
    <x v="2"/>
    <s v="Sohan Markam"/>
    <d v="1994-12-02T00:00:00"/>
    <s v="Sunil Kumar Markam"/>
    <s v="Tara Bai"/>
    <x v="0"/>
    <x v="1"/>
    <s v="Qt. No. 27/D, Street No. - 24, Sector - 06, Bhilai, Dist - Durg, Chhattisgarh, Pin - 490006"/>
    <x v="11"/>
    <n v="8711439392"/>
    <s v="sohanmark2226@gmail.com"/>
    <s v="BCA"/>
    <s v="YES"/>
    <s v="Issue"/>
    <n v="3000"/>
    <n v="200"/>
    <n v="300"/>
    <n v="500"/>
    <n v="3000"/>
    <n v="1000"/>
    <d v="2024-02-16T00:00:00"/>
    <n v="2000"/>
    <n v="1000"/>
    <d v="2024-03-16T00:00:00"/>
    <n v="1000"/>
    <n v="500"/>
    <d v="2024-04-16T00:00:00"/>
    <n v="500"/>
    <n v="500"/>
    <d v="2024-05-16T00:00:00"/>
    <n v="0"/>
    <s v=""/>
    <s v=""/>
    <s v=""/>
    <s v=""/>
    <s v=""/>
    <s v=""/>
    <n v="3000"/>
    <n v="0"/>
    <s v="Paid"/>
    <s v="R"/>
    <x v="0"/>
  </r>
  <r>
    <n v="34"/>
    <n v="34"/>
    <s v="EMCE863168@emaxindia.in"/>
    <s v="narendra@2010"/>
    <s v="EMCE863168"/>
    <x v="22"/>
    <x v="7"/>
    <x v="7"/>
    <x v="1"/>
    <x v="1"/>
    <x v="1"/>
    <s v="04:30 PM to 06:00 PM"/>
    <x v="0"/>
    <s v="Narendra Minj"/>
    <d v="2010-07-07T00:00:00"/>
    <s v="Parmanand Minj"/>
    <s v="Tulsi Bai"/>
    <x v="1"/>
    <x v="0"/>
    <s v="House No. - 397, Ward - 24, Supela, Bhilai, Dist - Durg, Chhattisgarh, Pin - 490023"/>
    <x v="13"/>
    <n v="8961817249"/>
    <s v="narendraminj1009@gmail.com"/>
    <s v="POST GRADUATE"/>
    <s v="YES"/>
    <s v="Issue"/>
    <n v="3000"/>
    <n v="200"/>
    <n v="500"/>
    <n v="200"/>
    <n v="3500"/>
    <n v="1000"/>
    <d v="2024-02-17T00:00:00"/>
    <n v="2500"/>
    <n v="1000"/>
    <d v="2024-03-17T00:00:00"/>
    <n v="1500"/>
    <n v="500"/>
    <d v="2024-04-17T00:00:00"/>
    <n v="1000"/>
    <n v="500"/>
    <d v="2024-05-17T00:00:00"/>
    <n v="500"/>
    <n v="500"/>
    <d v="2024-06-17T00:00:00"/>
    <n v="0"/>
    <s v=""/>
    <s v=""/>
    <s v=""/>
    <n v="3500"/>
    <n v="0"/>
    <s v="Paid"/>
    <s v="R"/>
    <x v="0"/>
  </r>
  <r>
    <n v="35"/>
    <n v="35"/>
    <s v="EMCE866232@emaxindia.in"/>
    <s v="narendra@2003"/>
    <s v="EMCE866232"/>
    <x v="23"/>
    <x v="11"/>
    <x v="11"/>
    <x v="1"/>
    <x v="1"/>
    <x v="1"/>
    <s v="11:30 AM to 12:45 PM"/>
    <x v="1"/>
    <s v="Narendra Hedau"/>
    <d v="2003-08-14T00:00:00"/>
    <s v="Anil Kumar Hedau"/>
    <s v="Rukhmini"/>
    <x v="0"/>
    <x v="1"/>
    <s v="House No. - 270, Ward - 08, Smriti Nagar, Bhilai, Dist - Durg, Chhattisgarh, Pin - 490020"/>
    <x v="14"/>
    <n v="6381923068"/>
    <s v="narendraheda4105@gmail.com"/>
    <s v="12TH PASS"/>
    <s v="YES"/>
    <s v="Issue"/>
    <n v="2500"/>
    <n v="200"/>
    <n v="500"/>
    <n v="0"/>
    <n v="3200"/>
    <n v="1000"/>
    <d v="2024-02-18T00:00:00"/>
    <n v="2200"/>
    <n v="1000"/>
    <d v="2024-03-18T00:00:00"/>
    <n v="1200"/>
    <n v="500"/>
    <d v="2024-04-18T00:00:00"/>
    <n v="700"/>
    <n v="500"/>
    <d v="2024-05-18T00:00:00"/>
    <n v="200"/>
    <n v="200"/>
    <d v="2024-06-18T00:00:00"/>
    <n v="0"/>
    <s v=""/>
    <s v=""/>
    <s v=""/>
    <n v="3200"/>
    <n v="0"/>
    <s v="Paid"/>
    <s v="R"/>
    <x v="0"/>
  </r>
  <r>
    <n v="36"/>
    <n v="36"/>
    <s v="EMCE833758@emaxindia.in"/>
    <s v="shivani@1995"/>
    <s v="EMCE833758"/>
    <x v="24"/>
    <x v="13"/>
    <x v="13"/>
    <x v="1"/>
    <x v="1"/>
    <x v="1"/>
    <s v="10:30 AM to 12:00 PM"/>
    <x v="1"/>
    <s v="Shivani Damor"/>
    <d v="1995-02-16T00:00:00"/>
    <s v="Santosh Kumar Damor"/>
    <s v="Shakuntala"/>
    <x v="1"/>
    <x v="0"/>
    <s v="Qtr. No. 5/D, Street No. - 17, Sector - 02, Bhilai, Dist - Durg, Chhattisgarh, Pin - 490001"/>
    <x v="2"/>
    <n v="9889665631"/>
    <s v="shivanidamo2491@gmail.com"/>
    <s v="12TH PASS"/>
    <s v="YES"/>
    <s v="Issue"/>
    <n v="3500"/>
    <n v="200"/>
    <n v="500"/>
    <n v="300"/>
    <n v="3900"/>
    <n v="1000"/>
    <d v="2024-02-23T00:00:00"/>
    <n v="2900"/>
    <n v="1000"/>
    <d v="2024-03-23T00:00:00"/>
    <n v="1900"/>
    <n v="500"/>
    <d v="2024-04-23T00:00:00"/>
    <n v="1400"/>
    <n v="500"/>
    <d v="2024-05-23T00:00:00"/>
    <n v="900"/>
    <n v="500"/>
    <d v="2024-06-23T00:00:00"/>
    <n v="400"/>
    <n v="400"/>
    <d v="2024-07-23T00:00:00"/>
    <n v="0"/>
    <n v="3900"/>
    <n v="0"/>
    <s v="Paid"/>
    <s v="R"/>
    <x v="0"/>
  </r>
  <r>
    <n v="37"/>
    <n v="37"/>
    <s v="EMCE864961@emaxindia.in"/>
    <s v="sangita@1996"/>
    <s v="EMCE864961"/>
    <x v="25"/>
    <x v="13"/>
    <x v="13"/>
    <x v="1"/>
    <x v="1"/>
    <x v="1"/>
    <s v="12:45 PM to 2:30 PM"/>
    <x v="2"/>
    <s v="Sangita Gupta"/>
    <d v="1996-11-06T00:00:00"/>
    <s v="Shivnath Gupta"/>
    <s v="Shobha"/>
    <x v="0"/>
    <x v="0"/>
    <s v="Qrt. No. 3/D, Street No. - 12, Sector - 05, Bhilai, Dist - Durg, Chhattisgarh, Pin - 490001"/>
    <x v="4"/>
    <n v="9427908980"/>
    <s v="sangitagupt4830@gmail.com"/>
    <s v="POST GRADUATE"/>
    <s v="YES"/>
    <s v="Issue"/>
    <n v="3500"/>
    <n v="200"/>
    <n v="500"/>
    <n v="500"/>
    <n v="3700"/>
    <n v="1000"/>
    <d v="2024-02-27T00:00:00"/>
    <n v="2700"/>
    <n v="1000"/>
    <d v="2024-03-27T00:00:00"/>
    <n v="1700"/>
    <n v="500"/>
    <d v="2024-04-27T00:00:00"/>
    <n v="1200"/>
    <n v="500"/>
    <d v="2024-05-27T00:00:00"/>
    <n v="700"/>
    <n v="500"/>
    <d v="2024-06-27T00:00:00"/>
    <n v="200"/>
    <n v="200"/>
    <d v="2024-07-27T00:00:00"/>
    <n v="0"/>
    <n v="3700"/>
    <n v="0"/>
    <s v="Paid"/>
    <s v="R"/>
    <x v="0"/>
  </r>
  <r>
    <n v="38"/>
    <n v="38"/>
    <s v="EMCE865537@emaxindia.in"/>
    <s v="tara@1993"/>
    <s v="EMCE865537"/>
    <x v="25"/>
    <x v="6"/>
    <x v="6"/>
    <x v="1"/>
    <x v="1"/>
    <x v="1"/>
    <s v="11:30 AM to 12:45 PM"/>
    <x v="1"/>
    <s v="Tara Nayak"/>
    <d v="1993-05-15T00:00:00"/>
    <s v="Anil Kumar Nayak"/>
    <s v="Shantibai"/>
    <x v="0"/>
    <x v="0"/>
    <s v="Qt. No. 28/D, Street No. - 12, Sector - 06, Bhilai, Dist - Durg, Chhattisgarh, Pin - 490006"/>
    <x v="11"/>
    <n v="6654979671"/>
    <s v="taranaya4658@gmail.com"/>
    <s v="GRADUATE"/>
    <s v="YES"/>
    <s v="Issue"/>
    <n v="2000"/>
    <n v="200"/>
    <n v="300"/>
    <n v="300"/>
    <n v="2200"/>
    <n v="500"/>
    <d v="2024-02-27T00:00:00"/>
    <n v="1700"/>
    <n v="500"/>
    <d v="2024-03-27T00:00:00"/>
    <n v="1200"/>
    <n v="500"/>
    <d v="2024-04-27T00:00:00"/>
    <n v="700"/>
    <n v="500"/>
    <d v="2024-05-27T00:00:00"/>
    <n v="200"/>
    <n v="200"/>
    <d v="2024-06-27T00:00:00"/>
    <n v="0"/>
    <s v=""/>
    <s v=""/>
    <s v=""/>
    <n v="2200"/>
    <n v="0"/>
    <s v="Paid"/>
    <s v="R"/>
    <x v="0"/>
  </r>
  <r>
    <n v="39"/>
    <n v="39"/>
    <s v="EMCE832293@emaxindia.in"/>
    <s v="nirmala@1993"/>
    <s v="EMCE832293"/>
    <x v="26"/>
    <x v="0"/>
    <x v="0"/>
    <x v="0"/>
    <x v="0"/>
    <x v="0"/>
    <s v="10:30 AM to 12:00 PM"/>
    <x v="1"/>
    <s v="Nirmala Gurjar"/>
    <d v="1993-01-20T00:00:00"/>
    <s v="Toran Lal Gurjar"/>
    <s v="Kavita"/>
    <x v="0"/>
    <x v="3"/>
    <s v="House No. - 650, Ward - 21, Nehru Nagar, Bhilai, Bhilai, Dist - Durg, Chhattisgarh, Pin - 490020"/>
    <x v="3"/>
    <n v="8716732070"/>
    <s v="nirmalagurj4365@gmail.com"/>
    <s v="GRADUATE"/>
    <s v="YES"/>
    <s v="Issue"/>
    <n v="12500"/>
    <n v="200"/>
    <n v="1200"/>
    <n v="0"/>
    <n v="13900"/>
    <n v="5000"/>
    <d v="2024-02-29T00:00:00"/>
    <n v="8900"/>
    <n v="3000"/>
    <d v="2024-03-29T00:00:00"/>
    <n v="5900"/>
    <n v="3000"/>
    <d v="2024-04-29T00:00:00"/>
    <n v="2900"/>
    <n v="1000"/>
    <d v="2024-05-29T00:00:00"/>
    <n v="1900"/>
    <n v="1000"/>
    <d v="2024-06-29T00:00:00"/>
    <n v="900"/>
    <n v="900"/>
    <d v="2024-07-29T00:00:00"/>
    <n v="0"/>
    <n v="13900"/>
    <n v="0"/>
    <s v="Paid"/>
    <s v="R"/>
    <x v="0"/>
  </r>
  <r>
    <n v="40"/>
    <n v="40"/>
    <s v="EMCE852847@emaxindia.in"/>
    <s v="vivek@1996"/>
    <s v="EMCE852847"/>
    <x v="26"/>
    <x v="12"/>
    <x v="12"/>
    <x v="0"/>
    <x v="1"/>
    <x v="2"/>
    <s v="11:30 AM to 12:45 PM"/>
    <x v="1"/>
    <s v="Vivek Rajput"/>
    <d v="1996-08-08T00:00:00"/>
    <s v="Shivnath Rajput"/>
    <s v="Tulsi Bai"/>
    <x v="0"/>
    <x v="0"/>
    <s v="Quarter No. 21/F, Street - 18, Sector - 10, Bhilai, Dist - Durg, Chhattisgarh, Pin - 490006"/>
    <x v="6"/>
    <n v="8912405474"/>
    <s v="vivekrajp367@gmail.com"/>
    <s v="B.SC."/>
    <s v="YES"/>
    <s v="Issue"/>
    <n v="8000"/>
    <n v="200"/>
    <n v="1000"/>
    <n v="0"/>
    <n v="9200"/>
    <n v="2500"/>
    <d v="2024-02-29T00:00:00"/>
    <n v="6700"/>
    <n v="3000"/>
    <d v="2024-03-29T00:00:00"/>
    <n v="3700"/>
    <m/>
    <d v="2024-04-29T00:00:00"/>
    <n v="3700"/>
    <m/>
    <d v="2024-05-29T00:00:00"/>
    <n v="3700"/>
    <m/>
    <d v="2024-06-29T00:00:00"/>
    <n v="3700"/>
    <m/>
    <d v="2024-07-29T00:00:00"/>
    <n v="0"/>
    <n v="5500"/>
    <n v="3700"/>
    <s v="Unpaid"/>
    <s v="Q"/>
    <x v="1"/>
  </r>
  <r>
    <n v="41"/>
    <n v="41"/>
    <s v="EMCE854911@emaxindia.in"/>
    <s v="parth@2004"/>
    <s v="EMCE854911"/>
    <x v="26"/>
    <x v="11"/>
    <x v="11"/>
    <x v="1"/>
    <x v="1"/>
    <x v="1"/>
    <s v="01:00 PM to 03:00 PM"/>
    <x v="3"/>
    <s v="Parth Bodley"/>
    <d v="2004-09-02T00:00:00"/>
    <s v="Ramesh Bodley"/>
    <s v="Rukhmini"/>
    <x v="0"/>
    <x v="0"/>
    <s v="House No. - 452, Ward - 19, Kumhari, Bhilai, Dist - Durg, Chhattisgarh, Pin - 490042"/>
    <x v="15"/>
    <n v="9737261658"/>
    <s v="parthbodl4092@gmail.com"/>
    <s v="GRADUATE"/>
    <s v="YES"/>
    <s v="Issue"/>
    <n v="2500"/>
    <n v="200"/>
    <n v="500"/>
    <n v="300"/>
    <n v="2900"/>
    <n v="1000"/>
    <d v="2024-02-29T00:00:00"/>
    <n v="1900"/>
    <n v="500"/>
    <d v="2024-03-29T00:00:00"/>
    <n v="1400"/>
    <n v="500"/>
    <d v="2024-04-29T00:00:00"/>
    <n v="900"/>
    <n v="500"/>
    <d v="2024-05-29T00:00:00"/>
    <n v="400"/>
    <n v="400"/>
    <d v="2024-06-29T00:00:00"/>
    <n v="0"/>
    <s v=""/>
    <s v=""/>
    <s v=""/>
    <n v="2900"/>
    <n v="0"/>
    <s v="Paid"/>
    <s v="R"/>
    <x v="0"/>
  </r>
  <r>
    <n v="42"/>
    <n v="42"/>
    <s v="EMCE875930@emaxindia.in"/>
    <s v="sarika@2005"/>
    <s v="EMCE875930"/>
    <x v="27"/>
    <x v="10"/>
    <x v="10"/>
    <x v="1"/>
    <x v="1"/>
    <x v="1"/>
    <s v="01:00 PM to 03:00 PM"/>
    <x v="3"/>
    <s v="Sarika Sahu"/>
    <d v="2005-01-15T00:00:00"/>
    <s v="Shyam Lal Sahu"/>
    <s v="Nirmala"/>
    <x v="0"/>
    <x v="3"/>
    <s v="House No. - 454, Ward - 04, Camp - 02, Bhilai, Dist - Durg, Chhattisgarh, Pin - 490001"/>
    <x v="9"/>
    <n v="6520206828"/>
    <s v="sarikasahu1252@gmail.com"/>
    <s v="BCA"/>
    <s v="YES"/>
    <s v="Issue"/>
    <n v="3000"/>
    <n v="200"/>
    <n v="500"/>
    <n v="200"/>
    <n v="3500"/>
    <n v="1000"/>
    <d v="2024-03-02T00:00:00"/>
    <n v="2500"/>
    <n v="1000"/>
    <d v="2024-04-02T00:00:00"/>
    <n v="1500"/>
    <n v="500"/>
    <d v="2024-05-02T00:00:00"/>
    <n v="1000"/>
    <n v="500"/>
    <d v="2024-06-02T00:00:00"/>
    <n v="500"/>
    <n v="500"/>
    <d v="2024-07-02T00:00:00"/>
    <n v="0"/>
    <s v=""/>
    <s v=""/>
    <s v=""/>
    <n v="3500"/>
    <n v="0"/>
    <s v="Paid"/>
    <s v="R"/>
    <x v="0"/>
  </r>
  <r>
    <n v="43"/>
    <n v="43"/>
    <s v="EMCE879845@emaxindia.in"/>
    <s v="vivek@2000"/>
    <s v="EMCE879845"/>
    <x v="27"/>
    <x v="11"/>
    <x v="11"/>
    <x v="1"/>
    <x v="1"/>
    <x v="1"/>
    <s v="04:30 PM to 06:00 PM"/>
    <x v="0"/>
    <s v="Vivek Patel"/>
    <d v="2000-08-26T00:00:00"/>
    <s v="Mohan Lal Patel"/>
    <s v="Geeta"/>
    <x v="1"/>
    <x v="1"/>
    <s v="Quarter No. 28/C, Street - 23, Sector - 10, Bhilai, Dist - Durg, Chhattisgarh, Pin - 490006"/>
    <x v="6"/>
    <n v="6705837005"/>
    <s v="vivekpate9202@gmail.com"/>
    <s v="ITI"/>
    <s v="YES"/>
    <s v="Issue"/>
    <n v="2500"/>
    <n v="200"/>
    <n v="500"/>
    <n v="300"/>
    <n v="2900"/>
    <n v="1000"/>
    <d v="2024-03-02T00:00:00"/>
    <n v="1900"/>
    <n v="500"/>
    <d v="2024-04-02T00:00:00"/>
    <n v="1400"/>
    <n v="500"/>
    <d v="2024-05-02T00:00:00"/>
    <n v="900"/>
    <n v="500"/>
    <d v="2024-06-02T00:00:00"/>
    <n v="400"/>
    <n v="400"/>
    <d v="2024-07-02T00:00:00"/>
    <n v="0"/>
    <s v=""/>
    <s v=""/>
    <s v=""/>
    <n v="2900"/>
    <n v="0"/>
    <s v="Paid"/>
    <s v="R"/>
    <x v="0"/>
  </r>
  <r>
    <n v="44"/>
    <n v="44"/>
    <s v="EMCE882904@emaxindia.in"/>
    <s v="sunanda@2009"/>
    <s v="EMCE882904"/>
    <x v="28"/>
    <x v="9"/>
    <x v="9"/>
    <x v="1"/>
    <x v="1"/>
    <x v="1"/>
    <s v="04:30 PM to 06:00 PM"/>
    <x v="0"/>
    <s v="Sunanda Meshram"/>
    <d v="2009-08-12T00:00:00"/>
    <s v="Naresh Meshram"/>
    <s v="Mamta"/>
    <x v="0"/>
    <x v="3"/>
    <s v="Quarter No. 30/F, Street - 13, Sector - 10, Bhilai, Dist - Durg, Chhattisgarh, Pin - 490006"/>
    <x v="6"/>
    <n v="9835067097"/>
    <s v="sunandamesh4872@gmail.com"/>
    <s v="12TH PASS"/>
    <s v="YES"/>
    <s v="Issue"/>
    <n v="2000"/>
    <n v="200"/>
    <n v="300"/>
    <n v="500"/>
    <n v="2000"/>
    <n v="500"/>
    <d v="2024-03-05T00:00:00"/>
    <n v="1500"/>
    <n v="500"/>
    <d v="2024-04-05T00:00:00"/>
    <n v="1000"/>
    <n v="500"/>
    <d v="2024-05-05T00:00:00"/>
    <n v="500"/>
    <n v="500"/>
    <d v="2024-06-05T00:00:00"/>
    <n v="0"/>
    <s v=""/>
    <s v=""/>
    <s v=""/>
    <s v=""/>
    <s v=""/>
    <s v=""/>
    <n v="2000"/>
    <n v="0"/>
    <s v="Paid"/>
    <s v="R"/>
    <x v="0"/>
  </r>
  <r>
    <n v="45"/>
    <n v="45"/>
    <s v="EMCE883450@emaxindia.in"/>
    <s v="sumitra@2009"/>
    <s v="EMCE883450"/>
    <x v="28"/>
    <x v="6"/>
    <x v="6"/>
    <x v="1"/>
    <x v="1"/>
    <x v="1"/>
    <s v="01:00 PM to 03:00 PM"/>
    <x v="3"/>
    <s v="Sumitra Nayak"/>
    <d v="2009-07-02T00:00:00"/>
    <s v="Ghanshyam Nayak"/>
    <s v="Nirmala"/>
    <x v="0"/>
    <x v="3"/>
    <s v="House No. - 323, Ward - 17, Smriti Nagar, Bhilai, Dist - Durg, Chhattisgarh, Pin - 490020"/>
    <x v="14"/>
    <n v="9230739175"/>
    <s v="sumitranaya1157@gmail.com"/>
    <s v="B.SC."/>
    <s v="YES"/>
    <s v="Issue"/>
    <n v="2000"/>
    <n v="200"/>
    <n v="300"/>
    <n v="0"/>
    <n v="2500"/>
    <n v="1000"/>
    <d v="2024-03-05T00:00:00"/>
    <n v="1500"/>
    <n v="500"/>
    <d v="2024-04-05T00:00:00"/>
    <n v="1000"/>
    <n v="500"/>
    <d v="2024-05-05T00:00:00"/>
    <n v="500"/>
    <n v="500"/>
    <d v="2024-06-05T00:00:00"/>
    <n v="0"/>
    <s v=""/>
    <s v=""/>
    <s v=""/>
    <s v=""/>
    <s v=""/>
    <s v=""/>
    <n v="2500"/>
    <n v="0"/>
    <s v="Paid"/>
    <s v="R"/>
    <x v="0"/>
  </r>
  <r>
    <n v="46"/>
    <n v="46"/>
    <s v="EMCE835322@emaxindia.in"/>
    <s v="rohit@2005"/>
    <s v="EMCE835322"/>
    <x v="29"/>
    <x v="13"/>
    <x v="13"/>
    <x v="1"/>
    <x v="1"/>
    <x v="1"/>
    <s v="04:30 PM to 06:00 PM"/>
    <x v="0"/>
    <s v="Rohit Ray"/>
    <d v="2005-07-13T00:00:00"/>
    <s v="Kedarnath Ray"/>
    <s v="Radha Bai"/>
    <x v="0"/>
    <x v="2"/>
    <s v="House No. - 426, Vaishali Nagar, Bhilai, Bhilai, Dist - Durg, Chhattisgarh, Pin - 490020"/>
    <x v="5"/>
    <n v="9497435101"/>
    <s v="rohitray4173@gmail.com"/>
    <s v="DIPLOMA"/>
    <s v="YES"/>
    <s v="Issue"/>
    <n v="3500"/>
    <n v="200"/>
    <n v="500"/>
    <n v="0"/>
    <n v="4200"/>
    <n v="1000"/>
    <d v="2024-03-06T00:00:00"/>
    <n v="3200"/>
    <n v="1000"/>
    <d v="2024-04-06T00:00:00"/>
    <n v="2200"/>
    <n v="1000"/>
    <d v="2024-05-06T00:00:00"/>
    <n v="1200"/>
    <n v="500"/>
    <d v="2024-06-06T00:00:00"/>
    <n v="700"/>
    <n v="500"/>
    <d v="2024-07-06T00:00:00"/>
    <n v="200"/>
    <n v="200"/>
    <d v="2024-08-06T00:00:00"/>
    <n v="0"/>
    <n v="4200"/>
    <n v="0"/>
    <s v="Paid"/>
    <s v="R"/>
    <x v="0"/>
  </r>
  <r>
    <n v="47"/>
    <n v="47"/>
    <s v="EMCE877256@emaxindia.in"/>
    <s v="meenakshi@2004"/>
    <s v="EMCE877256"/>
    <x v="29"/>
    <x v="11"/>
    <x v="11"/>
    <x v="1"/>
    <x v="1"/>
    <x v="1"/>
    <s v="01:00 PM to 03:00 PM"/>
    <x v="3"/>
    <s v="Meenakshi Namdev"/>
    <d v="2004-06-27T00:00:00"/>
    <s v="Anil Kumar Namdev"/>
    <s v="Geeta"/>
    <x v="0"/>
    <x v="2"/>
    <s v="Qr. No. 14, Bl No. 8, Street No. Emr, Sector - 04, Bhilai, Dist - Durg, Chhattisgarh, Pin - 490001"/>
    <x v="1"/>
    <n v="6456263175"/>
    <s v="meenakshinamd4024@gmail.com"/>
    <s v="12TH PASS"/>
    <s v="YES"/>
    <s v="Issue"/>
    <n v="2500"/>
    <n v="200"/>
    <n v="500"/>
    <n v="200"/>
    <n v="3000"/>
    <n v="1000"/>
    <d v="2024-03-06T00:00:00"/>
    <n v="2000"/>
    <n v="1000"/>
    <d v="2024-04-06T00:00:00"/>
    <n v="1000"/>
    <n v="500"/>
    <d v="2024-05-06T00:00:00"/>
    <n v="500"/>
    <n v="500"/>
    <d v="2024-06-06T00:00:00"/>
    <n v="0"/>
    <s v=""/>
    <s v=""/>
    <s v=""/>
    <s v=""/>
    <s v=""/>
    <s v=""/>
    <n v="3000"/>
    <n v="0"/>
    <s v="Paid"/>
    <s v="R"/>
    <x v="0"/>
  </r>
  <r>
    <n v="48"/>
    <n v="48"/>
    <s v="EMCE833359@emaxindia.in"/>
    <s v="ankita@2000"/>
    <s v="EMCE833359"/>
    <x v="30"/>
    <x v="0"/>
    <x v="0"/>
    <x v="0"/>
    <x v="0"/>
    <x v="0"/>
    <s v="11:30 AM to 12:45 PM"/>
    <x v="1"/>
    <s v="Ankita Dubey"/>
    <d v="2000-07-01T00:00:00"/>
    <s v="Bhagwandas Dubey"/>
    <s v="Kiran"/>
    <x v="0"/>
    <x v="3"/>
    <s v="Block - 7/B, Street - 12, Sector - 04, Bhilai, Dist - Durg, Chhattisgarh, Pin - 490001"/>
    <x v="1"/>
    <n v="7483279780"/>
    <s v="ankitadube2074@gmail.com"/>
    <s v="10TH PASS"/>
    <s v="YES"/>
    <s v="Issue"/>
    <n v="12500"/>
    <n v="200"/>
    <n v="1200"/>
    <n v="500"/>
    <n v="13400"/>
    <n v="5000"/>
    <d v="2024-03-08T00:00:00"/>
    <n v="8400"/>
    <n v="3000"/>
    <d v="2024-04-08T00:00:00"/>
    <n v="5400"/>
    <n v="3000"/>
    <d v="2024-05-08T00:00:00"/>
    <n v="2400"/>
    <n v="1000"/>
    <d v="2024-06-08T00:00:00"/>
    <n v="1400"/>
    <n v="1000"/>
    <d v="2024-07-08T00:00:00"/>
    <n v="400"/>
    <n v="400"/>
    <d v="2024-08-08T00:00:00"/>
    <n v="0"/>
    <n v="13400"/>
    <n v="0"/>
    <s v="Paid"/>
    <s v="R"/>
    <x v="0"/>
  </r>
  <r>
    <n v="49"/>
    <n v="49"/>
    <s v="EMCE839630@emaxindia.in"/>
    <s v="sanjay@1988"/>
    <s v="EMCE839630"/>
    <x v="31"/>
    <x v="2"/>
    <x v="2"/>
    <x v="0"/>
    <x v="1"/>
    <x v="2"/>
    <s v="12:45 PM to 2:30 PM"/>
    <x v="2"/>
    <s v="Sanjay Thakur"/>
    <d v="1988-12-28T00:00:00"/>
    <s v="Kedarnath Thakur"/>
    <s v="Yamuna Bai"/>
    <x v="0"/>
    <x v="0"/>
    <s v="Quarter No. - 17/C, Street - 19, Sector - 09, Bhilai, Dist - Durg, Chhattisgarh, Pin - 490001"/>
    <x v="12"/>
    <n v="6341439462"/>
    <s v="sanjaythak9146@gmail.com"/>
    <s v="8TH PASS"/>
    <s v="YES"/>
    <s v="Issue"/>
    <n v="7000"/>
    <n v="200"/>
    <n v="800"/>
    <n v="300"/>
    <n v="7700"/>
    <n v="2500"/>
    <d v="2024-03-09T00:00:00"/>
    <n v="5200"/>
    <n v="3000"/>
    <d v="2024-04-09T00:00:00"/>
    <n v="2200"/>
    <n v="1000"/>
    <d v="2024-05-09T00:00:00"/>
    <n v="1200"/>
    <n v="500"/>
    <d v="2024-06-09T00:00:00"/>
    <n v="700"/>
    <n v="500"/>
    <d v="2024-07-09T00:00:00"/>
    <n v="200"/>
    <n v="200"/>
    <d v="2024-08-09T00:00:00"/>
    <n v="0"/>
    <n v="7700"/>
    <n v="0"/>
    <s v="Paid"/>
    <s v="R"/>
    <x v="0"/>
  </r>
  <r>
    <n v="50"/>
    <n v="50"/>
    <s v="EMCE857668@emaxindia.in"/>
    <s v="chetna@2004"/>
    <s v="EMCE857668"/>
    <x v="32"/>
    <x v="0"/>
    <x v="0"/>
    <x v="0"/>
    <x v="0"/>
    <x v="0"/>
    <s v="11:30 AM to 12:45 PM"/>
    <x v="1"/>
    <s v="Chetna Tekam"/>
    <d v="2004-11-17T00:00:00"/>
    <s v="Manohar Lal Tekam"/>
    <s v="Dropadi"/>
    <x v="0"/>
    <x v="3"/>
    <s v="House No. - 544, Vaishali Nagar, Bhilai, Dist - Durg, Chhattisgarh, Pin - 490020"/>
    <x v="5"/>
    <n v="8245707883"/>
    <s v="chetnateka5763@gmail.com"/>
    <s v="BCA"/>
    <s v="YES"/>
    <s v="Issue"/>
    <n v="12500"/>
    <n v="200"/>
    <n v="1200"/>
    <n v="0"/>
    <n v="13900"/>
    <n v="5000"/>
    <d v="2024-03-11T00:00:00"/>
    <n v="8900"/>
    <n v="3000"/>
    <d v="2024-04-11T00:00:00"/>
    <n v="5900"/>
    <n v="3000"/>
    <d v="2024-05-11T00:00:00"/>
    <n v="2900"/>
    <n v="1000"/>
    <d v="2024-06-11T00:00:00"/>
    <n v="1900"/>
    <n v="1000"/>
    <d v="2024-07-11T00:00:00"/>
    <n v="900"/>
    <n v="900"/>
    <d v="2024-08-11T00:00:00"/>
    <n v="0"/>
    <n v="13900"/>
    <n v="0"/>
    <s v="Paid"/>
    <s v="R"/>
    <x v="0"/>
  </r>
  <r>
    <n v="51"/>
    <n v="51"/>
    <s v="EMCE867321@emaxindia.in"/>
    <s v="usha@1993"/>
    <s v="EMCE867321"/>
    <x v="33"/>
    <x v="11"/>
    <x v="11"/>
    <x v="1"/>
    <x v="1"/>
    <x v="1"/>
    <s v="10:30 AM to 12:00 PM"/>
    <x v="1"/>
    <s v="Usha Kujur"/>
    <d v="1993-03-03T00:00:00"/>
    <s v="Kedarnath Kujur"/>
    <s v="Anita"/>
    <x v="0"/>
    <x v="2"/>
    <s v="House No. - 683, Ward - 29, Smriti Nagar, Bhilai, Dist - Durg, Chhattisgarh, Pin - 490020"/>
    <x v="14"/>
    <n v="8783439546"/>
    <s v="ushakuju6433@gmail.com"/>
    <s v="ITI"/>
    <s v="YES"/>
    <s v="Issue"/>
    <n v="2500"/>
    <n v="200"/>
    <n v="500"/>
    <n v="500"/>
    <n v="2700"/>
    <n v="1000"/>
    <d v="2024-03-12T00:00:00"/>
    <n v="1700"/>
    <n v="500"/>
    <d v="2024-04-12T00:00:00"/>
    <n v="1200"/>
    <n v="500"/>
    <d v="2024-05-12T00:00:00"/>
    <n v="700"/>
    <n v="500"/>
    <d v="2024-06-12T00:00:00"/>
    <n v="200"/>
    <n v="200"/>
    <d v="2024-07-12T00:00:00"/>
    <n v="0"/>
    <s v=""/>
    <s v=""/>
    <s v=""/>
    <n v="2700"/>
    <n v="0"/>
    <s v="Paid"/>
    <s v="R"/>
    <x v="0"/>
  </r>
  <r>
    <n v="52"/>
    <n v="52"/>
    <s v="EMCE830281@emaxindia.in"/>
    <s v="lalita@2005"/>
    <s v="EMCE830281"/>
    <x v="34"/>
    <x v="4"/>
    <x v="4"/>
    <x v="0"/>
    <x v="0"/>
    <x v="0"/>
    <s v="12:45 PM to 2:30 PM"/>
    <x v="2"/>
    <s v="Lalita Chauhan"/>
    <d v="2005-04-26T00:00:00"/>
    <s v="Ghasiya Chauhan"/>
    <s v="Ramkali"/>
    <x v="0"/>
    <x v="0"/>
    <s v="Qr. No. 17/E, Street No. - 14, Sector - 04, Bhilai, Dist - Durg, Chhattisgarh, Pin - 490001"/>
    <x v="1"/>
    <n v="7462590193"/>
    <s v="lalitachau8441@gmail.com"/>
    <s v="DIPLOMA"/>
    <s v="YES"/>
    <s v="Issue"/>
    <n v="15000"/>
    <n v="200"/>
    <n v="1200"/>
    <n v="200"/>
    <n v="16200"/>
    <n v="5000"/>
    <d v="2024-03-13T00:00:00"/>
    <n v="11200"/>
    <n v="3000"/>
    <d v="2024-04-13T00:00:00"/>
    <n v="8200"/>
    <n v="3000"/>
    <d v="2024-05-13T00:00:00"/>
    <n v="5200"/>
    <n v="3000"/>
    <d v="2024-06-13T00:00:00"/>
    <n v="2200"/>
    <n v="2000"/>
    <d v="2024-07-13T00:00:00"/>
    <n v="200"/>
    <n v="200"/>
    <d v="2024-08-13T00:00:00"/>
    <n v="0"/>
    <n v="16200"/>
    <n v="0"/>
    <s v="Paid"/>
    <s v="R"/>
    <x v="0"/>
  </r>
  <r>
    <n v="53"/>
    <n v="53"/>
    <s v="EMCE845299@emaxindia.in"/>
    <s v="deepak@2006"/>
    <s v="EMCE845299"/>
    <x v="35"/>
    <x v="10"/>
    <x v="10"/>
    <x v="1"/>
    <x v="1"/>
    <x v="1"/>
    <s v="04:30 PM to 06:00 PM"/>
    <x v="0"/>
    <s v="Deepak Kandulna"/>
    <d v="2006-10-20T00:00:00"/>
    <s v="Santosh Kumar Kandulna"/>
    <s v="Radha Bai"/>
    <x v="0"/>
    <x v="0"/>
    <s v="Qr. No. 2, Bl No. 4, Street No. Emr, Sector - 04, Bhilai, Dist - Durg, Chhattisgarh, Pin - 490001"/>
    <x v="1"/>
    <n v="7943272963"/>
    <s v="deepakkand1064@gmail.com"/>
    <s v="12TH PASS"/>
    <s v="YES"/>
    <s v="Issue"/>
    <n v="3000"/>
    <n v="200"/>
    <n v="500"/>
    <n v="300"/>
    <n v="3400"/>
    <n v="1000"/>
    <d v="2024-03-15T00:00:00"/>
    <n v="2400"/>
    <n v="1000"/>
    <d v="2024-04-15T00:00:00"/>
    <n v="1400"/>
    <n v="500"/>
    <d v="2024-05-15T00:00:00"/>
    <n v="900"/>
    <n v="500"/>
    <d v="2024-06-15T00:00:00"/>
    <n v="400"/>
    <n v="400"/>
    <d v="2024-07-15T00:00:00"/>
    <n v="0"/>
    <s v=""/>
    <s v=""/>
    <s v=""/>
    <n v="3400"/>
    <n v="0"/>
    <s v="Paid"/>
    <s v="R"/>
    <x v="0"/>
  </r>
  <r>
    <n v="54"/>
    <n v="54"/>
    <s v="EMCE833412@emaxindia.in"/>
    <s v="savita@2001"/>
    <s v="EMCE833412"/>
    <x v="36"/>
    <x v="0"/>
    <x v="0"/>
    <x v="0"/>
    <x v="0"/>
    <x v="0"/>
    <s v="12:45 PM to 2:30 PM"/>
    <x v="2"/>
    <s v="Savita Lodhiya"/>
    <d v="2001-11-18T00:00:00"/>
    <s v="Ramnath Lodhiya"/>
    <s v="Anita"/>
    <x v="0"/>
    <x v="2"/>
    <s v="Quarter No. - 30/F, Street - 20, Sector - 09, Bhilai, Dist - Durg, Chhattisgarh, Pin - 490001"/>
    <x v="12"/>
    <n v="8674854746"/>
    <s v="savitalodh7288@gmail.com"/>
    <s v="DIPLOMA"/>
    <s v="YES"/>
    <s v="Issue"/>
    <n v="12500"/>
    <n v="200"/>
    <n v="1200"/>
    <n v="500"/>
    <n v="13400"/>
    <n v="5000"/>
    <d v="2024-03-18T00:00:00"/>
    <n v="8400"/>
    <n v="3000"/>
    <d v="2024-04-18T00:00:00"/>
    <n v="5400"/>
    <n v="3000"/>
    <d v="2024-05-18T00:00:00"/>
    <n v="2400"/>
    <n v="1000"/>
    <d v="2024-06-18T00:00:00"/>
    <n v="1400"/>
    <n v="1000"/>
    <d v="2024-07-18T00:00:00"/>
    <n v="400"/>
    <n v="400"/>
    <d v="2024-08-18T00:00:00"/>
    <n v="0"/>
    <n v="13400"/>
    <n v="0"/>
    <s v="Paid"/>
    <s v="R"/>
    <x v="0"/>
  </r>
  <r>
    <n v="55"/>
    <n v="55"/>
    <s v="EMCE876689@emaxindia.in"/>
    <s v="kailash@2008"/>
    <s v="EMCE876689"/>
    <x v="36"/>
    <x v="3"/>
    <x v="3"/>
    <x v="1"/>
    <x v="1"/>
    <x v="1"/>
    <s v="10:30 AM to 12:00 PM"/>
    <x v="1"/>
    <s v="Kailash Rath"/>
    <d v="2008-02-26T00:00:00"/>
    <s v="Mahesh Rath"/>
    <s v="Meena Bai"/>
    <x v="0"/>
    <x v="0"/>
    <s v="Qtr. No. 26/C, Street No. - 04, Sector - 03, Bhilai, Dist - Durg, Chhattisgarh, Pin - 490001"/>
    <x v="10"/>
    <n v="7166910786"/>
    <s v="kailashrath9950@gmail.com"/>
    <s v="12TH PASS"/>
    <s v="YES"/>
    <s v="Issue"/>
    <n v="3000"/>
    <n v="200"/>
    <n v="300"/>
    <n v="0"/>
    <n v="3500"/>
    <n v="1000"/>
    <d v="2024-03-18T00:00:00"/>
    <n v="2500"/>
    <n v="1000"/>
    <d v="2024-04-18T00:00:00"/>
    <n v="1500"/>
    <n v="500"/>
    <d v="2024-05-18T00:00:00"/>
    <n v="1000"/>
    <n v="500"/>
    <d v="2024-06-18T00:00:00"/>
    <n v="500"/>
    <n v="500"/>
    <d v="2024-07-18T00:00:00"/>
    <n v="0"/>
    <s v=""/>
    <s v=""/>
    <s v=""/>
    <n v="3500"/>
    <n v="0"/>
    <s v="Paid"/>
    <s v="R"/>
    <x v="0"/>
  </r>
  <r>
    <n v="56"/>
    <n v="56"/>
    <s v="EMCE880517@emaxindia.in"/>
    <s v="arjun@1992"/>
    <s v="EMCE880517"/>
    <x v="36"/>
    <x v="3"/>
    <x v="3"/>
    <x v="1"/>
    <x v="1"/>
    <x v="1"/>
    <s v="12:45 PM to 2:30 PM"/>
    <x v="2"/>
    <s v="Arjun Markam"/>
    <d v="1992-12-26T00:00:00"/>
    <s v="Santosh Kumar Markam"/>
    <s v="Hira Bai"/>
    <x v="0"/>
    <x v="1"/>
    <s v="House No. - 854, Ward - 04, Kosa Nagar, Bhilai, Dist - Durg, Chhattisgarh, Pin - 490020"/>
    <x v="7"/>
    <n v="6712540821"/>
    <s v="arjunmark7659@gmail.com"/>
    <s v="12TH PASS"/>
    <s v="YES"/>
    <s v="Issue"/>
    <n v="3000"/>
    <n v="200"/>
    <n v="300"/>
    <n v="500"/>
    <n v="3000"/>
    <n v="1000"/>
    <d v="2024-03-18T00:00:00"/>
    <n v="2000"/>
    <n v="1000"/>
    <d v="2024-04-18T00:00:00"/>
    <n v="1000"/>
    <n v="500"/>
    <d v="2024-05-18T00:00:00"/>
    <n v="500"/>
    <n v="500"/>
    <d v="2024-06-18T00:00:00"/>
    <n v="0"/>
    <s v=""/>
    <s v=""/>
    <s v=""/>
    <s v=""/>
    <s v=""/>
    <s v=""/>
    <n v="3000"/>
    <n v="0"/>
    <s v="Paid"/>
    <s v="R"/>
    <x v="0"/>
  </r>
  <r>
    <n v="57"/>
    <n v="57"/>
    <s v="EMCE858500@emaxindia.in"/>
    <s v="monika@2004"/>
    <s v="EMCE858500"/>
    <x v="37"/>
    <x v="13"/>
    <x v="13"/>
    <x v="1"/>
    <x v="1"/>
    <x v="1"/>
    <s v="10:30 AM to 12:00 PM"/>
    <x v="1"/>
    <s v="Monika Mishra"/>
    <d v="2004-01-07T00:00:00"/>
    <s v="Lokesh Mishra"/>
    <s v="Sukhmati"/>
    <x v="0"/>
    <x v="3"/>
    <s v="Qr. No. 24, Bl No. 10, Street No. Emr, Sector - 04, Bhilai, Dist - Durg, Chhattisgarh, Pin - 490001"/>
    <x v="1"/>
    <n v="9704255637"/>
    <s v="monikamish4432@gmail.com"/>
    <s v="BCA"/>
    <s v="YES"/>
    <s v="Issue"/>
    <n v="3500"/>
    <n v="200"/>
    <n v="500"/>
    <n v="300"/>
    <n v="3900"/>
    <n v="1000"/>
    <d v="2024-03-24T00:00:00"/>
    <n v="2900"/>
    <n v="1000"/>
    <d v="2024-04-24T00:00:00"/>
    <n v="1900"/>
    <n v="500"/>
    <d v="2024-05-24T00:00:00"/>
    <n v="1400"/>
    <n v="500"/>
    <d v="2024-06-24T00:00:00"/>
    <n v="900"/>
    <n v="500"/>
    <d v="2024-07-24T00:00:00"/>
    <n v="400"/>
    <n v="400"/>
    <d v="2024-08-24T00:00:00"/>
    <n v="0"/>
    <n v="3900"/>
    <n v="0"/>
    <s v="Paid"/>
    <s v="R"/>
    <x v="0"/>
  </r>
  <r>
    <n v="58"/>
    <n v="58"/>
    <s v="EMCE827846@emaxindia.in"/>
    <s v="priya@1990"/>
    <s v="EMCE827846"/>
    <x v="38"/>
    <x v="0"/>
    <x v="0"/>
    <x v="0"/>
    <x v="0"/>
    <x v="0"/>
    <s v="11:30 AM to 12:45 PM"/>
    <x v="1"/>
    <s v="Priya Dhiwar"/>
    <d v="1990-10-11T00:00:00"/>
    <s v="Shyamlal Dhiwar"/>
    <s v="Parvati"/>
    <x v="0"/>
    <x v="0"/>
    <s v="Quarter No. - 8/E, Street - 25, Sector - 09, Bhilai, Dist - Durg, Chhattisgarh, Pin - 490001"/>
    <x v="12"/>
    <n v="6063317244"/>
    <s v="priyadhiw6082@gmail.com"/>
    <s v="10TH PASS"/>
    <s v="YES"/>
    <s v="Issue"/>
    <n v="12500"/>
    <n v="200"/>
    <n v="1200"/>
    <n v="0"/>
    <n v="13900"/>
    <n v="5000"/>
    <d v="2024-03-29T00:00:00"/>
    <n v="8900"/>
    <n v="3000"/>
    <d v="2024-04-29T00:00:00"/>
    <n v="5900"/>
    <n v="3000"/>
    <d v="2024-05-29T00:00:00"/>
    <n v="2900"/>
    <n v="1000"/>
    <d v="2024-06-29T00:00:00"/>
    <n v="1900"/>
    <n v="1000"/>
    <d v="2024-07-29T00:00:00"/>
    <n v="900"/>
    <n v="900"/>
    <d v="2024-08-29T00:00:00"/>
    <n v="0"/>
    <n v="13900"/>
    <n v="0"/>
    <s v="Paid"/>
    <s v="R"/>
    <x v="0"/>
  </r>
  <r>
    <n v="59"/>
    <n v="59"/>
    <s v="EMCE828210@emaxindia.in"/>
    <s v="usha@1994"/>
    <s v="EMCE828210"/>
    <x v="39"/>
    <x v="9"/>
    <x v="9"/>
    <x v="1"/>
    <x v="1"/>
    <x v="1"/>
    <s v="01:00 PM to 03:00 PM"/>
    <x v="3"/>
    <s v="Usha Soni"/>
    <d v="1994-08-24T00:00:00"/>
    <s v="Bharat Soni"/>
    <s v="Nirmala"/>
    <x v="0"/>
    <x v="0"/>
    <s v="Qt. No. 17/B, Street No. - 22, Sector - 06, Bhilai, Dist - Durg, Chhattisgarh, Pin - 490006"/>
    <x v="11"/>
    <n v="7345957310"/>
    <s v="ushasoni726@gmail.com"/>
    <s v="BCA"/>
    <s v="YES"/>
    <s v="Issue"/>
    <n v="2000"/>
    <n v="200"/>
    <n v="300"/>
    <n v="300"/>
    <n v="2200"/>
    <n v="500"/>
    <d v="2024-03-31T00:00:00"/>
    <n v="1700"/>
    <n v="500"/>
    <d v="2024-04-30T00:00:00"/>
    <n v="1200"/>
    <n v="500"/>
    <d v="2024-05-30T00:00:00"/>
    <n v="700"/>
    <n v="500"/>
    <d v="2024-06-30T00:00:00"/>
    <n v="200"/>
    <n v="200"/>
    <d v="2024-07-30T00:00:00"/>
    <n v="0"/>
    <s v=""/>
    <s v=""/>
    <s v=""/>
    <n v="2200"/>
    <n v="0"/>
    <s v="Paid"/>
    <s v="R"/>
    <x v="0"/>
  </r>
  <r>
    <n v="60"/>
    <n v="60"/>
    <s v="EMCE828899@emaxindia.in"/>
    <s v="santosh@2000"/>
    <s v="EMCE828899"/>
    <x v="39"/>
    <x v="4"/>
    <x v="4"/>
    <x v="0"/>
    <x v="0"/>
    <x v="0"/>
    <s v="11:30 AM to 12:45 PM"/>
    <x v="1"/>
    <s v="Santosh Patel"/>
    <d v="2000-07-07T00:00:00"/>
    <s v="Laxman Prasad Patel"/>
    <s v="Pushpa"/>
    <x v="0"/>
    <x v="3"/>
    <s v="Quarter No. - 13/C, Street - 19, Sector - 09, Bhilai, Dist - Durg, Chhattisgarh, Pin - 490001"/>
    <x v="12"/>
    <n v="6413521410"/>
    <s v="santoshpate6124@gmail.com"/>
    <s v="GRADUATE"/>
    <s v="YES"/>
    <s v="Issue"/>
    <n v="15000"/>
    <n v="200"/>
    <n v="1200"/>
    <n v="300"/>
    <n v="16100"/>
    <n v="5000"/>
    <d v="2024-03-31T00:00:00"/>
    <n v="11100"/>
    <n v="3000"/>
    <d v="2024-04-30T00:00:00"/>
    <n v="8100"/>
    <n v="3000"/>
    <d v="2024-05-30T00:00:00"/>
    <n v="5100"/>
    <n v="3000"/>
    <d v="2024-06-30T00:00:00"/>
    <n v="2100"/>
    <n v="2000"/>
    <d v="2024-07-30T00:00:00"/>
    <n v="100"/>
    <n v="100"/>
    <d v="2024-08-30T00:00:00"/>
    <n v="0"/>
    <n v="16100"/>
    <n v="0"/>
    <s v="Paid"/>
    <s v="R"/>
    <x v="0"/>
  </r>
  <r>
    <n v="61"/>
    <n v="61"/>
    <s v="EMCE839722@emaxindia.in"/>
    <s v="priya@1994"/>
    <s v="EMCE839722"/>
    <x v="39"/>
    <x v="7"/>
    <x v="7"/>
    <x v="1"/>
    <x v="1"/>
    <x v="1"/>
    <s v="01:00 PM to 03:00 PM"/>
    <x v="3"/>
    <s v="Priya Salame"/>
    <d v="1994-12-02T00:00:00"/>
    <s v="Shyamlal Salame"/>
    <s v="Parvati"/>
    <x v="0"/>
    <x v="0"/>
    <s v="House No. - 390, Ward - 23, Nehru Nagar, Bhilai, Dist - Durg, Chhattisgarh, Pin - 490020"/>
    <x v="3"/>
    <n v="9327135628"/>
    <s v="priyasala9204@gmail.com"/>
    <s v="B.SC."/>
    <s v="YES"/>
    <s v="Issue"/>
    <n v="3000"/>
    <n v="200"/>
    <n v="500"/>
    <n v="0"/>
    <n v="3700"/>
    <n v="1000"/>
    <d v="2024-03-31T00:00:00"/>
    <n v="2700"/>
    <n v="1000"/>
    <d v="2024-04-30T00:00:00"/>
    <n v="1700"/>
    <n v="500"/>
    <d v="2024-05-30T00:00:00"/>
    <n v="1200"/>
    <n v="500"/>
    <d v="2024-06-30T00:00:00"/>
    <n v="700"/>
    <n v="500"/>
    <d v="2024-07-30T00:00:00"/>
    <n v="200"/>
    <n v="200"/>
    <d v="2024-08-30T00:00:00"/>
    <n v="0"/>
    <n v="3700"/>
    <n v="0"/>
    <s v="Paid"/>
    <s v="R"/>
    <x v="0"/>
  </r>
  <r>
    <n v="62"/>
    <n v="62"/>
    <s v="EMCE853449@emaxindia.in"/>
    <s v="monika@2008"/>
    <s v="EMCE853449"/>
    <x v="39"/>
    <x v="12"/>
    <x v="12"/>
    <x v="0"/>
    <x v="1"/>
    <x v="2"/>
    <s v="10:30 AM to 12:00 PM"/>
    <x v="1"/>
    <s v="Monika Namdev"/>
    <d v="2008-07-10T00:00:00"/>
    <s v="Hemant Kumar Namdev"/>
    <s v="Champa"/>
    <x v="0"/>
    <x v="0"/>
    <s v="House No. - 106, Ward - 12, Kosa Nagar, Bhilai, Dist - Durg, Chhattisgarh, Pin - 490020"/>
    <x v="7"/>
    <n v="8905770618"/>
    <s v="monikanamd7785@gmail.com"/>
    <s v="12TH PASS"/>
    <s v="YES"/>
    <s v="Issue"/>
    <n v="8000"/>
    <n v="200"/>
    <n v="1000"/>
    <n v="500"/>
    <n v="8700"/>
    <n v="2500"/>
    <d v="2024-03-31T00:00:00"/>
    <n v="6200"/>
    <n v="3000"/>
    <d v="2024-04-30T00:00:00"/>
    <n v="3200"/>
    <n v="1000"/>
    <d v="2024-05-30T00:00:00"/>
    <n v="2200"/>
    <n v="1000"/>
    <d v="2024-06-30T00:00:00"/>
    <n v="1200"/>
    <n v="1000"/>
    <d v="2024-07-30T00:00:00"/>
    <n v="200"/>
    <n v="200"/>
    <d v="2024-08-30T00:00:00"/>
    <n v="0"/>
    <n v="8700"/>
    <n v="0"/>
    <s v="Paid"/>
    <s v="R"/>
    <x v="0"/>
  </r>
  <r>
    <n v="63"/>
    <n v="63"/>
    <s v="EMCE846072@emaxindia.in"/>
    <s v="ajay@2003"/>
    <s v="EMCE846072"/>
    <x v="40"/>
    <x v="2"/>
    <x v="2"/>
    <x v="0"/>
    <x v="1"/>
    <x v="2"/>
    <s v="12:45 PM to 2:30 PM"/>
    <x v="2"/>
    <s v="Ajay Solanki"/>
    <d v="2003-03-07T00:00:00"/>
    <s v="Pitambar Solanki"/>
    <s v="Usha"/>
    <x v="0"/>
    <x v="1"/>
    <s v="House No. - 986, Ward - 26, Supela, Bhilai, Dist - Durg, Chhattisgarh, Pin - 490023"/>
    <x v="13"/>
    <n v="9004388625"/>
    <s v="ajaysola9043@gmail.com"/>
    <s v="B.A."/>
    <s v="YES"/>
    <s v="Issue"/>
    <n v="7000"/>
    <n v="200"/>
    <n v="800"/>
    <n v="0"/>
    <n v="8000"/>
    <n v="2500"/>
    <d v="2024-04-01T00:00:00"/>
    <n v="5500"/>
    <n v="3000"/>
    <d v="2024-05-01T00:00:00"/>
    <n v="2500"/>
    <n v="1000"/>
    <d v="2024-06-01T00:00:00"/>
    <n v="1500"/>
    <n v="500"/>
    <d v="2024-07-01T00:00:00"/>
    <n v="1000"/>
    <n v="1000"/>
    <d v="2024-08-01T00:00:00"/>
    <n v="0"/>
    <s v=""/>
    <s v=""/>
    <s v=""/>
    <n v="8000"/>
    <n v="0"/>
    <s v="Paid"/>
    <s v="R"/>
    <x v="0"/>
  </r>
  <r>
    <n v="64"/>
    <n v="64"/>
    <s v="EMCE831614@emaxindia.in"/>
    <s v="parvati@1993"/>
    <s v="EMCE831614"/>
    <x v="41"/>
    <x v="7"/>
    <x v="7"/>
    <x v="1"/>
    <x v="1"/>
    <x v="1"/>
    <s v="04:30 PM to 06:00 PM"/>
    <x v="0"/>
    <s v="Parvati Lodhiya"/>
    <d v="1993-05-17T00:00:00"/>
    <s v="Naresh Lodhiya"/>
    <s v="Vimla"/>
    <x v="0"/>
    <x v="0"/>
    <s v="Quarter No. - 9/D, Street - 03, Sector - 09, Bhilai, Dist - Durg, Chhattisgarh, Pin - 490001"/>
    <x v="12"/>
    <n v="6258947190"/>
    <s v="parvatilodh2746@gmail.com"/>
    <s v="B.COM."/>
    <s v="YES"/>
    <s v="Issue"/>
    <n v="3000"/>
    <n v="200"/>
    <n v="500"/>
    <n v="500"/>
    <n v="3200"/>
    <n v="1000"/>
    <d v="2024-04-03T00:00:00"/>
    <n v="2200"/>
    <n v="1000"/>
    <d v="2024-05-03T00:00:00"/>
    <n v="1200"/>
    <n v="500"/>
    <d v="2024-06-03T00:00:00"/>
    <n v="700"/>
    <n v="500"/>
    <d v="2024-07-03T00:00:00"/>
    <n v="200"/>
    <n v="200"/>
    <d v="2024-08-03T00:00:00"/>
    <n v="0"/>
    <s v=""/>
    <s v=""/>
    <s v=""/>
    <n v="3200"/>
    <n v="0"/>
    <s v="Paid"/>
    <s v="R"/>
    <x v="0"/>
  </r>
  <r>
    <n v="65"/>
    <n v="65"/>
    <s v="EMCE846429@emaxindia.in"/>
    <s v="ganga@1996"/>
    <s v="EMCE846429"/>
    <x v="41"/>
    <x v="3"/>
    <x v="3"/>
    <x v="1"/>
    <x v="1"/>
    <x v="1"/>
    <s v="10:30 AM to 12:00 PM"/>
    <x v="1"/>
    <s v="Ganga Sarvam"/>
    <d v="1996-07-03T00:00:00"/>
    <s v="Chaindra Sarvam"/>
    <s v="Leelishwari"/>
    <x v="1"/>
    <x v="2"/>
    <s v="House No. - 156, Charoda, Bhilai, Dist - Durg, Chhattisgarh, Pin - 490036"/>
    <x v="16"/>
    <n v="6353528226"/>
    <s v="gangasarv9559@gmail.com"/>
    <s v="8TH PASS"/>
    <s v="YES"/>
    <s v="Issue"/>
    <n v="3000"/>
    <n v="200"/>
    <n v="300"/>
    <n v="300"/>
    <n v="3200"/>
    <n v="1000"/>
    <d v="2024-04-03T00:00:00"/>
    <n v="2200"/>
    <n v="1000"/>
    <d v="2024-05-03T00:00:00"/>
    <n v="1200"/>
    <n v="500"/>
    <d v="2024-06-03T00:00:00"/>
    <n v="700"/>
    <n v="500"/>
    <d v="2024-07-03T00:00:00"/>
    <n v="200"/>
    <n v="200"/>
    <d v="2024-08-03T00:00:00"/>
    <n v="0"/>
    <s v=""/>
    <s v=""/>
    <s v=""/>
    <n v="3200"/>
    <n v="0"/>
    <s v="Paid"/>
    <s v="R"/>
    <x v="0"/>
  </r>
  <r>
    <n v="66"/>
    <n v="66"/>
    <s v="EMCE851355@emaxindia.in"/>
    <s v="ritu@1999"/>
    <s v="EMCE851355"/>
    <x v="42"/>
    <x v="4"/>
    <x v="4"/>
    <x v="0"/>
    <x v="0"/>
    <x v="0"/>
    <s v="11:30 AM to 12:45 PM"/>
    <x v="1"/>
    <s v="Ritu Yadav"/>
    <d v="1999-10-12T00:00:00"/>
    <s v="Mukesh Kumar Yadav"/>
    <s v="Sushila"/>
    <x v="0"/>
    <x v="1"/>
    <s v="Qrt. No. 6/B, Street No. - 11, Sector - 01, Bhilai, Dist - Durg, Chhattisgarh, Pin - 490001"/>
    <x v="17"/>
    <n v="8700800178"/>
    <s v="rituyada6811@gmail.com"/>
    <s v="GRADUATE"/>
    <s v="YES"/>
    <s v="Issue"/>
    <n v="15000"/>
    <n v="200"/>
    <n v="1200"/>
    <n v="0"/>
    <n v="16400"/>
    <n v="5000"/>
    <d v="2024-04-07T00:00:00"/>
    <n v="11400"/>
    <n v="3000"/>
    <d v="2024-05-07T00:00:00"/>
    <n v="8400"/>
    <n v="3000"/>
    <d v="2024-06-07T00:00:00"/>
    <n v="5400"/>
    <n v="3000"/>
    <d v="2024-07-07T00:00:00"/>
    <n v="2400"/>
    <n v="2000"/>
    <d v="2024-08-07T00:00:00"/>
    <n v="400"/>
    <n v="400"/>
    <d v="2024-09-07T00:00:00"/>
    <n v="0"/>
    <n v="16400"/>
    <n v="0"/>
    <s v="Paid"/>
    <s v="R"/>
    <x v="0"/>
  </r>
  <r>
    <n v="67"/>
    <n v="67"/>
    <s v="EMCE871944@emaxindia.in"/>
    <s v="devendra@1998"/>
    <s v="EMCE871944"/>
    <x v="42"/>
    <x v="5"/>
    <x v="5"/>
    <x v="1"/>
    <x v="1"/>
    <x v="1"/>
    <s v="11:30 AM to 12:45 PM"/>
    <x v="1"/>
    <s v="Devendra Patel"/>
    <d v="1998-03-25T00:00:00"/>
    <s v="Manohar Lal Patel"/>
    <s v="Sushila"/>
    <x v="0"/>
    <x v="3"/>
    <s v="House No. - 216, Ward - 18, Kosa Nagar, Bhilai, Dist - Durg, Chhattisgarh, Pin - 490020"/>
    <x v="7"/>
    <n v="6777553182"/>
    <s v="devendrapate4343@gmail.com"/>
    <s v="12TH PASS"/>
    <s v="YES"/>
    <s v="Issue"/>
    <n v="2500"/>
    <n v="200"/>
    <n v="400"/>
    <n v="0"/>
    <n v="3100"/>
    <n v="1000"/>
    <d v="2024-04-07T00:00:00"/>
    <n v="2100"/>
    <n v="1000"/>
    <d v="2024-05-07T00:00:00"/>
    <n v="1100"/>
    <n v="500"/>
    <d v="2024-06-07T00:00:00"/>
    <n v="600"/>
    <n v="500"/>
    <d v="2024-07-07T00:00:00"/>
    <n v="100"/>
    <n v="100"/>
    <d v="2024-08-07T00:00:00"/>
    <n v="0"/>
    <s v=""/>
    <s v=""/>
    <s v=""/>
    <n v="3100"/>
    <n v="0"/>
    <s v="Paid"/>
    <s v="R"/>
    <x v="0"/>
  </r>
  <r>
    <n v="68"/>
    <n v="68"/>
    <s v="EMCE879426@emaxindia.in"/>
    <s v="rakesh@1994"/>
    <s v="EMCE879426"/>
    <x v="42"/>
    <x v="13"/>
    <x v="13"/>
    <x v="1"/>
    <x v="1"/>
    <x v="1"/>
    <s v="01:00 PM to 03:00 PM"/>
    <x v="3"/>
    <s v="Rakesh Verma"/>
    <d v="1994-12-25T00:00:00"/>
    <s v="Sanjay Kumar Verma"/>
    <s v="Saroj"/>
    <x v="0"/>
    <x v="2"/>
    <s v="Qr. No. 10/C, Street No. - 14, Sector - 08, Bhilai, Dist - Durg, Chhattisgarh, Pin - 490001"/>
    <x v="18"/>
    <n v="7176832550"/>
    <s v="rakeshverm6343@gmail.com"/>
    <s v="B.SC."/>
    <s v="YES"/>
    <s v="Issue"/>
    <n v="3500"/>
    <n v="200"/>
    <n v="500"/>
    <n v="0"/>
    <n v="4200"/>
    <n v="1000"/>
    <d v="2024-04-07T00:00:00"/>
    <n v="3200"/>
    <n v="1000"/>
    <d v="2024-05-07T00:00:00"/>
    <n v="2200"/>
    <n v="1000"/>
    <d v="2024-06-07T00:00:00"/>
    <n v="1200"/>
    <n v="500"/>
    <d v="2024-07-07T00:00:00"/>
    <n v="700"/>
    <n v="500"/>
    <d v="2024-08-07T00:00:00"/>
    <n v="200"/>
    <n v="200"/>
    <d v="2024-09-07T00:00:00"/>
    <n v="0"/>
    <n v="4200"/>
    <n v="0"/>
    <s v="Paid"/>
    <s v="R"/>
    <x v="0"/>
  </r>
  <r>
    <n v="69"/>
    <n v="69"/>
    <s v="EMCE841540@emaxindia.in"/>
    <s v="sachin@2004"/>
    <s v="EMCE841540"/>
    <x v="43"/>
    <x v="0"/>
    <x v="0"/>
    <x v="0"/>
    <x v="0"/>
    <x v="0"/>
    <s v="10:30 AM to 12:00 PM"/>
    <x v="1"/>
    <s v="Sachin Dubey"/>
    <d v="2004-02-27T00:00:00"/>
    <s v="Ram Prasad Dubey"/>
    <s v="Indra Bai"/>
    <x v="0"/>
    <x v="0"/>
    <s v="Qr. No. 5, Bl No. 3, Street No. Emr, Sector - 04, Bhilai, Dist - Durg, Chhattisgarh, Pin - 490001"/>
    <x v="1"/>
    <n v="8576909453"/>
    <s v="sachindube2432@gmail.com"/>
    <s v="12TH PASS"/>
    <s v="YES"/>
    <s v="Issue"/>
    <n v="12500"/>
    <n v="200"/>
    <n v="1200"/>
    <n v="0"/>
    <n v="13900"/>
    <n v="5000"/>
    <d v="2024-04-11T00:00:00"/>
    <n v="8900"/>
    <n v="3000"/>
    <d v="2024-05-11T00:00:00"/>
    <n v="5900"/>
    <n v="3000"/>
    <d v="2024-06-11T00:00:00"/>
    <n v="2900"/>
    <n v="1000"/>
    <d v="2024-07-11T00:00:00"/>
    <n v="1900"/>
    <n v="1000"/>
    <d v="2024-08-11T00:00:00"/>
    <n v="900"/>
    <n v="900"/>
    <d v="2024-09-11T00:00:00"/>
    <n v="0"/>
    <n v="13900"/>
    <n v="0"/>
    <s v="Paid"/>
    <s v="R"/>
    <x v="0"/>
  </r>
  <r>
    <n v="70"/>
    <n v="70"/>
    <s v="EMCE874189@emaxindia.in"/>
    <s v="deepak@2002"/>
    <s v="EMCE874189"/>
    <x v="43"/>
    <x v="10"/>
    <x v="10"/>
    <x v="1"/>
    <x v="1"/>
    <x v="1"/>
    <s v="01:00 PM to 03:00 PM"/>
    <x v="3"/>
    <s v="Deepak Netam"/>
    <d v="2002-03-28T00:00:00"/>
    <s v="Shyamlal Netam"/>
    <s v="Chandrabai"/>
    <x v="0"/>
    <x v="2"/>
    <s v="Quarter No. - 17/E, Street - 01, Sector - 09, Bhilai, Dist - Durg, Chhattisgarh, Pin - 490001"/>
    <x v="12"/>
    <n v="6335800220"/>
    <s v="deepakneta5322@gmail.com"/>
    <s v="B.COM."/>
    <s v="YES"/>
    <s v="Issue"/>
    <n v="3000"/>
    <n v="200"/>
    <n v="500"/>
    <n v="200"/>
    <n v="3500"/>
    <n v="1000"/>
    <d v="2024-04-11T00:00:00"/>
    <n v="2500"/>
    <n v="1000"/>
    <d v="2024-05-11T00:00:00"/>
    <n v="1500"/>
    <n v="500"/>
    <d v="2024-06-11T00:00:00"/>
    <n v="1000"/>
    <n v="500"/>
    <d v="2024-07-11T00:00:00"/>
    <n v="500"/>
    <n v="500"/>
    <d v="2024-08-11T00:00:00"/>
    <n v="0"/>
    <s v=""/>
    <s v=""/>
    <s v=""/>
    <n v="3500"/>
    <n v="0"/>
    <s v="Paid"/>
    <s v="R"/>
    <x v="0"/>
  </r>
  <r>
    <n v="71"/>
    <n v="71"/>
    <s v="EMCE877031@emaxindia.in"/>
    <s v="vasudha@2006"/>
    <s v="EMCE877031"/>
    <x v="43"/>
    <x v="9"/>
    <x v="9"/>
    <x v="1"/>
    <x v="1"/>
    <x v="1"/>
    <s v="10:30 AM to 12:00 PM"/>
    <x v="1"/>
    <s v="Vasudha Tekam"/>
    <d v="2006-12-02T00:00:00"/>
    <s v="Dinesh Tekam"/>
    <s v="Indra Bai"/>
    <x v="0"/>
    <x v="0"/>
    <s v="Qr. No. 16, Bl No. 8, Street No. Emr, Sector - 04, Bhilai, Dist - Durg, Chhattisgarh, Pin - 490001"/>
    <x v="1"/>
    <n v="8343269053"/>
    <s v="vasudhateka9199@gmail.com"/>
    <s v="8TH PASS"/>
    <s v="YES"/>
    <s v="Issue"/>
    <n v="2000"/>
    <n v="200"/>
    <n v="300"/>
    <n v="500"/>
    <n v="2000"/>
    <n v="500"/>
    <d v="2024-04-11T00:00:00"/>
    <n v="1500"/>
    <n v="500"/>
    <d v="2024-05-11T00:00:00"/>
    <n v="1000"/>
    <n v="500"/>
    <d v="2024-06-11T00:00:00"/>
    <n v="500"/>
    <n v="500"/>
    <d v="2024-07-11T00:00:00"/>
    <n v="0"/>
    <s v=""/>
    <s v=""/>
    <s v=""/>
    <s v=""/>
    <s v=""/>
    <s v=""/>
    <n v="2000"/>
    <n v="0"/>
    <s v="Paid"/>
    <s v="R"/>
    <x v="0"/>
  </r>
  <r>
    <n v="72"/>
    <n v="72"/>
    <s v="EMCE829750@emaxindia.in"/>
    <s v="mukesh@1996"/>
    <s v="EMCE829750"/>
    <x v="44"/>
    <x v="7"/>
    <x v="7"/>
    <x v="1"/>
    <x v="1"/>
    <x v="1"/>
    <s v="01:00 PM to 03:00 PM"/>
    <x v="3"/>
    <s v="Mukesh Agrawal"/>
    <d v="1996-02-12T00:00:00"/>
    <s v="Parmanand Agrawal"/>
    <s v="Reena"/>
    <x v="0"/>
    <x v="3"/>
    <s v="Block - 11/A, Street - 11, Sector - 04, Bhilai, Dist - Durg, Chhattisgarh, Pin - 490001"/>
    <x v="1"/>
    <n v="9722900204"/>
    <s v="mukeshagra5892@gmail.com"/>
    <s v="12TH PASS"/>
    <s v="YES"/>
    <s v="Issue"/>
    <n v="3000"/>
    <n v="200"/>
    <n v="500"/>
    <n v="300"/>
    <n v="3400"/>
    <n v="1000"/>
    <d v="2024-04-12T00:00:00"/>
    <n v="2400"/>
    <n v="1000"/>
    <d v="2024-05-12T00:00:00"/>
    <n v="1400"/>
    <n v="500"/>
    <d v="2024-06-12T00:00:00"/>
    <n v="900"/>
    <n v="500"/>
    <d v="2024-07-12T00:00:00"/>
    <n v="400"/>
    <n v="400"/>
    <d v="2024-08-12T00:00:00"/>
    <n v="0"/>
    <s v=""/>
    <s v=""/>
    <s v=""/>
    <n v="3400"/>
    <n v="0"/>
    <s v="Paid"/>
    <s v="R"/>
    <x v="0"/>
  </r>
  <r>
    <n v="73"/>
    <n v="73"/>
    <s v="EMCE831291@emaxindia.in"/>
    <s v="toran@1991"/>
    <s v="EMCE831291"/>
    <x v="45"/>
    <x v="11"/>
    <x v="11"/>
    <x v="1"/>
    <x v="1"/>
    <x v="1"/>
    <s v="04:30 PM to 06:00 PM"/>
    <x v="0"/>
    <s v="Toran Saini"/>
    <d v="1991-04-20T00:00:00"/>
    <s v="Ganesh Saini"/>
    <s v="Meena Bai"/>
    <x v="0"/>
    <x v="3"/>
    <s v="Qtr. No. 15/F, Street No. - 20, Sector - 02, Bhilai, Dist - Durg, Chhattisgarh, Pin - 490001"/>
    <x v="2"/>
    <n v="7826334220"/>
    <s v="toransain4317@gmail.com"/>
    <s v="10TH PASS"/>
    <s v="YES"/>
    <s v="Issue"/>
    <n v="2500"/>
    <n v="200"/>
    <n v="500"/>
    <n v="200"/>
    <n v="3000"/>
    <n v="1000"/>
    <d v="2024-04-16T00:00:00"/>
    <n v="2000"/>
    <n v="1000"/>
    <d v="2024-05-16T00:00:00"/>
    <n v="1000"/>
    <n v="500"/>
    <d v="2024-06-16T00:00:00"/>
    <n v="500"/>
    <n v="500"/>
    <d v="2024-07-16T00:00:00"/>
    <n v="0"/>
    <s v=""/>
    <s v=""/>
    <s v=""/>
    <s v=""/>
    <s v=""/>
    <s v=""/>
    <n v="3000"/>
    <n v="0"/>
    <s v="Paid"/>
    <s v="R"/>
    <x v="0"/>
  </r>
  <r>
    <n v="74"/>
    <n v="74"/>
    <s v="EMCE845621@emaxindia.in"/>
    <s v="shyam@2001"/>
    <s v="EMCE845621"/>
    <x v="46"/>
    <x v="0"/>
    <x v="0"/>
    <x v="0"/>
    <x v="0"/>
    <x v="0"/>
    <s v="01:00 PM to 03:00 PM"/>
    <x v="3"/>
    <s v="Shyam Gurjar"/>
    <d v="2001-11-28T00:00:00"/>
    <s v="Shyamlal Gurjar"/>
    <s v="Gomati"/>
    <x v="1"/>
    <x v="3"/>
    <s v="House No. - 989, Shanti Nagar, Bhilai, Dist - Durg, Chhattisgarh, Pin - 490020"/>
    <x v="8"/>
    <n v="7441158545"/>
    <s v="shyamgurj8852@gmail.com"/>
    <s v="8TH PASS"/>
    <s v="YES"/>
    <s v="Issue"/>
    <n v="12500"/>
    <n v="200"/>
    <n v="1200"/>
    <n v="300"/>
    <n v="13600"/>
    <n v="5000"/>
    <d v="2024-04-17T00:00:00"/>
    <n v="8600"/>
    <n v="3000"/>
    <d v="2024-05-17T00:00:00"/>
    <n v="5600"/>
    <n v="3000"/>
    <d v="2024-06-17T00:00:00"/>
    <n v="2600"/>
    <n v="1000"/>
    <d v="2024-07-17T00:00:00"/>
    <n v="1600"/>
    <n v="1000"/>
    <d v="2024-08-17T00:00:00"/>
    <n v="600"/>
    <n v="600"/>
    <d v="2024-09-17T00:00:00"/>
    <n v="0"/>
    <n v="13600"/>
    <n v="0"/>
    <s v="Paid"/>
    <s v="R"/>
    <x v="0"/>
  </r>
  <r>
    <n v="75"/>
    <n v="75"/>
    <s v="EMCE858656@emaxindia.in"/>
    <s v="abhishek@1995"/>
    <s v="EMCE858656"/>
    <x v="46"/>
    <x v="8"/>
    <x v="8"/>
    <x v="0"/>
    <x v="1"/>
    <x v="2"/>
    <s v="10:30 AM to 12:00 PM"/>
    <x v="1"/>
    <s v="Abhishek Namdev"/>
    <d v="1995-12-18T00:00:00"/>
    <s v="Brijlal Namdev"/>
    <s v="Kamla Bai"/>
    <x v="0"/>
    <x v="0"/>
    <s v="House No. - 967, Ward - 03, Camp - 02, Bhilai, Dist - Durg, Chhattisgarh, Pin - 490001"/>
    <x v="9"/>
    <n v="9053641277"/>
    <s v="abhisheknamd9975@gmail.com"/>
    <s v="8TH PASS"/>
    <s v="YES"/>
    <s v="Issue"/>
    <n v="6000"/>
    <n v="200"/>
    <n v="800"/>
    <n v="300"/>
    <n v="6700"/>
    <n v="2500"/>
    <d v="2024-04-17T00:00:00"/>
    <n v="4200"/>
    <n v="1000"/>
    <d v="2024-05-17T00:00:00"/>
    <n v="3200"/>
    <n v="1000"/>
    <d v="2024-06-17T00:00:00"/>
    <n v="2200"/>
    <n v="1000"/>
    <d v="2024-07-17T00:00:00"/>
    <n v="1200"/>
    <n v="1000"/>
    <d v="2024-08-17T00:00:00"/>
    <n v="200"/>
    <n v="200"/>
    <d v="2024-09-17T00:00:00"/>
    <n v="0"/>
    <n v="6700"/>
    <n v="0"/>
    <s v="Paid"/>
    <s v="R"/>
    <x v="0"/>
  </r>
  <r>
    <n v="76"/>
    <n v="76"/>
    <s v="EMCE882756@emaxindia.in"/>
    <s v="toran@2000"/>
    <s v="EMCE882756"/>
    <x v="47"/>
    <x v="0"/>
    <x v="0"/>
    <x v="0"/>
    <x v="0"/>
    <x v="0"/>
    <s v="01:00 PM to 03:00 PM"/>
    <x v="3"/>
    <s v="Toran Kumhar"/>
    <d v="2000-05-23T00:00:00"/>
    <s v="Prem Kumar Kumhar"/>
    <s v="Vimla"/>
    <x v="0"/>
    <x v="0"/>
    <s v="Qr. No. 21, Bl No. 12, Street No. Emr, Sector - 04, Bhilai, Dist - Durg, Chhattisgarh, Pin - 490001"/>
    <x v="1"/>
    <n v="9306337897"/>
    <s v="torankumh6095@gmail.com"/>
    <s v="12TH PASS"/>
    <s v="YES"/>
    <s v="Issue"/>
    <n v="12500"/>
    <n v="200"/>
    <n v="1200"/>
    <n v="0"/>
    <n v="13900"/>
    <n v="5000"/>
    <d v="2024-04-18T00:00:00"/>
    <n v="8900"/>
    <n v="3000"/>
    <d v="2024-05-18T00:00:00"/>
    <n v="5900"/>
    <n v="3000"/>
    <d v="2024-06-18T00:00:00"/>
    <n v="2900"/>
    <n v="1000"/>
    <d v="2024-07-18T00:00:00"/>
    <n v="1900"/>
    <n v="1000"/>
    <d v="2024-08-18T00:00:00"/>
    <n v="900"/>
    <n v="900"/>
    <d v="2024-09-18T00:00:00"/>
    <n v="0"/>
    <n v="13900"/>
    <n v="0"/>
    <s v="Paid"/>
    <s v="R"/>
    <x v="0"/>
  </r>
  <r>
    <n v="77"/>
    <n v="77"/>
    <s v="EMCE836842@emaxindia.in"/>
    <s v="anita@2006"/>
    <s v="EMCE836842"/>
    <x v="48"/>
    <x v="11"/>
    <x v="11"/>
    <x v="1"/>
    <x v="1"/>
    <x v="1"/>
    <s v="10:30 AM to 12:00 PM"/>
    <x v="1"/>
    <s v="Anita Joshi"/>
    <d v="2006-03-22T00:00:00"/>
    <s v="Ashok Kumar Joshi"/>
    <s v="Meena Bai"/>
    <x v="0"/>
    <x v="1"/>
    <s v="House No. - 695, Ward - 13, Kosa Nagar, Bhilai, Dist - Durg, Chhattisgarh, Pin - 490020"/>
    <x v="7"/>
    <n v="8046476463"/>
    <s v="anitajosh2417@gmail.com"/>
    <s v="8TH PASS"/>
    <s v="YES"/>
    <s v="Issue"/>
    <n v="2500"/>
    <n v="200"/>
    <n v="500"/>
    <n v="0"/>
    <n v="3200"/>
    <n v="1000"/>
    <d v="2024-04-20T00:00:00"/>
    <n v="2200"/>
    <n v="1000"/>
    <d v="2024-05-20T00:00:00"/>
    <n v="1200"/>
    <n v="500"/>
    <d v="2024-06-20T00:00:00"/>
    <n v="700"/>
    <n v="500"/>
    <d v="2024-07-20T00:00:00"/>
    <n v="200"/>
    <n v="200"/>
    <d v="2024-08-20T00:00:00"/>
    <n v="0"/>
    <s v=""/>
    <s v=""/>
    <s v=""/>
    <n v="3200"/>
    <n v="0"/>
    <s v="Paid"/>
    <s v="R"/>
    <x v="0"/>
  </r>
  <r>
    <n v="78"/>
    <n v="78"/>
    <s v="EMCE865936@emaxindia.in"/>
    <s v="ankit@2001"/>
    <s v="EMCE865936"/>
    <x v="48"/>
    <x v="13"/>
    <x v="13"/>
    <x v="1"/>
    <x v="1"/>
    <x v="1"/>
    <s v="11:30 AM to 12:45 PM"/>
    <x v="1"/>
    <s v="Ankit Gupta"/>
    <d v="2001-05-21T00:00:00"/>
    <s v="Toran Lal Gupta"/>
    <s v="Yamuna Bai"/>
    <x v="0"/>
    <x v="3"/>
    <s v="Qr. No. 26/F, Street No. - 01, Sector - 08, Bhilai, Dist - Durg, Chhattisgarh, Pin - 490001"/>
    <x v="18"/>
    <n v="6963501547"/>
    <s v="ankitgupt570@gmail.com"/>
    <s v="12TH PASS"/>
    <s v="YES"/>
    <s v="Issue"/>
    <n v="3500"/>
    <n v="200"/>
    <n v="500"/>
    <n v="0"/>
    <n v="4200"/>
    <n v="1000"/>
    <d v="2024-04-20T00:00:00"/>
    <n v="3200"/>
    <n v="1000"/>
    <d v="2024-05-20T00:00:00"/>
    <n v="2200"/>
    <n v="1000"/>
    <d v="2024-06-20T00:00:00"/>
    <n v="1200"/>
    <n v="500"/>
    <d v="2024-07-20T00:00:00"/>
    <n v="700"/>
    <n v="500"/>
    <d v="2024-08-20T00:00:00"/>
    <n v="200"/>
    <n v="200"/>
    <d v="2024-09-20T00:00:00"/>
    <n v="0"/>
    <n v="4200"/>
    <n v="0"/>
    <s v="Paid"/>
    <s v="R"/>
    <x v="0"/>
  </r>
  <r>
    <n v="79"/>
    <n v="79"/>
    <s v="EMCE873360@emaxindia.in"/>
    <s v="ramesh@1989"/>
    <s v="EMCE873360"/>
    <x v="49"/>
    <x v="0"/>
    <x v="0"/>
    <x v="0"/>
    <x v="0"/>
    <x v="0"/>
    <s v="04:30 PM to 06:00 PM"/>
    <x v="0"/>
    <s v="Ramesh Rathore"/>
    <d v="1989-07-15T00:00:00"/>
    <s v="Vijay Kumar Rathore"/>
    <s v="Reena"/>
    <x v="0"/>
    <x v="0"/>
    <s v="House No. - 780, Ward - 30, Kumhari, Bhilai, Dist - Durg, Chhattisgarh, Pin - 490042"/>
    <x v="15"/>
    <n v="8591977575"/>
    <s v="rameshrath8998@gmail.com"/>
    <s v="B.COM."/>
    <s v="YES"/>
    <s v="Issue"/>
    <n v="12500"/>
    <n v="200"/>
    <n v="1200"/>
    <n v="0"/>
    <n v="13900"/>
    <n v="5000"/>
    <d v="2024-04-21T00:00:00"/>
    <n v="8900"/>
    <n v="3000"/>
    <d v="2024-05-21T00:00:00"/>
    <n v="5900"/>
    <n v="3000"/>
    <d v="2024-06-21T00:00:00"/>
    <n v="2900"/>
    <n v="1000"/>
    <d v="2024-07-21T00:00:00"/>
    <n v="1900"/>
    <n v="1000"/>
    <d v="2024-08-21T00:00:00"/>
    <n v="900"/>
    <n v="900"/>
    <d v="2024-09-21T00:00:00"/>
    <n v="0"/>
    <n v="13900"/>
    <n v="0"/>
    <s v="Paid"/>
    <s v="R"/>
    <x v="0"/>
  </r>
  <r>
    <n v="80"/>
    <n v="80"/>
    <s v="EMCE873837@emaxindia.in"/>
    <s v="archana@1996"/>
    <s v="EMCE873837"/>
    <x v="49"/>
    <x v="6"/>
    <x v="6"/>
    <x v="1"/>
    <x v="1"/>
    <x v="1"/>
    <s v="01:00 PM to 03:00 PM"/>
    <x v="3"/>
    <s v="Archana Kosare"/>
    <d v="1996-06-16T00:00:00"/>
    <s v="Shyamlal Kosare"/>
    <s v="Kamla Bai"/>
    <x v="0"/>
    <x v="0"/>
    <s v="Quarter No. - 15/A, Street - 09, Sector - 09, Bhilai, Dist - Durg, Chhattisgarh, Pin - 490001"/>
    <x v="12"/>
    <n v="7746805585"/>
    <s v="archanakosa4478@gmail.com"/>
    <s v="8TH PASS"/>
    <s v="YES"/>
    <s v="Issue"/>
    <n v="2000"/>
    <n v="200"/>
    <n v="300"/>
    <n v="0"/>
    <n v="2500"/>
    <n v="1000"/>
    <d v="2024-04-21T00:00:00"/>
    <n v="1500"/>
    <n v="500"/>
    <d v="2024-05-21T00:00:00"/>
    <n v="1000"/>
    <n v="500"/>
    <d v="2024-06-21T00:00:00"/>
    <n v="500"/>
    <n v="500"/>
    <d v="2024-07-21T00:00:00"/>
    <n v="0"/>
    <s v=""/>
    <s v=""/>
    <s v=""/>
    <s v=""/>
    <s v=""/>
    <s v=""/>
    <n v="2500"/>
    <n v="0"/>
    <s v="Paid"/>
    <s v="R"/>
    <x v="0"/>
  </r>
  <r>
    <n v="81"/>
    <n v="81"/>
    <s v="EMCE832732@emaxindia.in"/>
    <s v="shubha@2006"/>
    <s v="EMCE832732"/>
    <x v="50"/>
    <x v="13"/>
    <x v="13"/>
    <x v="1"/>
    <x v="1"/>
    <x v="1"/>
    <s v="10:30 AM to 12:00 PM"/>
    <x v="1"/>
    <s v="Shubha Sinha"/>
    <d v="2006-07-17T00:00:00"/>
    <s v="Ashok Kumar Sinha"/>
    <s v="Durga Bai"/>
    <x v="0"/>
    <x v="1"/>
    <s v="House No. - 503, Vaishali Nagar, Bhilai, Bhilai, Dist - Durg, Chhattisgarh, Pin - 490020"/>
    <x v="5"/>
    <n v="6860884301"/>
    <s v="shubhasinh3089@gmail.com"/>
    <s v="10TH PASS"/>
    <s v="YES"/>
    <s v="Issue"/>
    <n v="3500"/>
    <n v="200"/>
    <n v="500"/>
    <n v="0"/>
    <n v="4200"/>
    <n v="1000"/>
    <d v="2024-04-22T00:00:00"/>
    <n v="3200"/>
    <n v="1000"/>
    <d v="2024-05-22T00:00:00"/>
    <n v="2200"/>
    <n v="1000"/>
    <d v="2024-06-22T00:00:00"/>
    <n v="1200"/>
    <n v="500"/>
    <d v="2024-07-22T00:00:00"/>
    <n v="700"/>
    <n v="500"/>
    <d v="2024-08-22T00:00:00"/>
    <n v="200"/>
    <n v="200"/>
    <d v="2024-09-22T00:00:00"/>
    <n v="0"/>
    <n v="4200"/>
    <n v="0"/>
    <s v="Paid"/>
    <s v="R"/>
    <x v="0"/>
  </r>
  <r>
    <n v="82"/>
    <n v="82"/>
    <s v="EMCE838520@emaxindia.in"/>
    <s v="anuradha@1989"/>
    <s v="EMCE838520"/>
    <x v="51"/>
    <x v="1"/>
    <x v="1"/>
    <x v="1"/>
    <x v="1"/>
    <x v="1"/>
    <s v="10:30 AM to 12:00 PM"/>
    <x v="1"/>
    <s v="Anuradha Pandey"/>
    <d v="1989-10-05T00:00:00"/>
    <s v="Laxman Prasad Pandey"/>
    <s v="Meena Bai"/>
    <x v="0"/>
    <x v="3"/>
    <s v="Quarter No. - 14/A, Street - 09, Sector - 09, Bhilai, Dist - Durg, Chhattisgarh, Pin - 490001"/>
    <x v="12"/>
    <n v="7256623455"/>
    <s v="anuradhapand3594@gmail.com"/>
    <s v="12TH PASS"/>
    <s v="YES"/>
    <s v="Issue"/>
    <n v="3000"/>
    <n v="200"/>
    <n v="500"/>
    <n v="0"/>
    <n v="3700"/>
    <n v="1000"/>
    <d v="2024-04-23T00:00:00"/>
    <n v="2700"/>
    <n v="1000"/>
    <d v="2024-05-23T00:00:00"/>
    <n v="1700"/>
    <n v="500"/>
    <d v="2024-06-23T00:00:00"/>
    <n v="1200"/>
    <n v="500"/>
    <d v="2024-07-23T00:00:00"/>
    <n v="700"/>
    <n v="500"/>
    <d v="2024-08-23T00:00:00"/>
    <n v="200"/>
    <n v="200"/>
    <d v="2024-09-23T00:00:00"/>
    <n v="0"/>
    <n v="3700"/>
    <n v="0"/>
    <s v="Paid"/>
    <s v="R"/>
    <x v="0"/>
  </r>
  <r>
    <n v="83"/>
    <n v="83"/>
    <s v="EMCE870579@emaxindia.in"/>
    <s v="chhaya@2010"/>
    <s v="EMCE870579"/>
    <x v="51"/>
    <x v="0"/>
    <x v="0"/>
    <x v="0"/>
    <x v="0"/>
    <x v="0"/>
    <s v="01:00 PM to 03:00 PM"/>
    <x v="3"/>
    <s v="Chhaya Mali"/>
    <d v="2010-11-02T00:00:00"/>
    <s v="Jagdish Mali"/>
    <s v="Savita"/>
    <x v="0"/>
    <x v="0"/>
    <s v="Qtr. No. 1/C, Street No. - 13, Sector - 02, Bhilai, Dist - Durg, Chhattisgarh, Pin - 490001"/>
    <x v="2"/>
    <n v="9277104076"/>
    <s v="chhayamali395@gmail.com"/>
    <s v="GRADUATE"/>
    <s v="YES"/>
    <s v="Issue"/>
    <n v="12500"/>
    <n v="200"/>
    <n v="1200"/>
    <n v="0"/>
    <n v="13900"/>
    <n v="5000"/>
    <d v="2024-04-23T00:00:00"/>
    <n v="8900"/>
    <n v="3000"/>
    <d v="2024-05-23T00:00:00"/>
    <n v="5900"/>
    <n v="3000"/>
    <d v="2024-06-23T00:00:00"/>
    <n v="2900"/>
    <n v="1000"/>
    <d v="2024-07-23T00:00:00"/>
    <n v="1900"/>
    <n v="1000"/>
    <d v="2024-08-23T00:00:00"/>
    <n v="900"/>
    <n v="900"/>
    <d v="2024-09-23T00:00:00"/>
    <n v="0"/>
    <n v="13900"/>
    <n v="0"/>
    <s v="Paid"/>
    <s v="R"/>
    <x v="0"/>
  </r>
  <r>
    <n v="84"/>
    <n v="84"/>
    <s v="EMCE871382@emaxindia.in"/>
    <s v="ashish@2002"/>
    <s v="EMCE871382"/>
    <x v="52"/>
    <x v="7"/>
    <x v="7"/>
    <x v="1"/>
    <x v="1"/>
    <x v="1"/>
    <s v="11:30 AM to 12:45 PM"/>
    <x v="1"/>
    <s v="Ashish Goud"/>
    <d v="2002-10-24T00:00:00"/>
    <s v="Suresh Goud"/>
    <s v="Hira Bai"/>
    <x v="0"/>
    <x v="3"/>
    <s v="Quarter No. - 4/C, Street - 14, Sector - 09, Bhilai, Dist - Durg, Chhattisgarh, Pin - 490001"/>
    <x v="12"/>
    <n v="7075090690"/>
    <s v="ashishgoud9965@gmail.com"/>
    <s v="B.COM."/>
    <s v="YES"/>
    <s v="Issue"/>
    <n v="3000"/>
    <n v="200"/>
    <n v="500"/>
    <n v="300"/>
    <n v="3400"/>
    <n v="1000"/>
    <d v="2024-04-24T00:00:00"/>
    <n v="2400"/>
    <n v="1000"/>
    <d v="2024-05-24T00:00:00"/>
    <n v="1400"/>
    <n v="500"/>
    <d v="2024-06-24T00:00:00"/>
    <n v="900"/>
    <n v="500"/>
    <d v="2024-07-24T00:00:00"/>
    <n v="400"/>
    <n v="400"/>
    <d v="2024-08-24T00:00:00"/>
    <n v="0"/>
    <s v=""/>
    <s v=""/>
    <s v=""/>
    <n v="3400"/>
    <n v="0"/>
    <s v="Paid"/>
    <s v="R"/>
    <x v="0"/>
  </r>
  <r>
    <n v="85"/>
    <n v="85"/>
    <s v="EMCE866027@emaxindia.in"/>
    <s v="karan@2004"/>
    <s v="EMCE866027"/>
    <x v="53"/>
    <x v="5"/>
    <x v="5"/>
    <x v="1"/>
    <x v="1"/>
    <x v="1"/>
    <s v="10:30 AM to 12:00 PM"/>
    <x v="1"/>
    <s v="Karan Sahu"/>
    <d v="2004-12-10T00:00:00"/>
    <s v="Prem Kumar Sahu"/>
    <s v="Ratna"/>
    <x v="0"/>
    <x v="3"/>
    <s v="House No. - 461, Shanti Nagar, Bhilai, Dist - Durg, Chhattisgarh, Pin - 490020"/>
    <x v="8"/>
    <n v="8069316498"/>
    <s v="karansahu1775@gmail.com"/>
    <s v="DIPLOMA"/>
    <s v="YES"/>
    <s v="Issue"/>
    <n v="2500"/>
    <n v="200"/>
    <n v="400"/>
    <n v="500"/>
    <n v="2600"/>
    <n v="1000"/>
    <d v="2024-04-28T00:00:00"/>
    <n v="1600"/>
    <n v="500"/>
    <d v="2024-05-28T00:00:00"/>
    <n v="1100"/>
    <n v="500"/>
    <d v="2024-06-28T00:00:00"/>
    <n v="600"/>
    <n v="500"/>
    <d v="2024-07-28T00:00:00"/>
    <n v="100"/>
    <n v="100"/>
    <d v="2024-08-28T00:00:00"/>
    <n v="0"/>
    <s v=""/>
    <s v=""/>
    <s v=""/>
    <n v="2600"/>
    <n v="0"/>
    <s v="Paid"/>
    <s v="R"/>
    <x v="0"/>
  </r>
  <r>
    <n v="86"/>
    <n v="86"/>
    <s v="EMCE831891@emaxindia.in"/>
    <s v="hema@2005"/>
    <s v="EMCE831891"/>
    <x v="54"/>
    <x v="9"/>
    <x v="9"/>
    <x v="1"/>
    <x v="1"/>
    <x v="1"/>
    <s v="11:30 AM to 12:45 PM"/>
    <x v="1"/>
    <s v="Hema Paikara"/>
    <d v="2005-12-21T00:00:00"/>
    <s v="Vijay Kumar Paikara"/>
    <s v="Saroj"/>
    <x v="1"/>
    <x v="1"/>
    <s v="Quarter No. - 10/C, Street - 10, Sector - 09, Bhilai, Dist - Durg, Chhattisgarh, Pin - 490001"/>
    <x v="12"/>
    <n v="8414046937"/>
    <s v="hemapaik2105@gmail.com"/>
    <s v="BCA"/>
    <s v="YES"/>
    <s v="Issue"/>
    <n v="2000"/>
    <n v="200"/>
    <n v="300"/>
    <n v="300"/>
    <n v="2200"/>
    <n v="500"/>
    <d v="2024-04-29T00:00:00"/>
    <n v="1700"/>
    <n v="500"/>
    <d v="2024-05-29T00:00:00"/>
    <n v="1200"/>
    <n v="500"/>
    <d v="2024-06-29T00:00:00"/>
    <n v="700"/>
    <n v="500"/>
    <d v="2024-07-29T00:00:00"/>
    <n v="200"/>
    <n v="200"/>
    <d v="2024-08-29T00:00:00"/>
    <n v="0"/>
    <s v=""/>
    <s v=""/>
    <s v=""/>
    <n v="2200"/>
    <n v="0"/>
    <s v="Paid"/>
    <s v="R"/>
    <x v="0"/>
  </r>
  <r>
    <n v="87"/>
    <n v="87"/>
    <s v="EMCE865351@emaxindia.in"/>
    <s v="nalini@2001"/>
    <s v="EMCE865351"/>
    <x v="54"/>
    <x v="4"/>
    <x v="4"/>
    <x v="0"/>
    <x v="0"/>
    <x v="0"/>
    <s v="04:30 PM to 06:00 PM"/>
    <x v="0"/>
    <s v="Nalini Choudhary"/>
    <d v="2001-11-13T00:00:00"/>
    <s v="Ramesh Choudhary"/>
    <s v="Kaushalya"/>
    <x v="0"/>
    <x v="0"/>
    <s v="Qrt. No. 12/D, Street No. - 20, Sector - 01, Bhilai, Dist - Durg, Chhattisgarh, Pin - 490001"/>
    <x v="17"/>
    <n v="8478105040"/>
    <s v="nalinichou6426@gmail.com"/>
    <s v="12TH PASS"/>
    <s v="YES"/>
    <s v="Issue"/>
    <n v="15000"/>
    <n v="200"/>
    <n v="1200"/>
    <n v="200"/>
    <n v="16200"/>
    <n v="5000"/>
    <d v="2024-04-29T00:00:00"/>
    <n v="11200"/>
    <n v="3000"/>
    <d v="2024-05-29T00:00:00"/>
    <n v="8200"/>
    <n v="3000"/>
    <d v="2024-06-29T00:00:00"/>
    <n v="5200"/>
    <n v="3000"/>
    <d v="2024-07-29T00:00:00"/>
    <n v="2200"/>
    <n v="2000"/>
    <d v="2024-08-29T00:00:00"/>
    <n v="200"/>
    <n v="200"/>
    <d v="2024-09-29T00:00:00"/>
    <n v="0"/>
    <n v="16200"/>
    <n v="0"/>
    <s v="Paid"/>
    <s v="R"/>
    <x v="0"/>
  </r>
  <r>
    <n v="88"/>
    <n v="88"/>
    <s v="EMCE832076@emaxindia.in"/>
    <s v="geeta@2000"/>
    <s v="EMCE832076"/>
    <x v="55"/>
    <x v="8"/>
    <x v="8"/>
    <x v="0"/>
    <x v="1"/>
    <x v="2"/>
    <s v="04:30 PM to 06:00 PM"/>
    <x v="0"/>
    <s v="Geeta Mishra"/>
    <d v="2000-08-17T00:00:00"/>
    <s v="Hemant Kumar Mishra"/>
    <s v="Dropadi"/>
    <x v="0"/>
    <x v="3"/>
    <s v="Qtr. No. 4/D, Street No. - 06, Sector - 02, Bhilai, Dist - Durg, Chhattisgarh, Pin - 490001"/>
    <x v="2"/>
    <n v="7288835242"/>
    <s v="geetamish522@gmail.com"/>
    <s v="DIPLOMA"/>
    <s v="YES"/>
    <s v="Issue"/>
    <n v="6000"/>
    <n v="200"/>
    <n v="800"/>
    <n v="200"/>
    <n v="6800"/>
    <n v="2500"/>
    <d v="2024-05-02T00:00:00"/>
    <n v="4300"/>
    <n v="1000"/>
    <d v="2024-06-02T00:00:00"/>
    <n v="3300"/>
    <n v="1000"/>
    <d v="2024-07-02T00:00:00"/>
    <n v="2300"/>
    <n v="1000"/>
    <d v="2024-08-02T00:00:00"/>
    <n v="1300"/>
    <n v="1000"/>
    <d v="2024-09-02T00:00:00"/>
    <n v="300"/>
    <n v="300"/>
    <d v="2024-10-02T00:00:00"/>
    <n v="0"/>
    <n v="6800"/>
    <n v="0"/>
    <s v="Paid"/>
    <s v="R"/>
    <x v="0"/>
  </r>
  <r>
    <n v="89"/>
    <n v="89"/>
    <s v="EMCE873937@emaxindia.in"/>
    <s v="milan@2008"/>
    <s v="EMCE873937"/>
    <x v="55"/>
    <x v="1"/>
    <x v="1"/>
    <x v="1"/>
    <x v="1"/>
    <x v="1"/>
    <s v="11:30 AM to 12:45 PM"/>
    <x v="1"/>
    <s v="Milan Banjare"/>
    <d v="2008-03-03T00:00:00"/>
    <s v="Pitambar Banjare"/>
    <s v="Ramkunwari"/>
    <x v="0"/>
    <x v="3"/>
    <s v="House No. - 807, Ward - 08, Kumhari, Bhilai, Dist - Durg, Chhattisgarh, Pin - 490042"/>
    <x v="15"/>
    <n v="7473265678"/>
    <s v="milanbanj5805@gmail.com"/>
    <s v="ITI"/>
    <s v="YES"/>
    <s v="Issue"/>
    <n v="3000"/>
    <n v="200"/>
    <n v="500"/>
    <n v="200"/>
    <n v="3500"/>
    <n v="1000"/>
    <d v="2024-05-02T00:00:00"/>
    <n v="2500"/>
    <n v="1000"/>
    <d v="2024-06-02T00:00:00"/>
    <n v="1500"/>
    <n v="500"/>
    <d v="2024-07-02T00:00:00"/>
    <n v="1000"/>
    <n v="500"/>
    <d v="2024-08-02T00:00:00"/>
    <n v="500"/>
    <n v="500"/>
    <d v="2024-09-02T00:00:00"/>
    <n v="0"/>
    <s v=""/>
    <s v=""/>
    <s v=""/>
    <n v="3500"/>
    <n v="0"/>
    <s v="Paid"/>
    <s v="R"/>
    <x v="0"/>
  </r>
  <r>
    <n v="90"/>
    <n v="90"/>
    <s v="EMCE860099@emaxindia.in"/>
    <s v="mukesh@2009"/>
    <s v="EMCE860099"/>
    <x v="56"/>
    <x v="5"/>
    <x v="5"/>
    <x v="1"/>
    <x v="1"/>
    <x v="1"/>
    <s v="12:45 PM to 2:30 PM"/>
    <x v="2"/>
    <s v="Mukesh Choudhary"/>
    <d v="2009-09-24T00:00:00"/>
    <s v="Ramesh Choudhary"/>
    <s v="Champa"/>
    <x v="0"/>
    <x v="0"/>
    <s v="Qtr. No. 1/F, Street No. - 24, Sector - 02, Bhilai, Dist - Durg, Chhattisgarh, Pin - 490001"/>
    <x v="2"/>
    <n v="8203017383"/>
    <s v="mukeshchou9425@gmail.com"/>
    <s v="POST GRADUATE"/>
    <s v="YES"/>
    <s v="Issue"/>
    <n v="2500"/>
    <n v="200"/>
    <n v="400"/>
    <n v="300"/>
    <n v="2800"/>
    <n v="1000"/>
    <d v="2024-05-03T00:00:00"/>
    <n v="1800"/>
    <n v="500"/>
    <d v="2024-06-03T00:00:00"/>
    <n v="1300"/>
    <n v="500"/>
    <d v="2024-07-03T00:00:00"/>
    <n v="800"/>
    <n v="500"/>
    <d v="2024-08-03T00:00:00"/>
    <n v="300"/>
    <n v="300"/>
    <d v="2024-09-03T00:00:00"/>
    <n v="0"/>
    <s v=""/>
    <s v=""/>
    <s v=""/>
    <n v="2800"/>
    <n v="0"/>
    <s v="Paid"/>
    <s v="R"/>
    <x v="0"/>
  </r>
  <r>
    <n v="91"/>
    <n v="91"/>
    <s v="EMCE827513@emaxindia.in"/>
    <s v="umesh@1997"/>
    <s v="EMCE827513"/>
    <x v="57"/>
    <x v="10"/>
    <x v="10"/>
    <x v="1"/>
    <x v="1"/>
    <x v="1"/>
    <s v="11:30 AM to 12:45 PM"/>
    <x v="1"/>
    <s v="Umesh Kumhar"/>
    <d v="1997-11-24T00:00:00"/>
    <s v="Toran Lal Kumhar"/>
    <s v="Usha"/>
    <x v="0"/>
    <x v="3"/>
    <s v="House No. - 400, Risali, Bhilai, Bhilai, Dist - Durg, Chhattisgarh, Pin - 490006"/>
    <x v="0"/>
    <n v="9782464692"/>
    <s v="umeshkumh4725@gmail.com"/>
    <s v="12TH PASS"/>
    <s v="YES"/>
    <s v="Issue"/>
    <n v="3000"/>
    <n v="200"/>
    <n v="500"/>
    <n v="300"/>
    <n v="3400"/>
    <n v="1000"/>
    <d v="2024-05-05T00:00:00"/>
    <n v="2400"/>
    <n v="1000"/>
    <d v="2024-06-05T00:00:00"/>
    <n v="1400"/>
    <n v="500"/>
    <d v="2024-07-05T00:00:00"/>
    <n v="900"/>
    <n v="500"/>
    <d v="2024-08-05T00:00:00"/>
    <n v="400"/>
    <n v="400"/>
    <d v="2024-09-05T00:00:00"/>
    <n v="0"/>
    <s v=""/>
    <s v=""/>
    <s v=""/>
    <n v="3400"/>
    <n v="0"/>
    <s v="Paid"/>
    <s v="R"/>
    <x v="0"/>
  </r>
  <r>
    <n v="92"/>
    <n v="92"/>
    <s v="EMCE828844@emaxindia.in"/>
    <s v="harish@1994"/>
    <s v="EMCE828844"/>
    <x v="58"/>
    <x v="9"/>
    <x v="9"/>
    <x v="1"/>
    <x v="1"/>
    <x v="1"/>
    <s v="01:00 PM to 03:00 PM"/>
    <x v="3"/>
    <s v="Harish Chauhan"/>
    <d v="1994-01-23T00:00:00"/>
    <s v="Puran Lal Chauhan"/>
    <s v="Shakuntala"/>
    <x v="0"/>
    <x v="3"/>
    <s v="House No. - 630, Ward - 28, Nehru Nagar, Bhilai, Bhilai, Dist - Durg, Chhattisgarh, Pin - 490020"/>
    <x v="3"/>
    <n v="9009952260"/>
    <s v="harishchau1219@gmail.com"/>
    <s v="GRADUATE"/>
    <s v="YES"/>
    <s v="Issue"/>
    <n v="2000"/>
    <n v="200"/>
    <n v="300"/>
    <n v="500"/>
    <n v="2000"/>
    <n v="500"/>
    <d v="2024-05-06T00:00:00"/>
    <n v="1500"/>
    <n v="500"/>
    <d v="2024-06-06T00:00:00"/>
    <n v="1000"/>
    <n v="500"/>
    <d v="2024-07-06T00:00:00"/>
    <n v="500"/>
    <n v="500"/>
    <d v="2024-08-06T00:00:00"/>
    <n v="0"/>
    <s v=""/>
    <s v=""/>
    <s v=""/>
    <s v=""/>
    <s v=""/>
    <s v=""/>
    <n v="2000"/>
    <n v="0"/>
    <s v="Paid"/>
    <s v="R"/>
    <x v="0"/>
  </r>
  <r>
    <n v="93"/>
    <n v="93"/>
    <s v="EMCE835612@emaxindia.in"/>
    <s v="champa@2002"/>
    <s v="EMCE835612"/>
    <x v="59"/>
    <x v="8"/>
    <x v="8"/>
    <x v="0"/>
    <x v="1"/>
    <x v="2"/>
    <s v="04:30 PM to 06:00 PM"/>
    <x v="0"/>
    <s v="Champa Verma"/>
    <d v="2002-03-25T00:00:00"/>
    <s v="Mahesh Verma"/>
    <s v="Sarlabai"/>
    <x v="0"/>
    <x v="0"/>
    <s v="Block - 5/A, Street - 09, Sector - 04, Bhilai, Dist - Durg, Chhattisgarh, Pin - 490001"/>
    <x v="1"/>
    <n v="9229976418"/>
    <s v="champaverm8701@gmail.com"/>
    <s v="12TH PASS"/>
    <s v="YES"/>
    <s v="Issue"/>
    <n v="6000"/>
    <n v="200"/>
    <n v="800"/>
    <n v="0"/>
    <n v="7000"/>
    <n v="2500"/>
    <d v="2024-05-07T00:00:00"/>
    <n v="4500"/>
    <n v="1000"/>
    <d v="2024-06-07T00:00:00"/>
    <n v="3500"/>
    <n v="1000"/>
    <d v="2024-07-07T00:00:00"/>
    <n v="2500"/>
    <n v="1000"/>
    <d v="2024-08-07T00:00:00"/>
    <n v="1500"/>
    <n v="1000"/>
    <d v="2024-09-07T00:00:00"/>
    <n v="500"/>
    <n v="500"/>
    <d v="2024-10-07T00:00:00"/>
    <n v="0"/>
    <n v="7000"/>
    <n v="0"/>
    <s v="Paid"/>
    <s v="R"/>
    <x v="0"/>
  </r>
  <r>
    <n v="94"/>
    <n v="94"/>
    <s v="EMCE844705@emaxindia.in"/>
    <s v="komal@1995"/>
    <s v="EMCE844705"/>
    <x v="59"/>
    <x v="13"/>
    <x v="13"/>
    <x v="1"/>
    <x v="1"/>
    <x v="1"/>
    <s v="01:00 PM to 03:00 PM"/>
    <x v="3"/>
    <s v="Komal Sharma"/>
    <d v="1995-08-22T00:00:00"/>
    <s v="Parmanand Sharma"/>
    <s v="Phoolbai"/>
    <x v="0"/>
    <x v="0"/>
    <s v="Qtr. No. 29/A, Street No. - 13, Sector - 03, Bhilai, Dist - Durg, Chhattisgarh, Pin - 490001"/>
    <x v="10"/>
    <n v="7660847226"/>
    <s v="komalshar5893@gmail.com"/>
    <s v="10TH PASS"/>
    <s v="YES"/>
    <s v="Issue"/>
    <n v="3500"/>
    <n v="200"/>
    <n v="500"/>
    <n v="0"/>
    <n v="4200"/>
    <n v="1000"/>
    <d v="2024-05-07T00:00:00"/>
    <n v="3200"/>
    <n v="1000"/>
    <d v="2024-06-07T00:00:00"/>
    <n v="2200"/>
    <n v="1000"/>
    <d v="2024-07-07T00:00:00"/>
    <n v="1200"/>
    <n v="500"/>
    <d v="2024-08-07T00:00:00"/>
    <n v="700"/>
    <n v="500"/>
    <d v="2024-09-07T00:00:00"/>
    <n v="200"/>
    <n v="200"/>
    <d v="2024-10-07T00:00:00"/>
    <n v="0"/>
    <n v="4200"/>
    <n v="0"/>
    <s v="Paid"/>
    <s v="R"/>
    <x v="0"/>
  </r>
  <r>
    <n v="95"/>
    <n v="95"/>
    <s v="EMCE869300@emaxindia.in"/>
    <s v="rajesh@2003"/>
    <s v="EMCE869300"/>
    <x v="59"/>
    <x v="7"/>
    <x v="7"/>
    <x v="1"/>
    <x v="1"/>
    <x v="1"/>
    <s v="04:30 PM to 06:00 PM"/>
    <x v="0"/>
    <s v="Rajesh Kujur"/>
    <d v="2003-06-12T00:00:00"/>
    <s v="Kailash Kujur"/>
    <s v="Pushpa"/>
    <x v="0"/>
    <x v="0"/>
    <s v="Quarter No. 18/F, Street - 13, Sector - 10, Bhilai, Dist - Durg, Chhattisgarh, Pin - 490006"/>
    <x v="6"/>
    <n v="8963557040"/>
    <s v="rajeshkuju679@gmail.com"/>
    <s v="12TH PASS"/>
    <s v="YES"/>
    <s v="Issue"/>
    <n v="3000"/>
    <n v="200"/>
    <n v="500"/>
    <n v="0"/>
    <n v="3700"/>
    <n v="1000"/>
    <d v="2024-05-07T00:00:00"/>
    <n v="2700"/>
    <n v="1000"/>
    <d v="2024-06-07T00:00:00"/>
    <n v="1700"/>
    <n v="500"/>
    <d v="2024-07-07T00:00:00"/>
    <n v="1200"/>
    <n v="500"/>
    <d v="2024-08-07T00:00:00"/>
    <n v="700"/>
    <n v="500"/>
    <d v="2024-09-07T00:00:00"/>
    <n v="200"/>
    <n v="200"/>
    <d v="2024-10-07T00:00:00"/>
    <n v="0"/>
    <n v="3700"/>
    <n v="0"/>
    <s v="Paid"/>
    <s v="R"/>
    <x v="0"/>
  </r>
  <r>
    <n v="96"/>
    <n v="96"/>
    <s v="EMCE884082@emaxindia.in"/>
    <s v="ekta@2002"/>
    <s v="EMCE884082"/>
    <x v="60"/>
    <x v="9"/>
    <x v="9"/>
    <x v="1"/>
    <x v="1"/>
    <x v="1"/>
    <s v="01:00 PM to 03:00 PM"/>
    <x v="3"/>
    <s v="Ekta Gavde"/>
    <d v="2002-08-18T00:00:00"/>
    <s v="Harishankar Gavde"/>
    <s v="Rukhmini"/>
    <x v="0"/>
    <x v="0"/>
    <s v="House No. - 669, Risali, Bhilai, Dist - Durg, Chhattisgarh, Pin - 490006"/>
    <x v="0"/>
    <n v="8815013685"/>
    <s v="ektagavd9838@gmail.com"/>
    <s v="12TH PASS"/>
    <s v="YES"/>
    <s v="Issue"/>
    <n v="2000"/>
    <n v="200"/>
    <n v="300"/>
    <n v="0"/>
    <n v="2500"/>
    <n v="1000"/>
    <d v="2024-05-08T00:00:00"/>
    <n v="1500"/>
    <n v="500"/>
    <d v="2024-06-08T00:00:00"/>
    <n v="1000"/>
    <n v="500"/>
    <d v="2024-07-08T00:00:00"/>
    <n v="500"/>
    <n v="500"/>
    <d v="2024-08-08T00:00:00"/>
    <n v="0"/>
    <s v=""/>
    <s v=""/>
    <s v=""/>
    <s v=""/>
    <s v=""/>
    <s v=""/>
    <n v="2500"/>
    <n v="0"/>
    <s v="Paid"/>
    <s v="R"/>
    <x v="0"/>
  </r>
  <r>
    <n v="97"/>
    <n v="97"/>
    <s v="EMCE878041@emaxindia.in"/>
    <s v="archana@1995"/>
    <s v="EMCE878041"/>
    <x v="61"/>
    <x v="8"/>
    <x v="8"/>
    <x v="0"/>
    <x v="1"/>
    <x v="2"/>
    <s v="10:30 AM to 12:00 PM"/>
    <x v="1"/>
    <s v="Archana Dewari"/>
    <d v="1995-08-19T00:00:00"/>
    <s v="Jagdish Dewari"/>
    <s v="Champa"/>
    <x v="0"/>
    <x v="0"/>
    <s v="Qrt. No. 26/D, Street No. - 10, Sector - 01, Bhilai, Dist - Durg, Chhattisgarh, Pin - 490001"/>
    <x v="17"/>
    <n v="9368475769"/>
    <s v="archanadewa434@gmail.com"/>
    <s v="B.A."/>
    <s v="YES"/>
    <s v="Issue"/>
    <n v="6000"/>
    <n v="200"/>
    <n v="800"/>
    <n v="0"/>
    <n v="7000"/>
    <n v="2500"/>
    <d v="2024-05-11T00:00:00"/>
    <n v="4500"/>
    <n v="1000"/>
    <d v="2024-06-11T00:00:00"/>
    <n v="3500"/>
    <n v="1000"/>
    <d v="2024-07-11T00:00:00"/>
    <n v="2500"/>
    <n v="1000"/>
    <d v="2024-08-11T00:00:00"/>
    <n v="1500"/>
    <n v="1000"/>
    <d v="2024-09-11T00:00:00"/>
    <n v="500"/>
    <n v="500"/>
    <d v="2024-10-11T00:00:00"/>
    <n v="0"/>
    <n v="7000"/>
    <n v="0"/>
    <s v="Paid"/>
    <s v="R"/>
    <x v="0"/>
  </r>
  <r>
    <n v="98"/>
    <n v="98"/>
    <s v="EMCE855660@emaxindia.in"/>
    <s v="kavita@1995"/>
    <s v="EMCE855660"/>
    <x v="62"/>
    <x v="6"/>
    <x v="6"/>
    <x v="1"/>
    <x v="1"/>
    <x v="1"/>
    <s v="11:30 AM to 12:45 PM"/>
    <x v="1"/>
    <s v="Kavita Sinha"/>
    <d v="1995-04-03T00:00:00"/>
    <s v="Vijay Kumar Sinha"/>
    <s v="Sunita"/>
    <x v="0"/>
    <x v="1"/>
    <s v="Qtr. No. 23/C, Street No. - 22, Sector - 03, Bhilai, Dist - Durg, Chhattisgarh, Pin - 490001"/>
    <x v="10"/>
    <n v="8074193000"/>
    <s v="kavitasinh4180@gmail.com"/>
    <s v="B.SC."/>
    <s v="YES"/>
    <s v="Issue"/>
    <n v="2000"/>
    <n v="200"/>
    <n v="300"/>
    <n v="300"/>
    <n v="2200"/>
    <n v="500"/>
    <d v="2024-05-15T00:00:00"/>
    <n v="1700"/>
    <n v="500"/>
    <d v="2024-06-15T00:00:00"/>
    <n v="1200"/>
    <n v="500"/>
    <d v="2024-07-15T00:00:00"/>
    <n v="700"/>
    <n v="500"/>
    <d v="2024-08-15T00:00:00"/>
    <n v="200"/>
    <n v="200"/>
    <d v="2024-09-15T00:00:00"/>
    <n v="0"/>
    <s v=""/>
    <s v=""/>
    <s v=""/>
    <n v="2200"/>
    <n v="0"/>
    <s v="Paid"/>
    <s v="R"/>
    <x v="0"/>
  </r>
  <r>
    <n v="99"/>
    <n v="99"/>
    <s v="EMCE861248@emaxindia.in"/>
    <s v="chaindra@1998"/>
    <s v="EMCE861248"/>
    <x v="62"/>
    <x v="7"/>
    <x v="7"/>
    <x v="1"/>
    <x v="1"/>
    <x v="1"/>
    <s v="10:30 AM to 12:00 PM"/>
    <x v="1"/>
    <s v="Chaindra Thakare"/>
    <d v="1998-06-24T00:00:00"/>
    <s v="Sunil Kumar Thakare"/>
    <s v="Radha Bai"/>
    <x v="0"/>
    <x v="1"/>
    <s v="Qrt. No. 20/B, Street No. - 06, Sector - 01, Bhilai, Dist - Durg, Chhattisgarh, Pin - 490001"/>
    <x v="17"/>
    <n v="7818530948"/>
    <s v="chaindrathak1535@gmail.com"/>
    <s v="GRADUATE"/>
    <s v="YES"/>
    <s v="Issue"/>
    <n v="3000"/>
    <n v="200"/>
    <n v="500"/>
    <n v="300"/>
    <n v="3400"/>
    <n v="1000"/>
    <d v="2024-05-15T00:00:00"/>
    <n v="2400"/>
    <n v="1000"/>
    <d v="2024-06-15T00:00:00"/>
    <n v="1400"/>
    <n v="500"/>
    <d v="2024-07-15T00:00:00"/>
    <n v="900"/>
    <n v="500"/>
    <d v="2024-08-15T00:00:00"/>
    <n v="400"/>
    <n v="400"/>
    <d v="2024-09-15T00:00:00"/>
    <n v="0"/>
    <s v=""/>
    <s v=""/>
    <s v=""/>
    <n v="3400"/>
    <n v="0"/>
    <s v="Paid"/>
    <s v="R"/>
    <x v="0"/>
  </r>
  <r>
    <n v="100"/>
    <n v="100"/>
    <s v="EMCE827381@emaxindia.in"/>
    <s v="puran@2009"/>
    <s v="EMCE827381"/>
    <x v="63"/>
    <x v="7"/>
    <x v="7"/>
    <x v="1"/>
    <x v="1"/>
    <x v="1"/>
    <s v="11:30 AM to 12:45 PM"/>
    <x v="1"/>
    <s v="Puran Mahapatra"/>
    <d v="2009-07-04T00:00:00"/>
    <s v="Naresh Mahapatra"/>
    <s v="Ratna"/>
    <x v="0"/>
    <x v="0"/>
    <s v="House No. - 220, Ward - 28, Supela, Bhilai, Bhilai, Dist - Durg, Chhattisgarh, Pin - 490023"/>
    <x v="13"/>
    <n v="9218409053"/>
    <s v="puranmaha6276@gmail.com"/>
    <s v="12TH PASS"/>
    <s v="YES"/>
    <s v="Issue"/>
    <n v="3000"/>
    <n v="200"/>
    <n v="500"/>
    <n v="300"/>
    <n v="3400"/>
    <n v="1000"/>
    <d v="2024-05-16T00:00:00"/>
    <n v="2400"/>
    <n v="1000"/>
    <d v="2024-06-16T00:00:00"/>
    <n v="1400"/>
    <n v="500"/>
    <d v="2024-07-16T00:00:00"/>
    <n v="900"/>
    <n v="500"/>
    <d v="2024-08-16T00:00:00"/>
    <n v="400"/>
    <n v="400"/>
    <d v="2024-09-16T00:00:00"/>
    <n v="0"/>
    <s v=""/>
    <s v=""/>
    <s v=""/>
    <n v="3400"/>
    <n v="0"/>
    <s v="Paid"/>
    <s v="R"/>
    <x v="0"/>
  </r>
  <r>
    <n v="101"/>
    <n v="101"/>
    <s v="EMCE828084@emaxindia.in"/>
    <s v="arun@2000"/>
    <s v="EMCE828084"/>
    <x v="63"/>
    <x v="7"/>
    <x v="7"/>
    <x v="1"/>
    <x v="1"/>
    <x v="1"/>
    <s v="10:30 AM to 12:00 PM"/>
    <x v="1"/>
    <s v="Arun Mandavi"/>
    <d v="2000-10-02T00:00:00"/>
    <s v="Mukesh Kumar Mandavi"/>
    <s v="Kamla Bai"/>
    <x v="0"/>
    <x v="1"/>
    <s v="Qtr. No. 16/D, Street No. - 03, Sector - 02, Bhilai, Dist - Durg, Chhattisgarh, Pin - 490001"/>
    <x v="2"/>
    <n v="9550649382"/>
    <s v="arunmand403@gmail.com"/>
    <s v="12TH PASS"/>
    <s v="YES"/>
    <s v="Issue"/>
    <n v="3000"/>
    <n v="200"/>
    <n v="500"/>
    <n v="200"/>
    <n v="3500"/>
    <n v="1000"/>
    <d v="2024-05-16T00:00:00"/>
    <n v="2500"/>
    <n v="1000"/>
    <d v="2024-06-16T00:00:00"/>
    <n v="1500"/>
    <n v="500"/>
    <d v="2024-07-16T00:00:00"/>
    <n v="1000"/>
    <n v="500"/>
    <d v="2024-08-16T00:00:00"/>
    <n v="500"/>
    <n v="500"/>
    <d v="2024-09-16T00:00:00"/>
    <n v="0"/>
    <s v=""/>
    <s v=""/>
    <s v=""/>
    <n v="3500"/>
    <n v="0"/>
    <s v="Paid"/>
    <s v="R"/>
    <x v="0"/>
  </r>
  <r>
    <n v="102"/>
    <n v="102"/>
    <s v="EMCE850047@emaxindia.in"/>
    <s v="jitesh@1988"/>
    <s v="EMCE850047"/>
    <x v="64"/>
    <x v="4"/>
    <x v="4"/>
    <x v="0"/>
    <x v="0"/>
    <x v="0"/>
    <s v="10:30 AM to 12:00 PM"/>
    <x v="1"/>
    <s v="Jitesh Pradhan"/>
    <d v="1988-02-03T00:00:00"/>
    <s v="Shivnath Pradhan"/>
    <s v="Mamta"/>
    <x v="0"/>
    <x v="3"/>
    <s v="House No. - 984, Ward - 15, Kumhari, Bhilai, Dist - Durg, Chhattisgarh, Pin - 490042"/>
    <x v="15"/>
    <n v="7030883949"/>
    <s v="jiteshprad8523@gmail.com"/>
    <s v="8TH PASS"/>
    <s v="YES"/>
    <s v="Issue"/>
    <n v="15000"/>
    <n v="200"/>
    <n v="1200"/>
    <n v="0"/>
    <n v="16400"/>
    <n v="5000"/>
    <d v="2024-05-18T00:00:00"/>
    <n v="11400"/>
    <n v="3000"/>
    <d v="2024-06-18T00:00:00"/>
    <n v="8400"/>
    <n v="3000"/>
    <d v="2024-07-18T00:00:00"/>
    <n v="5400"/>
    <n v="3000"/>
    <d v="2024-08-18T00:00:00"/>
    <n v="2400"/>
    <n v="2000"/>
    <d v="2024-09-18T00:00:00"/>
    <n v="400"/>
    <n v="400"/>
    <d v="2024-10-18T00:00:00"/>
    <n v="0"/>
    <n v="16400"/>
    <n v="0"/>
    <s v="Paid"/>
    <s v="R"/>
    <x v="0"/>
  </r>
  <r>
    <n v="103"/>
    <n v="103"/>
    <s v="EMCE873457@emaxindia.in"/>
    <s v="lalit@1997"/>
    <s v="EMCE873457"/>
    <x v="65"/>
    <x v="1"/>
    <x v="1"/>
    <x v="1"/>
    <x v="1"/>
    <x v="1"/>
    <s v="11:30 AM to 12:45 PM"/>
    <x v="1"/>
    <s v="Lalit Minj"/>
    <d v="1997-10-01T00:00:00"/>
    <s v="Rajkumar Minj"/>
    <s v="Sudha"/>
    <x v="0"/>
    <x v="0"/>
    <s v="House No. - 718, Charoda, Bhilai, Dist - Durg, Chhattisgarh, Pin - 490036"/>
    <x v="16"/>
    <n v="8355654974"/>
    <s v="lalitminj6637@gmail.com"/>
    <s v="10TH PASS"/>
    <s v="YES"/>
    <s v="Issue"/>
    <n v="3000"/>
    <n v="200"/>
    <n v="500"/>
    <n v="500"/>
    <n v="3200"/>
    <n v="1000"/>
    <d v="2024-05-19T00:00:00"/>
    <n v="2200"/>
    <n v="1000"/>
    <d v="2024-06-19T00:00:00"/>
    <n v="1200"/>
    <n v="500"/>
    <d v="2024-07-19T00:00:00"/>
    <n v="700"/>
    <n v="500"/>
    <d v="2024-08-19T00:00:00"/>
    <n v="200"/>
    <n v="200"/>
    <d v="2024-09-19T00:00:00"/>
    <n v="0"/>
    <s v=""/>
    <s v=""/>
    <s v=""/>
    <n v="3200"/>
    <n v="0"/>
    <s v="Paid"/>
    <s v="R"/>
    <x v="0"/>
  </r>
  <r>
    <n v="104"/>
    <n v="104"/>
    <s v="EMCE829002@emaxindia.in"/>
    <s v="vikram@2007"/>
    <s v="EMCE829002"/>
    <x v="66"/>
    <x v="13"/>
    <x v="13"/>
    <x v="1"/>
    <x v="1"/>
    <x v="1"/>
    <s v="11:30 AM to 12:45 PM"/>
    <x v="1"/>
    <s v="Vikram Sutar"/>
    <d v="2007-05-05T00:00:00"/>
    <s v="Bharat Sutar"/>
    <s v="Indra Bai"/>
    <x v="0"/>
    <x v="2"/>
    <s v="House No. - 611, Risali, Bhilai, Bhilai, Dist - Durg, Chhattisgarh, Pin - 490006"/>
    <x v="0"/>
    <n v="9380271582"/>
    <s v="vikramsuta5920@gmail.com"/>
    <s v="10TH PASS"/>
    <s v="YES"/>
    <s v="Issue"/>
    <n v="3500"/>
    <n v="200"/>
    <n v="500"/>
    <n v="500"/>
    <n v="3700"/>
    <n v="1000"/>
    <d v="2024-05-20T00:00:00"/>
    <n v="2700"/>
    <n v="1000"/>
    <d v="2024-06-20T00:00:00"/>
    <n v="1700"/>
    <n v="500"/>
    <d v="2024-07-20T00:00:00"/>
    <n v="1200"/>
    <n v="500"/>
    <d v="2024-08-20T00:00:00"/>
    <n v="700"/>
    <n v="500"/>
    <d v="2024-09-20T00:00:00"/>
    <n v="200"/>
    <n v="200"/>
    <d v="2024-10-20T00:00:00"/>
    <n v="0"/>
    <n v="3700"/>
    <n v="0"/>
    <s v="Paid"/>
    <s v="R"/>
    <x v="0"/>
  </r>
  <r>
    <n v="105"/>
    <n v="105"/>
    <s v="EMCE863229@emaxindia.in"/>
    <s v="ganga@2001"/>
    <s v="EMCE863229"/>
    <x v="66"/>
    <x v="3"/>
    <x v="3"/>
    <x v="1"/>
    <x v="1"/>
    <x v="1"/>
    <s v="04:30 PM to 06:00 PM"/>
    <x v="0"/>
    <s v="Ganga Yadav"/>
    <d v="2001-11-26T00:00:00"/>
    <s v="Mukesh Kumar Yadav"/>
    <s v="Kamla Bai"/>
    <x v="1"/>
    <x v="0"/>
    <s v="Quarter No. - 16/D, Street - 13, Sector - 09, Bhilai, Dist - Durg, Chhattisgarh, Pin - 490001"/>
    <x v="12"/>
    <n v="8617437118"/>
    <s v="gangayada115@gmail.com"/>
    <s v="B.COM."/>
    <s v="YES"/>
    <s v="Issue"/>
    <n v="3000"/>
    <n v="200"/>
    <n v="300"/>
    <n v="0"/>
    <n v="3500"/>
    <n v="1000"/>
    <d v="2024-05-20T00:00:00"/>
    <n v="2500"/>
    <n v="1000"/>
    <d v="2024-06-20T00:00:00"/>
    <n v="1500"/>
    <n v="500"/>
    <d v="2024-07-20T00:00:00"/>
    <n v="1000"/>
    <n v="500"/>
    <d v="2024-08-20T00:00:00"/>
    <n v="500"/>
    <n v="500"/>
    <d v="2024-09-20T00:00:00"/>
    <n v="0"/>
    <s v=""/>
    <s v=""/>
    <s v=""/>
    <n v="3500"/>
    <n v="0"/>
    <s v="Paid"/>
    <s v="R"/>
    <x v="0"/>
  </r>
  <r>
    <n v="106"/>
    <n v="106"/>
    <s v="EMCE868851@emaxindia.in"/>
    <s v="pratima@1990"/>
    <s v="EMCE868851"/>
    <x v="67"/>
    <x v="6"/>
    <x v="6"/>
    <x v="1"/>
    <x v="1"/>
    <x v="1"/>
    <s v="11:30 AM to 12:45 PM"/>
    <x v="1"/>
    <s v="Pratima Nirmalkar"/>
    <d v="1990-06-09T00:00:00"/>
    <s v="Dayaram Nirmalkar"/>
    <s v="Dropadi"/>
    <x v="1"/>
    <x v="0"/>
    <s v="Qr. No. 5/C, Street No. - 24, Sector - 08, Bhilai, Dist - Durg, Chhattisgarh, Pin - 490001"/>
    <x v="18"/>
    <n v="7334992751"/>
    <s v="pratimanirm6285@gmail.com"/>
    <s v="10TH PASS"/>
    <s v="YES"/>
    <s v="Issue"/>
    <n v="2000"/>
    <n v="200"/>
    <n v="300"/>
    <n v="200"/>
    <n v="2300"/>
    <n v="500"/>
    <d v="2024-05-21T00:00:00"/>
    <n v="1800"/>
    <n v="500"/>
    <d v="2024-06-21T00:00:00"/>
    <n v="1300"/>
    <n v="500"/>
    <d v="2024-07-21T00:00:00"/>
    <n v="800"/>
    <n v="500"/>
    <d v="2024-08-21T00:00:00"/>
    <n v="300"/>
    <n v="300"/>
    <d v="2024-09-21T00:00:00"/>
    <n v="0"/>
    <s v=""/>
    <s v=""/>
    <s v=""/>
    <n v="2300"/>
    <n v="0"/>
    <s v="Paid"/>
    <s v="R"/>
    <x v="0"/>
  </r>
  <r>
    <n v="107"/>
    <n v="107"/>
    <s v="EMCE845024@emaxindia.in"/>
    <s v="shashi@2002"/>
    <s v="EMCE845024"/>
    <x v="68"/>
    <x v="1"/>
    <x v="1"/>
    <x v="1"/>
    <x v="1"/>
    <x v="1"/>
    <s v="11:30 AM to 12:45 PM"/>
    <x v="1"/>
    <s v="Shashi Joshi"/>
    <d v="2002-10-28T00:00:00"/>
    <s v="Bhagwandas Joshi"/>
    <s v="Gomati"/>
    <x v="0"/>
    <x v="3"/>
    <s v="Qtr. No. 26/F, Street No. - 21, Sector - 03, Bhilai, Dist - Durg, Chhattisgarh, Pin - 490001"/>
    <x v="10"/>
    <n v="8203947018"/>
    <s v="shashijosh7046@gmail.com"/>
    <s v="ITI"/>
    <s v="YES"/>
    <s v="Issue"/>
    <n v="3000"/>
    <n v="200"/>
    <n v="500"/>
    <n v="0"/>
    <n v="3700"/>
    <n v="1000"/>
    <d v="2024-05-28T00:00:00"/>
    <n v="2700"/>
    <n v="1000"/>
    <d v="2024-06-28T00:00:00"/>
    <n v="1700"/>
    <n v="500"/>
    <d v="2024-07-28T00:00:00"/>
    <n v="1200"/>
    <n v="500"/>
    <d v="2024-08-28T00:00:00"/>
    <n v="700"/>
    <n v="500"/>
    <d v="2024-09-28T00:00:00"/>
    <n v="200"/>
    <n v="200"/>
    <d v="2024-10-28T00:00:00"/>
    <n v="0"/>
    <n v="3700"/>
    <n v="0"/>
    <s v="Paid"/>
    <s v="R"/>
    <x v="0"/>
  </r>
  <r>
    <n v="108"/>
    <n v="108"/>
    <s v="EMCE867548@emaxindia.in"/>
    <s v="karan@1996"/>
    <s v="EMCE867548"/>
    <x v="68"/>
    <x v="13"/>
    <x v="13"/>
    <x v="1"/>
    <x v="1"/>
    <x v="1"/>
    <s v="01:00 PM to 03:00 PM"/>
    <x v="3"/>
    <s v="Karan Nirmalkar"/>
    <d v="1996-03-04T00:00:00"/>
    <s v="Puran Lal Nirmalkar"/>
    <s v="Kaushalya"/>
    <x v="1"/>
    <x v="0"/>
    <s v="Block - 12/D, Street - 12, Sector - 04, Bhilai, Dist - Durg, Chhattisgarh, Pin - 490001"/>
    <x v="1"/>
    <n v="8882141034"/>
    <s v="karannirm3913@gmail.com"/>
    <s v="POST GRADUATE"/>
    <s v="YES"/>
    <s v="Issue"/>
    <n v="3500"/>
    <n v="200"/>
    <n v="500"/>
    <n v="0"/>
    <n v="4200"/>
    <n v="1000"/>
    <d v="2024-05-28T00:00:00"/>
    <n v="3200"/>
    <n v="1000"/>
    <d v="2024-06-28T00:00:00"/>
    <n v="2200"/>
    <n v="1000"/>
    <d v="2024-07-28T00:00:00"/>
    <n v="1200"/>
    <n v="500"/>
    <d v="2024-08-28T00:00:00"/>
    <n v="700"/>
    <n v="500"/>
    <d v="2024-09-28T00:00:00"/>
    <n v="200"/>
    <n v="200"/>
    <d v="2024-10-28T00:00:00"/>
    <n v="0"/>
    <n v="4200"/>
    <n v="0"/>
    <s v="Paid"/>
    <s v="R"/>
    <x v="0"/>
  </r>
  <r>
    <n v="109"/>
    <n v="109"/>
    <s v="EMCE847708@emaxindia.in"/>
    <s v="akash@2009"/>
    <s v="EMCE847708"/>
    <x v="69"/>
    <x v="6"/>
    <x v="6"/>
    <x v="1"/>
    <x v="1"/>
    <x v="1"/>
    <s v="10:30 AM to 12:00 PM"/>
    <x v="1"/>
    <s v="Akash Naidu"/>
    <d v="2009-06-15T00:00:00"/>
    <s v="Dinesh Naidu"/>
    <s v="Geeta"/>
    <x v="0"/>
    <x v="0"/>
    <s v="House No. - 838, Ward - 19, Nehru Nagar, Bhilai, Dist - Durg, Chhattisgarh, Pin - 490020"/>
    <x v="3"/>
    <n v="8886542391"/>
    <s v="akashnaid7337@gmail.com"/>
    <s v="ITI"/>
    <s v="YES"/>
    <s v="Issue"/>
    <n v="2000"/>
    <n v="200"/>
    <n v="300"/>
    <n v="500"/>
    <n v="2000"/>
    <n v="500"/>
    <d v="2024-06-01T00:00:00"/>
    <n v="1500"/>
    <n v="500"/>
    <d v="2024-07-01T00:00:00"/>
    <n v="1000"/>
    <n v="500"/>
    <d v="2024-08-01T00:00:00"/>
    <n v="500"/>
    <n v="500"/>
    <d v="2024-09-01T00:00:00"/>
    <n v="0"/>
    <s v=""/>
    <s v=""/>
    <s v=""/>
    <s v=""/>
    <s v=""/>
    <s v=""/>
    <n v="2000"/>
    <n v="0"/>
    <s v="Paid"/>
    <s v="R"/>
    <x v="0"/>
  </r>
  <r>
    <n v="110"/>
    <n v="110"/>
    <s v="EMCE872110@emaxindia.in"/>
    <s v="sachin@1998"/>
    <s v="EMCE872110"/>
    <x v="69"/>
    <x v="4"/>
    <x v="4"/>
    <x v="0"/>
    <x v="0"/>
    <x v="0"/>
    <s v="10:30 AM to 12:00 PM"/>
    <x v="1"/>
    <s v="Sachin Tiwari"/>
    <d v="1998-04-10T00:00:00"/>
    <s v="Pyare Lal Tiwari"/>
    <s v="Parsadi Bai"/>
    <x v="0"/>
    <x v="1"/>
    <s v="Qt. No. 20/F, Street No. - 04, Sector - 07, Bhilai, Dist - Durg, Chhattisgarh, Pin - 490006"/>
    <x v="19"/>
    <n v="8127565717"/>
    <s v="sachintiwa3208@gmail.com"/>
    <s v="BCA"/>
    <s v="YES"/>
    <s v="Issue"/>
    <n v="15000"/>
    <n v="200"/>
    <n v="1200"/>
    <n v="200"/>
    <n v="16200"/>
    <n v="5000"/>
    <d v="2024-06-01T00:00:00"/>
    <n v="11200"/>
    <n v="3000"/>
    <d v="2024-07-01T00:00:00"/>
    <n v="8200"/>
    <n v="3000"/>
    <d v="2024-08-01T00:00:00"/>
    <n v="5200"/>
    <n v="3000"/>
    <d v="2024-09-01T00:00:00"/>
    <n v="2200"/>
    <n v="2000"/>
    <d v="2024-10-01T00:00:00"/>
    <n v="200"/>
    <n v="200"/>
    <d v="2024-11-01T00:00:00"/>
    <n v="0"/>
    <n v="16200"/>
    <n v="0"/>
    <s v="Paid"/>
    <s v="R"/>
    <x v="0"/>
  </r>
  <r>
    <n v="111"/>
    <n v="111"/>
    <s v="EMCE833085@emaxindia.in"/>
    <s v="milan@2003"/>
    <s v="EMCE833085"/>
    <x v="70"/>
    <x v="8"/>
    <x v="8"/>
    <x v="0"/>
    <x v="1"/>
    <x v="2"/>
    <s v="10:30 AM to 12:00 PM"/>
    <x v="1"/>
    <s v="Milan Chandrakar"/>
    <d v="2003-11-26T00:00:00"/>
    <s v="Bhagwandas Chandrakar"/>
    <s v="Sangeeta"/>
    <x v="0"/>
    <x v="0"/>
    <s v="Quarter No. 15/D, Street - 24, Sector - 10, Bhilai, Dist - Durg, Chhattisgarh, Pin - 490006"/>
    <x v="6"/>
    <n v="9066045067"/>
    <s v="milanchan3537@gmail.com"/>
    <s v="10TH PASS"/>
    <s v="YES"/>
    <s v="Issue"/>
    <n v="6000"/>
    <n v="200"/>
    <n v="800"/>
    <n v="200"/>
    <n v="6800"/>
    <n v="2500"/>
    <d v="2024-06-02T00:00:00"/>
    <n v="4300"/>
    <n v="1000"/>
    <d v="2024-07-02T00:00:00"/>
    <n v="3300"/>
    <n v="1000"/>
    <d v="2024-08-02T00:00:00"/>
    <n v="2300"/>
    <n v="1000"/>
    <d v="2024-09-02T00:00:00"/>
    <n v="1300"/>
    <n v="1000"/>
    <d v="2024-10-02T00:00:00"/>
    <n v="300"/>
    <n v="300"/>
    <d v="2024-11-02T00:00:00"/>
    <n v="0"/>
    <n v="6800"/>
    <n v="0"/>
    <s v="Paid"/>
    <s v="R"/>
    <x v="0"/>
  </r>
  <r>
    <n v="112"/>
    <n v="112"/>
    <s v="EMCE831758@emaxindia.in"/>
    <s v="toran@2004"/>
    <s v="EMCE831758"/>
    <x v="71"/>
    <x v="11"/>
    <x v="11"/>
    <x v="1"/>
    <x v="1"/>
    <x v="1"/>
    <s v="10:30 AM to 12:00 PM"/>
    <x v="1"/>
    <s v="Toran Gurjar"/>
    <d v="2004-03-07T00:00:00"/>
    <s v="Lakhhuram Gurjar"/>
    <s v="Ramkali"/>
    <x v="0"/>
    <x v="0"/>
    <s v="House No. - 842, Ward - 03, Kosa Nagar, Bhilai, Dist - Durg, Chhattisgarh, Pin - 490020"/>
    <x v="7"/>
    <n v="8901595932"/>
    <s v="torangurj3826@gmail.com"/>
    <s v="10TH PASS"/>
    <s v="YES"/>
    <s v="Issue"/>
    <n v="2500"/>
    <n v="200"/>
    <n v="500"/>
    <n v="300"/>
    <n v="2900"/>
    <n v="1000"/>
    <d v="2024-06-06T00:00:00"/>
    <n v="1900"/>
    <n v="500"/>
    <d v="2024-07-06T00:00:00"/>
    <n v="1400"/>
    <n v="500"/>
    <d v="2024-08-06T00:00:00"/>
    <n v="900"/>
    <n v="500"/>
    <d v="2024-09-06T00:00:00"/>
    <n v="400"/>
    <n v="400"/>
    <d v="2024-10-06T00:00:00"/>
    <n v="0"/>
    <s v=""/>
    <s v=""/>
    <s v=""/>
    <n v="2900"/>
    <n v="0"/>
    <s v="Paid"/>
    <s v="R"/>
    <x v="0"/>
  </r>
  <r>
    <n v="113"/>
    <n v="113"/>
    <s v="EMCE864273@emaxindia.in"/>
    <s v="meenakshi@2006"/>
    <s v="EMCE864273"/>
    <x v="71"/>
    <x v="7"/>
    <x v="7"/>
    <x v="1"/>
    <x v="1"/>
    <x v="1"/>
    <s v="04:30 PM to 06:00 PM"/>
    <x v="0"/>
    <s v="Meenakshi Paikara"/>
    <d v="2006-06-09T00:00:00"/>
    <s v="Ghasiya Paikara"/>
    <s v="Janki Bai"/>
    <x v="0"/>
    <x v="1"/>
    <s v="House No. - 238, Charoda, Bhilai, Dist - Durg, Chhattisgarh, Pin - 490036"/>
    <x v="16"/>
    <n v="7178033906"/>
    <s v="meenakshipaik6497@gmail.com"/>
    <s v="B.SC."/>
    <s v="YES"/>
    <s v="Issue"/>
    <n v="3000"/>
    <n v="200"/>
    <n v="500"/>
    <n v="200"/>
    <n v="3500"/>
    <n v="1000"/>
    <d v="2024-06-06T00:00:00"/>
    <n v="2500"/>
    <n v="1000"/>
    <d v="2024-07-06T00:00:00"/>
    <n v="1500"/>
    <n v="500"/>
    <d v="2024-08-06T00:00:00"/>
    <n v="1000"/>
    <n v="500"/>
    <d v="2024-09-06T00:00:00"/>
    <n v="500"/>
    <n v="500"/>
    <d v="2024-10-06T00:00:00"/>
    <n v="0"/>
    <s v=""/>
    <s v=""/>
    <s v=""/>
    <n v="3500"/>
    <n v="0"/>
    <s v="Paid"/>
    <s v="R"/>
    <x v="0"/>
  </r>
  <r>
    <n v="114"/>
    <n v="114"/>
    <s v="EMCE884024@emaxindia.in"/>
    <s v="chandan@2006"/>
    <s v="EMCE884024"/>
    <x v="72"/>
    <x v="7"/>
    <x v="7"/>
    <x v="1"/>
    <x v="1"/>
    <x v="1"/>
    <s v="12:45 PM to 2:30 PM"/>
    <x v="2"/>
    <s v="Chandan Kumhar"/>
    <d v="2006-04-18T00:00:00"/>
    <s v="Ghanshyam Kumhar"/>
    <s v="Sukhmati"/>
    <x v="1"/>
    <x v="0"/>
    <s v="House No. - 720, Vaishali Nagar, Bhilai, Dist - Durg, Chhattisgarh, Pin - 490020"/>
    <x v="5"/>
    <n v="7751733183"/>
    <s v="chandankumh1156@gmail.com"/>
    <s v="B.COM."/>
    <s v="YES"/>
    <s v="Issue"/>
    <n v="3000"/>
    <n v="200"/>
    <n v="500"/>
    <n v="0"/>
    <n v="3700"/>
    <n v="1000"/>
    <d v="2024-06-15T00:00:00"/>
    <n v="2700"/>
    <n v="1000"/>
    <d v="2024-07-15T00:00:00"/>
    <n v="1700"/>
    <n v="500"/>
    <d v="2024-08-15T00:00:00"/>
    <n v="1200"/>
    <n v="500"/>
    <d v="2024-09-15T00:00:00"/>
    <n v="700"/>
    <n v="500"/>
    <d v="2024-10-15T00:00:00"/>
    <n v="200"/>
    <n v="200"/>
    <d v="2024-11-15T00:00:00"/>
    <n v="0"/>
    <n v="3700"/>
    <n v="0"/>
    <s v="Paid"/>
    <s v="R"/>
    <x v="0"/>
  </r>
  <r>
    <n v="115"/>
    <n v="115"/>
    <s v="EMCE833653@emaxindia.in"/>
    <s v="tulsiram@1993"/>
    <s v="EMCE833653"/>
    <x v="73"/>
    <x v="3"/>
    <x v="3"/>
    <x v="1"/>
    <x v="1"/>
    <x v="1"/>
    <s v="12:45 PM to 2:30 PM"/>
    <x v="2"/>
    <s v="Tulsiram Usendi"/>
    <d v="1993-10-06T00:00:00"/>
    <s v="Ghanshyam Usendi"/>
    <s v="Savita"/>
    <x v="0"/>
    <x v="0"/>
    <s v="House No. - 553, Ward - 19, Kosa Nagar, Bhilai, Dist - Durg, Chhattisgarh, Pin - 490020"/>
    <x v="7"/>
    <n v="8911665420"/>
    <s v="tulsiramusen7063@gmail.com"/>
    <s v="10TH PASS"/>
    <s v="YES"/>
    <s v="Issue"/>
    <n v="3000"/>
    <n v="200"/>
    <n v="300"/>
    <n v="200"/>
    <n v="3300"/>
    <n v="1000"/>
    <d v="2024-06-19T00:00:00"/>
    <n v="2300"/>
    <n v="1000"/>
    <d v="2024-07-19T00:00:00"/>
    <n v="1300"/>
    <n v="500"/>
    <d v="2024-08-19T00:00:00"/>
    <n v="800"/>
    <n v="500"/>
    <d v="2024-09-19T00:00:00"/>
    <n v="300"/>
    <n v="300"/>
    <d v="2024-10-19T00:00:00"/>
    <n v="0"/>
    <s v=""/>
    <s v=""/>
    <s v=""/>
    <n v="3300"/>
    <n v="0"/>
    <s v="Paid"/>
    <s v="R"/>
    <x v="0"/>
  </r>
  <r>
    <n v="116"/>
    <n v="116"/>
    <s v="EMCE850313@emaxindia.in"/>
    <s v="chandrakanta@1993"/>
    <s v="EMCE850313"/>
    <x v="74"/>
    <x v="11"/>
    <x v="11"/>
    <x v="1"/>
    <x v="1"/>
    <x v="1"/>
    <s v="01:00 PM to 03:00 PM"/>
    <x v="3"/>
    <s v="Chandrakanta Gavde"/>
    <d v="1993-06-11T00:00:00"/>
    <s v="Anil Kumar Gavde"/>
    <s v="Geeta"/>
    <x v="0"/>
    <x v="0"/>
    <s v="House No. - 712, Ward - 23, Kumhari, Bhilai, Dist - Durg, Chhattisgarh, Pin - 490042"/>
    <x v="15"/>
    <n v="6400811024"/>
    <s v="chandrakantagavd4467@gmail.com"/>
    <s v="BCA"/>
    <s v="YES"/>
    <s v="Issue"/>
    <n v="2500"/>
    <n v="200"/>
    <n v="500"/>
    <n v="500"/>
    <n v="2700"/>
    <n v="1000"/>
    <d v="2024-06-22T00:00:00"/>
    <n v="1700"/>
    <n v="500"/>
    <d v="2024-07-22T00:00:00"/>
    <n v="1200"/>
    <n v="500"/>
    <d v="2024-08-22T00:00:00"/>
    <n v="700"/>
    <n v="500"/>
    <d v="2024-09-22T00:00:00"/>
    <n v="200"/>
    <n v="200"/>
    <d v="2024-10-22T00:00:00"/>
    <n v="0"/>
    <s v=""/>
    <s v=""/>
    <s v=""/>
    <n v="2700"/>
    <n v="0"/>
    <s v="Paid"/>
    <s v="R"/>
    <x v="0"/>
  </r>
  <r>
    <n v="117"/>
    <n v="117"/>
    <s v="EMCE849694@emaxindia.in"/>
    <s v="chandan@2000"/>
    <s v="EMCE849694"/>
    <x v="75"/>
    <x v="11"/>
    <x v="11"/>
    <x v="1"/>
    <x v="1"/>
    <x v="1"/>
    <s v="01:00 PM to 03:00 PM"/>
    <x v="3"/>
    <s v="Chandan Manikpuri"/>
    <d v="2000-04-14T00:00:00"/>
    <s v="Pitambar Manikpuri"/>
    <s v="Dropadi"/>
    <x v="0"/>
    <x v="3"/>
    <s v="Qr. No. 9/F, Street No. - 12, Sector - 04, Bhilai, Dist - Durg, Chhattisgarh, Pin - 490001"/>
    <x v="1"/>
    <n v="9104235508"/>
    <s v="chandanmani1255@gmail.com"/>
    <s v="POST GRADUATE"/>
    <s v="YES"/>
    <s v="Issue"/>
    <n v="2500"/>
    <n v="200"/>
    <n v="500"/>
    <n v="0"/>
    <n v="3200"/>
    <n v="1000"/>
    <d v="2024-06-24T00:00:00"/>
    <n v="2200"/>
    <n v="1000"/>
    <d v="2024-07-24T00:00:00"/>
    <n v="1200"/>
    <n v="500"/>
    <d v="2024-08-24T00:00:00"/>
    <n v="700"/>
    <n v="500"/>
    <d v="2024-09-24T00:00:00"/>
    <n v="200"/>
    <n v="200"/>
    <d v="2024-10-24T00:00:00"/>
    <n v="0"/>
    <s v=""/>
    <s v=""/>
    <s v=""/>
    <n v="3200"/>
    <n v="0"/>
    <s v="Paid"/>
    <s v="R"/>
    <x v="0"/>
  </r>
  <r>
    <n v="118"/>
    <n v="118"/>
    <s v="EMCE876559@emaxindia.in"/>
    <s v="indira@2007"/>
    <s v="EMCE876559"/>
    <x v="76"/>
    <x v="11"/>
    <x v="11"/>
    <x v="1"/>
    <x v="1"/>
    <x v="1"/>
    <s v="11:30 AM to 12:45 PM"/>
    <x v="1"/>
    <s v="Indira Munda"/>
    <d v="2007-10-26T00:00:00"/>
    <s v="Ram Prasad Munda"/>
    <s v="Sulochana"/>
    <x v="1"/>
    <x v="3"/>
    <s v="House No. - 406, Charoda, Bhilai, Dist - Durg, Chhattisgarh, Pin - 490036"/>
    <x v="16"/>
    <n v="8613712535"/>
    <s v="indiramund9721@gmail.com"/>
    <s v="DIPLOMA"/>
    <s v="YES"/>
    <s v="Issue"/>
    <n v="2500"/>
    <n v="200"/>
    <n v="500"/>
    <n v="300"/>
    <n v="2900"/>
    <n v="1000"/>
    <d v="2024-06-25T00:00:00"/>
    <n v="1900"/>
    <n v="500"/>
    <d v="2024-07-25T00:00:00"/>
    <n v="1400"/>
    <n v="500"/>
    <d v="2024-08-25T00:00:00"/>
    <n v="900"/>
    <n v="500"/>
    <d v="2024-09-25T00:00:00"/>
    <n v="400"/>
    <n v="400"/>
    <d v="2024-10-25T00:00:00"/>
    <n v="0"/>
    <s v=""/>
    <s v=""/>
    <s v=""/>
    <n v="2900"/>
    <n v="0"/>
    <s v="Paid"/>
    <s v="R"/>
    <x v="0"/>
  </r>
  <r>
    <n v="119"/>
    <n v="119"/>
    <s v="EMCE833149@emaxindia.in"/>
    <s v="milan@1992"/>
    <s v="EMCE833149"/>
    <x v="77"/>
    <x v="7"/>
    <x v="7"/>
    <x v="1"/>
    <x v="1"/>
    <x v="1"/>
    <s v="10:30 AM to 12:00 PM"/>
    <x v="1"/>
    <s v="Milan Kurre"/>
    <d v="1992-06-14T00:00:00"/>
    <s v="Chaindra Kurre"/>
    <s v="Pushpa"/>
    <x v="0"/>
    <x v="0"/>
    <s v="House No. - 917, Ward - 10, Supela, Bhilai, Bhilai, Dist - Durg, Chhattisgarh, Pin - 490023"/>
    <x v="13"/>
    <n v="7541042494"/>
    <s v="milankurr7548@gmail.com"/>
    <s v="12TH PASS"/>
    <s v="YES"/>
    <s v="Issue"/>
    <n v="3000"/>
    <n v="200"/>
    <n v="500"/>
    <n v="0"/>
    <n v="3700"/>
    <n v="1000"/>
    <d v="2024-06-26T00:00:00"/>
    <n v="2700"/>
    <n v="1000"/>
    <d v="2024-07-26T00:00:00"/>
    <n v="1700"/>
    <n v="500"/>
    <d v="2024-08-26T00:00:00"/>
    <n v="1200"/>
    <n v="500"/>
    <d v="2024-09-26T00:00:00"/>
    <n v="700"/>
    <n v="500"/>
    <d v="2024-10-26T00:00:00"/>
    <n v="200"/>
    <n v="200"/>
    <d v="2024-11-26T00:00:00"/>
    <n v="0"/>
    <n v="3700"/>
    <n v="0"/>
    <s v="Paid"/>
    <s v="R"/>
    <x v="0"/>
  </r>
  <r>
    <n v="120"/>
    <n v="120"/>
    <s v="EMCE871009@emaxindia.in"/>
    <s v="shivani@2008"/>
    <s v="EMCE871009"/>
    <x v="77"/>
    <x v="10"/>
    <x v="10"/>
    <x v="1"/>
    <x v="1"/>
    <x v="1"/>
    <s v="10:30 AM to 12:00 PM"/>
    <x v="1"/>
    <s v="Shivani Namdev"/>
    <d v="2008-06-13T00:00:00"/>
    <s v="Mukesh Kumar Namdev"/>
    <s v="Basanti"/>
    <x v="1"/>
    <x v="2"/>
    <s v="House No. - 865, Ward - 05, Kumhari, Bhilai, Dist - Durg, Chhattisgarh, Pin - 490042"/>
    <x v="15"/>
    <n v="8296279484"/>
    <s v="shivaninamd4067@gmail.com"/>
    <s v="B.SC."/>
    <s v="YES"/>
    <s v="Issue"/>
    <n v="3000"/>
    <n v="200"/>
    <n v="500"/>
    <n v="300"/>
    <n v="3400"/>
    <n v="1000"/>
    <d v="2024-06-26T00:00:00"/>
    <n v="2400"/>
    <n v="1000"/>
    <d v="2024-07-26T00:00:00"/>
    <n v="1400"/>
    <n v="500"/>
    <d v="2024-08-26T00:00:00"/>
    <n v="900"/>
    <n v="500"/>
    <d v="2024-09-26T00:00:00"/>
    <n v="400"/>
    <n v="400"/>
    <d v="2024-10-26T00:00:00"/>
    <n v="0"/>
    <s v=""/>
    <s v=""/>
    <s v=""/>
    <n v="3400"/>
    <n v="0"/>
    <s v="Paid"/>
    <s v="R"/>
    <x v="0"/>
  </r>
  <r>
    <n v="121"/>
    <n v="121"/>
    <s v="EMCE849048@emaxindia.in"/>
    <s v="pramila@2000"/>
    <s v="EMCE849048"/>
    <x v="78"/>
    <x v="5"/>
    <x v="5"/>
    <x v="1"/>
    <x v="1"/>
    <x v="1"/>
    <s v="01:00 PM to 03:00 PM"/>
    <x v="3"/>
    <s v="Pramila Mandavi"/>
    <d v="2000-08-25T00:00:00"/>
    <s v="Lakhhuram Mandavi"/>
    <s v="Phulmati"/>
    <x v="0"/>
    <x v="3"/>
    <s v="Qrt. No. 14/A, Street No. - 16, Sector - 05, Bhilai, Dist - Durg, Chhattisgarh, Pin - 490001"/>
    <x v="4"/>
    <n v="9903384681"/>
    <s v="pramilamand824@gmail.com"/>
    <s v="12TH PASS"/>
    <s v="YES"/>
    <s v="Issue"/>
    <n v="2500"/>
    <n v="200"/>
    <n v="400"/>
    <n v="0"/>
    <n v="3100"/>
    <n v="1000"/>
    <d v="2024-06-28T00:00:00"/>
    <n v="2100"/>
    <n v="1000"/>
    <d v="2024-07-28T00:00:00"/>
    <n v="1100"/>
    <n v="500"/>
    <d v="2024-08-28T00:00:00"/>
    <n v="600"/>
    <n v="500"/>
    <d v="2024-09-28T00:00:00"/>
    <n v="100"/>
    <n v="100"/>
    <d v="2024-10-28T00:00:00"/>
    <n v="0"/>
    <s v=""/>
    <s v=""/>
    <s v=""/>
    <n v="3100"/>
    <n v="0"/>
    <s v="Paid"/>
    <s v="R"/>
    <x v="0"/>
  </r>
  <r>
    <n v="122"/>
    <n v="122"/>
    <s v="EMCE844132@emaxindia.in"/>
    <s v="leena@2004"/>
    <s v="EMCE844132"/>
    <x v="79"/>
    <x v="5"/>
    <x v="5"/>
    <x v="1"/>
    <x v="1"/>
    <x v="1"/>
    <s v="04:30 PM to 06:00 PM"/>
    <x v="0"/>
    <s v="Leena Xalxo"/>
    <d v="2004-09-16T00:00:00"/>
    <s v="Jagdish Xalxo"/>
    <s v="Padmini"/>
    <x v="0"/>
    <x v="0"/>
    <s v="Qr. No. 19, Bl No. 18, Street No. Emr, Sector - 04, Bhilai, Dist - Durg, Chhattisgarh, Pin - 490001"/>
    <x v="1"/>
    <n v="9323758734"/>
    <s v="leenaxalx862@gmail.com"/>
    <s v="10TH PASS"/>
    <s v="YES"/>
    <s v="Issue"/>
    <n v="2500"/>
    <n v="200"/>
    <n v="400"/>
    <n v="0"/>
    <n v="3100"/>
    <n v="1000"/>
    <d v="2024-06-29T00:00:00"/>
    <n v="2100"/>
    <n v="1000"/>
    <d v="2024-07-29T00:00:00"/>
    <n v="1100"/>
    <n v="500"/>
    <d v="2024-08-29T00:00:00"/>
    <n v="600"/>
    <n v="500"/>
    <d v="2024-09-29T00:00:00"/>
    <n v="100"/>
    <n v="100"/>
    <d v="2024-10-29T00:00:00"/>
    <n v="0"/>
    <s v=""/>
    <s v=""/>
    <s v=""/>
    <n v="3100"/>
    <n v="0"/>
    <s v="Paid"/>
    <s v="R"/>
    <x v="0"/>
  </r>
  <r>
    <n v="123"/>
    <n v="123"/>
    <s v="EMCE879927@emaxindia.in"/>
    <s v="leena@1995"/>
    <s v="EMCE879927"/>
    <x v="80"/>
    <x v="5"/>
    <x v="5"/>
    <x v="1"/>
    <x v="1"/>
    <x v="1"/>
    <s v="10:30 AM to 12:00 PM"/>
    <x v="1"/>
    <s v="Leena Bodley"/>
    <d v="1995-03-09T00:00:00"/>
    <s v="Govind Prasad Bodley"/>
    <s v="Sarlabai"/>
    <x v="0"/>
    <x v="0"/>
    <s v="Qr. No. 20, Bl No. 19, Street No. Emr, Sector - 04, Bhilai, Dist - Durg, Chhattisgarh, Pin - 490001"/>
    <x v="1"/>
    <n v="8379629419"/>
    <s v="leenabodl1826@gmail.com"/>
    <s v="B.A."/>
    <s v="YES"/>
    <s v="Issue"/>
    <n v="2500"/>
    <n v="200"/>
    <n v="400"/>
    <n v="200"/>
    <n v="2900"/>
    <n v="1000"/>
    <d v="2024-06-30T00:00:00"/>
    <n v="1900"/>
    <n v="500"/>
    <d v="2024-07-30T00:00:00"/>
    <n v="1400"/>
    <n v="500"/>
    <d v="2024-08-30T00:00:00"/>
    <n v="900"/>
    <n v="500"/>
    <d v="2024-09-30T00:00:00"/>
    <n v="400"/>
    <n v="400"/>
    <d v="2024-10-30T00:00:00"/>
    <n v="0"/>
    <s v=""/>
    <s v=""/>
    <s v=""/>
    <n v="2900"/>
    <n v="0"/>
    <s v="Paid"/>
    <s v="R"/>
    <x v="0"/>
  </r>
  <r>
    <n v="124"/>
    <n v="124"/>
    <s v="EMCE841264@emaxindia.in"/>
    <s v="harish@1998"/>
    <s v="EMCE841264"/>
    <x v="81"/>
    <x v="0"/>
    <x v="0"/>
    <x v="0"/>
    <x v="0"/>
    <x v="0"/>
    <s v="01:00 PM to 03:00 PM"/>
    <x v="3"/>
    <s v="Harish Hemrom"/>
    <d v="1998-04-21T00:00:00"/>
    <s v="Balram Hemrom"/>
    <s v="Basanti"/>
    <x v="0"/>
    <x v="3"/>
    <s v="Quarter No. - 3/B, Street - 06, Sector - 09, Bhilai, Dist - Durg, Chhattisgarh, Pin - 490001"/>
    <x v="12"/>
    <n v="7670015248"/>
    <s v="harishhemr253@gmail.com"/>
    <s v="12TH PASS"/>
    <s v="YES"/>
    <s v="Issue"/>
    <n v="12500"/>
    <n v="200"/>
    <n v="1200"/>
    <n v="200"/>
    <n v="13700"/>
    <n v="5000"/>
    <d v="2024-07-01T00:00:00"/>
    <n v="8700"/>
    <n v="3000"/>
    <d v="2024-08-01T00:00:00"/>
    <n v="5700"/>
    <m/>
    <d v="2024-09-01T00:00:00"/>
    <n v="5700"/>
    <m/>
    <d v="2024-10-01T00:00:00"/>
    <n v="5700"/>
    <m/>
    <d v="2024-11-01T00:00:00"/>
    <n v="5700"/>
    <m/>
    <d v="2024-12-01T00:00:00"/>
    <n v="0"/>
    <n v="8000"/>
    <n v="5700"/>
    <s v="Unpaid"/>
    <s v="Q"/>
    <x v="1"/>
  </r>
  <r>
    <n v="125"/>
    <n v="125"/>
    <s v="EMCE840972@emaxindia.in"/>
    <s v="priya@2001"/>
    <s v="EMCE840972"/>
    <x v="82"/>
    <x v="11"/>
    <x v="11"/>
    <x v="1"/>
    <x v="1"/>
    <x v="1"/>
    <s v="11:30 AM to 12:45 PM"/>
    <x v="1"/>
    <s v="Priya Dewangan"/>
    <d v="2001-11-24T00:00:00"/>
    <s v="Toran Lal Dewangan"/>
    <s v="Sita Bai"/>
    <x v="0"/>
    <x v="0"/>
    <s v="House No. - 191, Ward - 14, Camp - 02, Bhilai, Dist - Durg, Chhattisgarh, Pin - 490001"/>
    <x v="9"/>
    <n v="6485576751"/>
    <s v="priyadewa5049@gmail.com"/>
    <s v="GRADUATE"/>
    <s v="YES"/>
    <s v="Issue"/>
    <n v="2500"/>
    <n v="200"/>
    <n v="500"/>
    <n v="300"/>
    <n v="2900"/>
    <n v="1000"/>
    <d v="2024-07-02T00:00:00"/>
    <n v="1900"/>
    <n v="500"/>
    <d v="2024-08-02T00:00:00"/>
    <n v="1400"/>
    <n v="500"/>
    <d v="2024-09-02T00:00:00"/>
    <n v="900"/>
    <n v="500"/>
    <d v="2024-10-02T00:00:00"/>
    <n v="400"/>
    <n v="400"/>
    <d v="2024-11-02T00:00:00"/>
    <n v="0"/>
    <s v=""/>
    <s v=""/>
    <s v=""/>
    <n v="2900"/>
    <n v="0"/>
    <s v="Paid"/>
    <s v="R"/>
    <x v="0"/>
  </r>
  <r>
    <n v="126"/>
    <n v="126"/>
    <s v="EMCE828272@emaxindia.in"/>
    <s v="parvati@2001"/>
    <s v="EMCE828272"/>
    <x v="83"/>
    <x v="3"/>
    <x v="3"/>
    <x v="1"/>
    <x v="1"/>
    <x v="1"/>
    <s v="10:30 AM to 12:00 PM"/>
    <x v="1"/>
    <s v="Parvati Agrawal"/>
    <d v="2001-08-14T00:00:00"/>
    <s v="Vijay Kumar Agrawal"/>
    <s v="Phoolbai"/>
    <x v="0"/>
    <x v="0"/>
    <s v="Qrt. No. 8/C, Street No. - 11, Sector - 01, Bhilai, Dist - Durg, Chhattisgarh, Pin - 490001"/>
    <x v="17"/>
    <n v="9993377809"/>
    <s v="parvatiagra4391@gmail.com"/>
    <s v="12TH PASS"/>
    <s v="YES"/>
    <s v="Issue"/>
    <n v="3000"/>
    <n v="200"/>
    <n v="300"/>
    <n v="0"/>
    <n v="3500"/>
    <n v="1000"/>
    <d v="2024-07-03T00:00:00"/>
    <n v="2500"/>
    <n v="1000"/>
    <d v="2024-08-03T00:00:00"/>
    <n v="1500"/>
    <n v="500"/>
    <d v="2024-09-03T00:00:00"/>
    <n v="1000"/>
    <n v="500"/>
    <d v="2024-10-03T00:00:00"/>
    <n v="500"/>
    <n v="500"/>
    <d v="2024-11-03T00:00:00"/>
    <n v="0"/>
    <s v=""/>
    <s v=""/>
    <s v=""/>
    <n v="3500"/>
    <n v="0"/>
    <s v="Paid"/>
    <s v="R"/>
    <x v="0"/>
  </r>
  <r>
    <n v="127"/>
    <n v="127"/>
    <s v="EMCE828676@emaxindia.in"/>
    <s v="pushpa@1992"/>
    <s v="EMCE828676"/>
    <x v="84"/>
    <x v="13"/>
    <x v="13"/>
    <x v="1"/>
    <x v="1"/>
    <x v="1"/>
    <s v="01:00 PM to 03:00 PM"/>
    <x v="3"/>
    <s v="Pushpa Lodhiya"/>
    <d v="1992-04-18T00:00:00"/>
    <s v="Jivanram Lodhiya"/>
    <s v="Laxmi"/>
    <x v="0"/>
    <x v="0"/>
    <s v="House No. - 185, Ward - 01, Kosa Nagar, Bhilai, Dist - Durg, Chhattisgarh, Pin - 490020"/>
    <x v="7"/>
    <n v="8134312442"/>
    <s v="pushpalodh9192@gmail.com"/>
    <s v="B.A."/>
    <s v="YES"/>
    <s v="Issue"/>
    <n v="3500"/>
    <n v="200"/>
    <n v="500"/>
    <n v="0"/>
    <n v="4200"/>
    <n v="1000"/>
    <d v="2024-07-04T00:00:00"/>
    <n v="3200"/>
    <n v="1000"/>
    <d v="2024-08-04T00:00:00"/>
    <n v="2200"/>
    <n v="1000"/>
    <d v="2024-09-04T00:00:00"/>
    <n v="1200"/>
    <n v="500"/>
    <d v="2024-10-04T00:00:00"/>
    <n v="700"/>
    <n v="500"/>
    <d v="2024-11-04T00:00:00"/>
    <n v="200"/>
    <n v="200"/>
    <d v="2024-12-04T00:00:00"/>
    <n v="0"/>
    <n v="4200"/>
    <n v="0"/>
    <s v="Paid"/>
    <s v="R"/>
    <x v="0"/>
  </r>
  <r>
    <n v="128"/>
    <n v="128"/>
    <s v="EMCE857391@emaxindia.in"/>
    <s v="divya@2003"/>
    <s v="EMCE857391"/>
    <x v="85"/>
    <x v="10"/>
    <x v="10"/>
    <x v="1"/>
    <x v="1"/>
    <x v="1"/>
    <s v="11:30 AM to 12:45 PM"/>
    <x v="1"/>
    <s v="Divya Chauhan"/>
    <d v="2003-09-06T00:00:00"/>
    <s v="Tulsiram Chauhan"/>
    <s v="Hira Bai"/>
    <x v="1"/>
    <x v="3"/>
    <s v="Qr. No. 10/F, Street No. - 08, Sector - 08, Bhilai, Dist - Durg, Chhattisgarh, Pin - 490001"/>
    <x v="18"/>
    <n v="6700544844"/>
    <s v="divyachau4175@gmail.com"/>
    <s v="ITI"/>
    <s v="YES"/>
    <s v="Issue"/>
    <n v="3000"/>
    <n v="200"/>
    <n v="500"/>
    <n v="500"/>
    <n v="3200"/>
    <n v="1000"/>
    <d v="2024-07-05T00:00:00"/>
    <n v="2200"/>
    <n v="1000"/>
    <d v="2024-08-05T00:00:00"/>
    <n v="1200"/>
    <n v="500"/>
    <d v="2024-09-05T00:00:00"/>
    <n v="700"/>
    <n v="500"/>
    <d v="2024-10-05T00:00:00"/>
    <n v="200"/>
    <n v="200"/>
    <d v="2024-11-05T00:00:00"/>
    <n v="0"/>
    <s v=""/>
    <s v=""/>
    <s v=""/>
    <n v="3200"/>
    <n v="0"/>
    <s v="Paid"/>
    <s v="R"/>
    <x v="0"/>
  </r>
  <r>
    <n v="129"/>
    <n v="129"/>
    <s v="EMCE867755@emaxindia.in"/>
    <s v="anuradha@2001"/>
    <s v="EMCE867755"/>
    <x v="85"/>
    <x v="4"/>
    <x v="4"/>
    <x v="0"/>
    <x v="0"/>
    <x v="0"/>
    <s v="01:00 PM to 03:00 PM"/>
    <x v="3"/>
    <s v="Anuradha Toppo"/>
    <d v="2001-12-16T00:00:00"/>
    <s v="Ramesh Toppo"/>
    <s v="Durga Bai"/>
    <x v="0"/>
    <x v="1"/>
    <s v="Qr. No. 23/D, Street No. - 05, Sector - 08, Bhilai, Dist - Durg, Chhattisgarh, Pin - 490001"/>
    <x v="18"/>
    <n v="7044949766"/>
    <s v="anuradhatopp8040@gmail.com"/>
    <s v="GRADUATE"/>
    <s v="YES"/>
    <s v="Issue"/>
    <n v="15000"/>
    <n v="200"/>
    <n v="1200"/>
    <n v="200"/>
    <n v="16200"/>
    <n v="5000"/>
    <d v="2024-07-05T00:00:00"/>
    <n v="11200"/>
    <n v="3000"/>
    <d v="2024-08-05T00:00:00"/>
    <n v="8200"/>
    <n v="3000"/>
    <d v="2024-09-05T00:00:00"/>
    <n v="5200"/>
    <n v="3000"/>
    <d v="2024-10-05T00:00:00"/>
    <n v="2200"/>
    <n v="2000"/>
    <d v="2024-11-05T00:00:00"/>
    <n v="200"/>
    <n v="200"/>
    <d v="2024-12-05T00:00:00"/>
    <n v="0"/>
    <n v="16200"/>
    <n v="0"/>
    <s v="Paid"/>
    <s v="R"/>
    <x v="0"/>
  </r>
  <r>
    <n v="130"/>
    <n v="130"/>
    <s v="EMCE874901@emaxindia.in"/>
    <s v="lalita@1997"/>
    <s v="EMCE874901"/>
    <x v="86"/>
    <x v="6"/>
    <x v="6"/>
    <x v="1"/>
    <x v="1"/>
    <x v="1"/>
    <s v="04:30 PM to 06:00 PM"/>
    <x v="0"/>
    <s v="Lalita Lodhiya"/>
    <d v="1997-05-14T00:00:00"/>
    <s v="Anil Kumar Lodhiya"/>
    <s v="Leelishwari"/>
    <x v="1"/>
    <x v="0"/>
    <s v="Qt. No. 2/A, Street No. - 18, Sector - 06, Bhilai, Dist - Durg, Chhattisgarh, Pin - 490006"/>
    <x v="11"/>
    <n v="9183078411"/>
    <s v="lalitalodh821@gmail.com"/>
    <s v="10TH PASS"/>
    <s v="YES"/>
    <s v="Issue"/>
    <n v="2000"/>
    <n v="200"/>
    <n v="300"/>
    <n v="0"/>
    <n v="2500"/>
    <n v="1000"/>
    <d v="2024-07-07T00:00:00"/>
    <n v="1500"/>
    <n v="500"/>
    <d v="2024-08-07T00:00:00"/>
    <n v="1000"/>
    <n v="500"/>
    <d v="2024-09-07T00:00:00"/>
    <n v="500"/>
    <n v="500"/>
    <d v="2024-10-07T00:00:00"/>
    <n v="0"/>
    <s v=""/>
    <s v=""/>
    <s v=""/>
    <s v=""/>
    <s v=""/>
    <s v=""/>
    <n v="2500"/>
    <n v="0"/>
    <s v="Paid"/>
    <s v="R"/>
    <x v="0"/>
  </r>
  <r>
    <n v="131"/>
    <n v="131"/>
    <s v="EMCE835469@emaxindia.in"/>
    <s v="geeta@1990"/>
    <s v="EMCE835469"/>
    <x v="87"/>
    <x v="4"/>
    <x v="4"/>
    <x v="0"/>
    <x v="0"/>
    <x v="0"/>
    <s v="10:30 AM to 12:00 PM"/>
    <x v="1"/>
    <s v="Geeta Tekam"/>
    <d v="1990-06-20T00:00:00"/>
    <s v="Harishankar Tekam"/>
    <s v="Sangeeta"/>
    <x v="0"/>
    <x v="0"/>
    <s v="Quarter No. 10/C, Street - 21, Sector - 10, Bhilai, Dist - Durg, Chhattisgarh, Pin - 490006"/>
    <x v="6"/>
    <n v="9947164082"/>
    <s v="geetateka7437@gmail.com"/>
    <s v="DIPLOMA"/>
    <s v="YES"/>
    <s v="Issue"/>
    <n v="15000"/>
    <n v="200"/>
    <n v="1200"/>
    <n v="200"/>
    <n v="16200"/>
    <n v="5000"/>
    <d v="2024-07-08T00:00:00"/>
    <n v="11200"/>
    <n v="3000"/>
    <d v="2024-08-08T00:00:00"/>
    <n v="8200"/>
    <n v="3000"/>
    <d v="2024-09-08T00:00:00"/>
    <n v="5200"/>
    <n v="3000"/>
    <d v="2024-10-08T00:00:00"/>
    <n v="2200"/>
    <n v="2000"/>
    <d v="2024-11-08T00:00:00"/>
    <n v="200"/>
    <n v="200"/>
    <d v="2024-12-08T00:00:00"/>
    <n v="0"/>
    <n v="16200"/>
    <n v="0"/>
    <s v="Paid"/>
    <s v="R"/>
    <x v="0"/>
  </r>
  <r>
    <n v="132"/>
    <n v="132"/>
    <s v="EMCE863582@emaxindia.in"/>
    <s v="karan@2007"/>
    <s v="EMCE863582"/>
    <x v="87"/>
    <x v="4"/>
    <x v="4"/>
    <x v="0"/>
    <x v="0"/>
    <x v="0"/>
    <s v="12:45 PM to 2:30 PM"/>
    <x v="2"/>
    <s v="Karan Kosare"/>
    <d v="2007-09-26T00:00:00"/>
    <s v="Rajesh Kosare"/>
    <s v="Gomati"/>
    <x v="0"/>
    <x v="1"/>
    <s v="Qt. No. 12/C, Street No. - 08, Sector - 06, Bhilai, Dist - Durg, Chhattisgarh, Pin - 490006"/>
    <x v="11"/>
    <n v="6826456060"/>
    <s v="karankosa1586@gmail.com"/>
    <s v="B.A."/>
    <s v="YES"/>
    <s v="Issue"/>
    <n v="15000"/>
    <n v="200"/>
    <n v="1200"/>
    <n v="0"/>
    <n v="16400"/>
    <n v="5000"/>
    <d v="2024-07-08T00:00:00"/>
    <n v="11400"/>
    <n v="3000"/>
    <d v="2024-08-08T00:00:00"/>
    <n v="8400"/>
    <n v="3000"/>
    <d v="2024-09-08T00:00:00"/>
    <n v="5400"/>
    <n v="3000"/>
    <d v="2024-10-08T00:00:00"/>
    <n v="2400"/>
    <n v="2000"/>
    <d v="2024-11-08T00:00:00"/>
    <n v="400"/>
    <n v="400"/>
    <d v="2024-12-08T00:00:00"/>
    <n v="0"/>
    <n v="16400"/>
    <n v="0"/>
    <s v="Paid"/>
    <s v="R"/>
    <x v="0"/>
  </r>
  <r>
    <n v="133"/>
    <n v="133"/>
    <s v="EMCE865701@emaxindia.in"/>
    <s v="ankita@1988"/>
    <s v="EMCE865701"/>
    <x v="87"/>
    <x v="3"/>
    <x v="3"/>
    <x v="1"/>
    <x v="1"/>
    <x v="1"/>
    <s v="04:30 PM to 06:00 PM"/>
    <x v="0"/>
    <s v="Ankita Nichlani"/>
    <d v="1988-03-18T00:00:00"/>
    <s v="Devendra Kumar Nichlani"/>
    <s v="Parsadi Bai"/>
    <x v="0"/>
    <x v="3"/>
    <s v="House No. - 855, Vaishali Nagar, Bhilai, Dist - Durg, Chhattisgarh, Pin - 490020"/>
    <x v="5"/>
    <n v="7212084028"/>
    <s v="ankitanich3786@gmail.com"/>
    <s v="12TH PASS"/>
    <s v="YES"/>
    <s v="Issue"/>
    <n v="3000"/>
    <n v="200"/>
    <n v="300"/>
    <n v="200"/>
    <n v="3300"/>
    <n v="1000"/>
    <d v="2024-07-08T00:00:00"/>
    <n v="2300"/>
    <n v="1000"/>
    <d v="2024-08-08T00:00:00"/>
    <n v="1300"/>
    <n v="500"/>
    <d v="2024-09-08T00:00:00"/>
    <n v="800"/>
    <n v="500"/>
    <d v="2024-10-08T00:00:00"/>
    <n v="300"/>
    <n v="300"/>
    <d v="2024-11-08T00:00:00"/>
    <n v="0"/>
    <s v=""/>
    <s v=""/>
    <s v=""/>
    <n v="3300"/>
    <n v="0"/>
    <s v="Paid"/>
    <s v="R"/>
    <x v="0"/>
  </r>
  <r>
    <n v="134"/>
    <n v="134"/>
    <s v="EMCE859479@emaxindia.in"/>
    <s v="hema@2004"/>
    <s v="EMCE859479"/>
    <x v="88"/>
    <x v="1"/>
    <x v="1"/>
    <x v="1"/>
    <x v="1"/>
    <x v="1"/>
    <s v="12:45 PM to 2:30 PM"/>
    <x v="2"/>
    <s v="Hema Toppo"/>
    <d v="2004-02-10T00:00:00"/>
    <s v="Mohan Lal Toppo"/>
    <s v="Tara Bai"/>
    <x v="0"/>
    <x v="0"/>
    <s v="House No. - 424, Vaishali Nagar, Bhilai, Dist - Durg, Chhattisgarh, Pin - 490020"/>
    <x v="5"/>
    <n v="9990516960"/>
    <s v="hematopp9389@gmail.com"/>
    <s v="12TH PASS"/>
    <s v="YES"/>
    <s v="Issue"/>
    <n v="3000"/>
    <n v="200"/>
    <n v="500"/>
    <n v="300"/>
    <n v="3400"/>
    <n v="1000"/>
    <d v="2024-07-12T00:00:00"/>
    <n v="2400"/>
    <n v="1000"/>
    <d v="2024-08-12T00:00:00"/>
    <n v="1400"/>
    <n v="500"/>
    <d v="2024-09-12T00:00:00"/>
    <n v="900"/>
    <n v="500"/>
    <d v="2024-10-12T00:00:00"/>
    <n v="400"/>
    <n v="400"/>
    <d v="2024-11-12T00:00:00"/>
    <n v="0"/>
    <s v=""/>
    <s v=""/>
    <s v=""/>
    <n v="3400"/>
    <n v="0"/>
    <s v="Paid"/>
    <s v="R"/>
    <x v="0"/>
  </r>
  <r>
    <n v="135"/>
    <n v="135"/>
    <s v="EMCE872757@emaxindia.in"/>
    <s v="smita@1996"/>
    <s v="EMCE872757"/>
    <x v="88"/>
    <x v="10"/>
    <x v="10"/>
    <x v="1"/>
    <x v="1"/>
    <x v="1"/>
    <s v="04:30 PM to 06:00 PM"/>
    <x v="0"/>
    <s v="Smita Patel"/>
    <d v="1996-03-22T00:00:00"/>
    <s v="Santosh Kumar Patel"/>
    <s v="Padmini"/>
    <x v="1"/>
    <x v="0"/>
    <s v="Qr. No. 22/C, Street No. - 24, Sector - 04, Bhilai, Dist - Durg, Chhattisgarh, Pin - 490001"/>
    <x v="1"/>
    <n v="8299907238"/>
    <s v="smitapate4744@gmail.com"/>
    <s v="12TH PASS"/>
    <s v="YES"/>
    <s v="Issue"/>
    <n v="3000"/>
    <n v="200"/>
    <n v="500"/>
    <n v="0"/>
    <n v="3700"/>
    <n v="1000"/>
    <d v="2024-07-12T00:00:00"/>
    <n v="2700"/>
    <n v="1000"/>
    <d v="2024-08-12T00:00:00"/>
    <n v="1700"/>
    <n v="500"/>
    <d v="2024-09-12T00:00:00"/>
    <n v="1200"/>
    <n v="500"/>
    <d v="2024-10-12T00:00:00"/>
    <n v="700"/>
    <n v="500"/>
    <d v="2024-11-12T00:00:00"/>
    <n v="200"/>
    <n v="200"/>
    <d v="2024-12-12T00:00:00"/>
    <n v="0"/>
    <n v="3700"/>
    <n v="0"/>
    <s v="Paid"/>
    <s v="R"/>
    <x v="0"/>
  </r>
  <r>
    <n v="136"/>
    <n v="136"/>
    <s v="EMCE874323@emaxindia.in"/>
    <s v="ankita@2010"/>
    <s v="EMCE874323"/>
    <x v="88"/>
    <x v="0"/>
    <x v="0"/>
    <x v="0"/>
    <x v="0"/>
    <x v="0"/>
    <s v="04:30 PM to 06:00 PM"/>
    <x v="0"/>
    <s v="Ankita Koli"/>
    <d v="2010-07-11T00:00:00"/>
    <s v="Shiv Prasad Koli"/>
    <s v="Yamuna Bai"/>
    <x v="0"/>
    <x v="1"/>
    <s v="Qrt. No. 12/D, Street No. - 21, Sector - 01, Bhilai, Dist - Durg, Chhattisgarh, Pin - 490001"/>
    <x v="17"/>
    <n v="8059486755"/>
    <s v="ankitakoli2735@gmail.com"/>
    <s v="12TH PASS"/>
    <s v="YES"/>
    <s v="Issue"/>
    <n v="12500"/>
    <n v="200"/>
    <n v="1200"/>
    <n v="300"/>
    <n v="13600"/>
    <n v="5000"/>
    <d v="2024-07-12T00:00:00"/>
    <n v="8600"/>
    <n v="3000"/>
    <d v="2024-08-12T00:00:00"/>
    <n v="5600"/>
    <n v="3000"/>
    <d v="2024-09-12T00:00:00"/>
    <n v="2600"/>
    <n v="1000"/>
    <d v="2024-10-12T00:00:00"/>
    <n v="1600"/>
    <n v="1000"/>
    <d v="2024-11-12T00:00:00"/>
    <n v="600"/>
    <n v="600"/>
    <d v="2024-12-12T00:00:00"/>
    <n v="0"/>
    <n v="13600"/>
    <n v="0"/>
    <s v="Paid"/>
    <s v="R"/>
    <x v="0"/>
  </r>
  <r>
    <n v="137"/>
    <n v="137"/>
    <s v="EMCE878110@emaxindia.in"/>
    <s v="shashi@1994"/>
    <s v="EMCE878110"/>
    <x v="88"/>
    <x v="13"/>
    <x v="13"/>
    <x v="1"/>
    <x v="1"/>
    <x v="1"/>
    <s v="10:30 AM to 12:00 PM"/>
    <x v="1"/>
    <s v="Shashi Singh"/>
    <d v="1994-04-22T00:00:00"/>
    <s v="Narendra Kumar Singh"/>
    <s v="Leelishwari"/>
    <x v="0"/>
    <x v="3"/>
    <s v="Qrt. No. 19/D, Street No. - 03, Sector - 05, Bhilai, Dist - Durg, Chhattisgarh, Pin - 490001"/>
    <x v="4"/>
    <n v="6448118873"/>
    <s v="shashising7058@gmail.com"/>
    <s v="GRADUATE"/>
    <s v="YES"/>
    <s v="Issue"/>
    <n v="3500"/>
    <n v="200"/>
    <n v="500"/>
    <n v="500"/>
    <n v="3700"/>
    <n v="1000"/>
    <d v="2024-07-12T00:00:00"/>
    <n v="2700"/>
    <n v="1000"/>
    <d v="2024-08-12T00:00:00"/>
    <n v="1700"/>
    <n v="500"/>
    <d v="2024-09-12T00:00:00"/>
    <n v="1200"/>
    <n v="500"/>
    <d v="2024-10-12T00:00:00"/>
    <n v="700"/>
    <n v="500"/>
    <d v="2024-11-12T00:00:00"/>
    <n v="200"/>
    <n v="200"/>
    <d v="2024-12-12T00:00:00"/>
    <n v="0"/>
    <n v="3700"/>
    <n v="0"/>
    <s v="Paid"/>
    <s v="R"/>
    <x v="0"/>
  </r>
  <r>
    <n v="138"/>
    <n v="138"/>
    <s v="EMCE848851@emaxindia.in"/>
    <s v="hemant@2002"/>
    <s v="EMCE848851"/>
    <x v="89"/>
    <x v="13"/>
    <x v="13"/>
    <x v="1"/>
    <x v="1"/>
    <x v="1"/>
    <s v="04:30 PM to 06:00 PM"/>
    <x v="0"/>
    <s v="Hemant Shukla"/>
    <d v="2002-04-06T00:00:00"/>
    <s v="Harishankar Shukla"/>
    <s v="Anita"/>
    <x v="0"/>
    <x v="0"/>
    <s v="House No. - 705, Charoda, Bhilai, Dist - Durg, Chhattisgarh, Pin - 490036"/>
    <x v="16"/>
    <n v="9421061150"/>
    <s v="hemantshuk3709@gmail.com"/>
    <s v="B.COM."/>
    <s v="YES"/>
    <s v="Issue"/>
    <n v="3500"/>
    <n v="200"/>
    <n v="500"/>
    <n v="300"/>
    <n v="3900"/>
    <n v="1000"/>
    <d v="2024-07-13T00:00:00"/>
    <n v="2900"/>
    <n v="1000"/>
    <d v="2024-08-13T00:00:00"/>
    <n v="1900"/>
    <n v="500"/>
    <d v="2024-09-13T00:00:00"/>
    <n v="1400"/>
    <n v="500"/>
    <d v="2024-10-13T00:00:00"/>
    <n v="900"/>
    <n v="500"/>
    <d v="2024-11-13T00:00:00"/>
    <n v="400"/>
    <n v="400"/>
    <d v="2024-12-13T00:00:00"/>
    <n v="0"/>
    <n v="3900"/>
    <n v="0"/>
    <s v="Paid"/>
    <s v="R"/>
    <x v="0"/>
  </r>
  <r>
    <n v="139"/>
    <n v="139"/>
    <s v="EMCE859789@emaxindia.in"/>
    <s v="vishal@2005"/>
    <s v="EMCE859789"/>
    <x v="90"/>
    <x v="1"/>
    <x v="1"/>
    <x v="1"/>
    <x v="1"/>
    <x v="1"/>
    <s v="04:30 PM to 06:00 PM"/>
    <x v="0"/>
    <s v="Vishal Sahu"/>
    <d v="2005-11-25T00:00:00"/>
    <s v="Naresh Sahu"/>
    <s v="Shakuntala"/>
    <x v="0"/>
    <x v="0"/>
    <s v="Qtr. No. 24/A, Street No. - 05, Sector - 03, Bhilai, Dist - Durg, Chhattisgarh, Pin - 490001"/>
    <x v="10"/>
    <n v="6184035124"/>
    <s v="vishalsahu9049@gmail.com"/>
    <s v="12TH PASS"/>
    <s v="YES"/>
    <s v="Issue"/>
    <n v="3000"/>
    <n v="200"/>
    <n v="500"/>
    <n v="0"/>
    <n v="3700"/>
    <n v="1000"/>
    <d v="2024-07-14T00:00:00"/>
    <n v="2700"/>
    <n v="1000"/>
    <d v="2024-08-14T00:00:00"/>
    <n v="1700"/>
    <n v="500"/>
    <d v="2024-09-14T00:00:00"/>
    <n v="1200"/>
    <n v="500"/>
    <d v="2024-10-14T00:00:00"/>
    <n v="700"/>
    <n v="500"/>
    <d v="2024-11-14T00:00:00"/>
    <n v="200"/>
    <n v="200"/>
    <d v="2024-12-14T00:00:00"/>
    <n v="0"/>
    <n v="3700"/>
    <n v="0"/>
    <s v="Paid"/>
    <s v="R"/>
    <x v="0"/>
  </r>
  <r>
    <n v="140"/>
    <n v="140"/>
    <s v="EMCE854381@emaxindia.in"/>
    <s v="sangita@2007"/>
    <s v="EMCE854381"/>
    <x v="91"/>
    <x v="9"/>
    <x v="9"/>
    <x v="1"/>
    <x v="1"/>
    <x v="1"/>
    <s v="01:00 PM to 03:00 PM"/>
    <x v="3"/>
    <s v="Sangita Dubey"/>
    <d v="2007-09-08T00:00:00"/>
    <s v="Hemant Kumar Dubey"/>
    <s v="Sudha"/>
    <x v="0"/>
    <x v="2"/>
    <s v="Quarter No. 8/C, Street - 19, Sector - 10, Bhilai, Dist - Durg, Chhattisgarh, Pin - 490006"/>
    <x v="6"/>
    <n v="9310921783"/>
    <s v="sangitadube7095@gmail.com"/>
    <s v="DIPLOMA"/>
    <s v="YES"/>
    <s v="Issue"/>
    <n v="2000"/>
    <n v="200"/>
    <n v="300"/>
    <n v="0"/>
    <n v="2500"/>
    <n v="1000"/>
    <d v="2024-07-20T00:00:00"/>
    <n v="1500"/>
    <n v="500"/>
    <d v="2024-08-20T00:00:00"/>
    <n v="1000"/>
    <n v="500"/>
    <d v="2024-09-20T00:00:00"/>
    <n v="500"/>
    <n v="500"/>
    <d v="2024-10-20T00:00:00"/>
    <n v="0"/>
    <s v=""/>
    <s v=""/>
    <s v=""/>
    <s v=""/>
    <s v=""/>
    <s v=""/>
    <n v="2500"/>
    <n v="0"/>
    <s v="Paid"/>
    <s v="R"/>
    <x v="0"/>
  </r>
  <r>
    <n v="141"/>
    <n v="141"/>
    <s v="EMCE870335@emaxindia.in"/>
    <s v="surendra@1992"/>
    <s v="EMCE870335"/>
    <x v="91"/>
    <x v="11"/>
    <x v="11"/>
    <x v="1"/>
    <x v="1"/>
    <x v="1"/>
    <s v="11:30 AM to 12:45 PM"/>
    <x v="1"/>
    <s v="Surendra Baghel"/>
    <d v="1992-06-19T00:00:00"/>
    <s v="Balram Baghel"/>
    <s v="Mamta"/>
    <x v="0"/>
    <x v="0"/>
    <s v="House No. - 364, Risali, Bhilai, Dist - Durg, Chhattisgarh, Pin - 490006"/>
    <x v="0"/>
    <n v="7666506950"/>
    <s v="surendrabagh3668@gmail.com"/>
    <s v="GRADUATE"/>
    <s v="YES"/>
    <s v="Issue"/>
    <n v="2500"/>
    <n v="200"/>
    <n v="500"/>
    <n v="0"/>
    <n v="3200"/>
    <n v="1000"/>
    <d v="2024-07-20T00:00:00"/>
    <n v="2200"/>
    <n v="1000"/>
    <d v="2024-08-20T00:00:00"/>
    <n v="1200"/>
    <n v="500"/>
    <d v="2024-09-20T00:00:00"/>
    <n v="700"/>
    <n v="500"/>
    <d v="2024-10-20T00:00:00"/>
    <n v="200"/>
    <n v="200"/>
    <d v="2024-11-20T00:00:00"/>
    <n v="0"/>
    <s v=""/>
    <s v=""/>
    <s v=""/>
    <n v="3200"/>
    <n v="0"/>
    <s v="Paid"/>
    <s v="R"/>
    <x v="0"/>
  </r>
  <r>
    <n v="142"/>
    <n v="142"/>
    <s v="EMCE828518@emaxindia.in"/>
    <s v="preeti@1995"/>
    <s v="EMCE828518"/>
    <x v="92"/>
    <x v="4"/>
    <x v="4"/>
    <x v="0"/>
    <x v="0"/>
    <x v="0"/>
    <s v="10:30 AM to 12:00 PM"/>
    <x v="1"/>
    <s v="Preeti Kewat"/>
    <d v="1995-12-14T00:00:00"/>
    <s v="Naresh Kewat"/>
    <s v="Anita"/>
    <x v="0"/>
    <x v="1"/>
    <s v="Block - 9/B, Street - 25, Sector - 04, Bhilai, Dist - Durg, Chhattisgarh, Pin - 490001"/>
    <x v="1"/>
    <n v="7914762497"/>
    <s v="preetikewa3663@gmail.com"/>
    <s v="12TH PASS"/>
    <s v="YES"/>
    <s v="Issue"/>
    <n v="15000"/>
    <n v="200"/>
    <n v="1200"/>
    <n v="500"/>
    <n v="15900"/>
    <n v="5000"/>
    <d v="2024-07-23T00:00:00"/>
    <n v="10900"/>
    <n v="3000"/>
    <d v="2024-08-23T00:00:00"/>
    <n v="7900"/>
    <n v="3000"/>
    <d v="2024-09-23T00:00:00"/>
    <n v="4900"/>
    <n v="1000"/>
    <d v="2024-10-23T00:00:00"/>
    <n v="3900"/>
    <n v="2000"/>
    <d v="2024-11-23T00:00:00"/>
    <n v="1900"/>
    <n v="1900"/>
    <d v="2024-12-23T00:00:00"/>
    <n v="0"/>
    <n v="15900"/>
    <n v="0"/>
    <s v="Paid"/>
    <s v="R"/>
    <x v="0"/>
  </r>
  <r>
    <n v="143"/>
    <n v="143"/>
    <s v="EMCE855461@emaxindia.in"/>
    <s v="sushila@1988"/>
    <s v="EMCE855461"/>
    <x v="93"/>
    <x v="11"/>
    <x v="11"/>
    <x v="1"/>
    <x v="1"/>
    <x v="1"/>
    <s v="10:30 AM to 12:00 PM"/>
    <x v="1"/>
    <s v="Sushila Choudhary"/>
    <d v="1988-05-26T00:00:00"/>
    <s v="Lokesh Choudhary"/>
    <s v="Nirmala"/>
    <x v="1"/>
    <x v="0"/>
    <s v="Qt. No. 8/A, Street No. - 13, Sector - 07, Bhilai, Dist - Durg, Chhattisgarh, Pin - 490006"/>
    <x v="19"/>
    <n v="8480045216"/>
    <s v="sushilachou6498@gmail.com"/>
    <s v="10TH PASS"/>
    <s v="YES"/>
    <s v="Issue"/>
    <n v="2500"/>
    <n v="200"/>
    <n v="500"/>
    <n v="0"/>
    <n v="3200"/>
    <n v="1000"/>
    <d v="2024-07-27T00:00:00"/>
    <n v="2200"/>
    <n v="1000"/>
    <d v="2024-08-27T00:00:00"/>
    <n v="1200"/>
    <n v="500"/>
    <d v="2024-09-27T00:00:00"/>
    <n v="700"/>
    <n v="500"/>
    <d v="2024-10-27T00:00:00"/>
    <n v="200"/>
    <n v="200"/>
    <d v="2024-11-27T00:00:00"/>
    <n v="0"/>
    <s v=""/>
    <s v=""/>
    <s v=""/>
    <n v="3200"/>
    <n v="0"/>
    <s v="Paid"/>
    <s v="R"/>
    <x v="0"/>
  </r>
  <r>
    <n v="144"/>
    <n v="144"/>
    <s v="EMCE863003@emaxindia.in"/>
    <s v="rekha@2002"/>
    <s v="EMCE863003"/>
    <x v="93"/>
    <x v="8"/>
    <x v="8"/>
    <x v="0"/>
    <x v="1"/>
    <x v="2"/>
    <s v="10:30 AM to 12:00 PM"/>
    <x v="1"/>
    <s v="Rekha Verma"/>
    <d v="2002-11-06T00:00:00"/>
    <s v="Shyam Lal Verma"/>
    <s v="Sukhmati"/>
    <x v="1"/>
    <x v="1"/>
    <s v="House No. - 232, Ward - 18, Kosa Nagar, Bhilai, Dist - Durg, Chhattisgarh, Pin - 490020"/>
    <x v="7"/>
    <n v="8849268553"/>
    <s v="rekhaverm674@gmail.com"/>
    <s v="B.A."/>
    <s v="YES"/>
    <s v="Issue"/>
    <n v="6000"/>
    <n v="200"/>
    <n v="800"/>
    <n v="0"/>
    <n v="7000"/>
    <n v="2500"/>
    <d v="2024-07-27T00:00:00"/>
    <n v="4500"/>
    <n v="1000"/>
    <d v="2024-08-27T00:00:00"/>
    <n v="3500"/>
    <n v="1000"/>
    <d v="2024-09-27T00:00:00"/>
    <n v="2500"/>
    <n v="1000"/>
    <d v="2024-10-27T00:00:00"/>
    <n v="1500"/>
    <n v="1000"/>
    <d v="2024-11-27T00:00:00"/>
    <n v="500"/>
    <n v="500"/>
    <d v="2024-12-27T00:00:00"/>
    <n v="0"/>
    <n v="7000"/>
    <n v="0"/>
    <s v="Paid"/>
    <s v="R"/>
    <x v="0"/>
  </r>
  <r>
    <n v="145"/>
    <n v="145"/>
    <s v="EMCE849015@emaxindia.in"/>
    <s v="ratna@1997"/>
    <s v="EMCE849015"/>
    <x v="94"/>
    <x v="6"/>
    <x v="6"/>
    <x v="1"/>
    <x v="1"/>
    <x v="1"/>
    <s v="10:30 AM to 12:00 PM"/>
    <x v="1"/>
    <s v="Ratna Pisda"/>
    <d v="1997-08-26T00:00:00"/>
    <s v="Bhagwandas Pisda"/>
    <s v="Shantibai"/>
    <x v="1"/>
    <x v="0"/>
    <s v="Qt. No. 2/D, Street No. - 02, Sector - 07, Bhilai, Dist - Durg, Chhattisgarh, Pin - 490006"/>
    <x v="19"/>
    <n v="7947206239"/>
    <s v="ratnapisd9658@gmail.com"/>
    <s v="POST GRADUATE"/>
    <s v="YES"/>
    <s v="Issue"/>
    <n v="2000"/>
    <n v="200"/>
    <n v="300"/>
    <n v="500"/>
    <n v="2000"/>
    <n v="500"/>
    <d v="2024-07-29T00:00:00"/>
    <n v="1500"/>
    <n v="500"/>
    <d v="2024-08-29T00:00:00"/>
    <n v="1000"/>
    <n v="500"/>
    <d v="2024-09-29T00:00:00"/>
    <n v="500"/>
    <n v="500"/>
    <d v="2024-10-29T00:00:00"/>
    <n v="0"/>
    <s v=""/>
    <s v=""/>
    <s v=""/>
    <s v=""/>
    <s v=""/>
    <s v=""/>
    <n v="2000"/>
    <n v="0"/>
    <s v="Paid"/>
    <s v="R"/>
    <x v="0"/>
  </r>
  <r>
    <n v="146"/>
    <n v="146"/>
    <s v="EMCE829160@emaxindia.in"/>
    <s v="naresh@1998"/>
    <s v="EMCE829160"/>
    <x v="95"/>
    <x v="13"/>
    <x v="13"/>
    <x v="1"/>
    <x v="1"/>
    <x v="1"/>
    <s v="04:30 PM to 06:00 PM"/>
    <x v="0"/>
    <s v="Naresh Namdev"/>
    <d v="1998-03-17T00:00:00"/>
    <s v="Kailash Namdev"/>
    <s v="Sarojini"/>
    <x v="1"/>
    <x v="1"/>
    <s v="Qrt. No. 18/B, Street No. - 25, Sector - 01, Bhilai, Dist - Durg, Chhattisgarh, Pin - 490001"/>
    <x v="17"/>
    <n v="8202834456"/>
    <s v="nareshnamd5973@gmail.com"/>
    <s v="DIPLOMA"/>
    <s v="YES"/>
    <s v="Issue"/>
    <n v="3500"/>
    <n v="200"/>
    <n v="500"/>
    <n v="300"/>
    <n v="3900"/>
    <n v="1000"/>
    <d v="2024-08-02T00:00:00"/>
    <n v="2900"/>
    <n v="1000"/>
    <d v="2024-09-02T00:00:00"/>
    <n v="1900"/>
    <n v="500"/>
    <d v="2024-10-02T00:00:00"/>
    <n v="1400"/>
    <n v="500"/>
    <d v="2024-11-02T00:00:00"/>
    <n v="900"/>
    <n v="500"/>
    <d v="2024-12-02T00:00:00"/>
    <n v="400"/>
    <n v="400"/>
    <d v="2025-01-02T00:00:00"/>
    <n v="0"/>
    <n v="3900"/>
    <n v="0"/>
    <s v="Paid"/>
    <s v="R"/>
    <x v="0"/>
  </r>
  <r>
    <n v="147"/>
    <n v="147"/>
    <s v="EMCE877500@emaxindia.in"/>
    <s v="ankit@1993"/>
    <s v="EMCE877500"/>
    <x v="95"/>
    <x v="2"/>
    <x v="2"/>
    <x v="0"/>
    <x v="1"/>
    <x v="2"/>
    <s v="10:30 AM to 12:00 PM"/>
    <x v="1"/>
    <s v="Ankit Gavde"/>
    <d v="1993-12-13T00:00:00"/>
    <s v="Lokesh Gavde"/>
    <s v="Basanti"/>
    <x v="0"/>
    <x v="0"/>
    <s v="Qtr. No. 4/F, Street No. - 01, Sector - 02, Bhilai, Dist - Durg, Chhattisgarh, Pin - 490001"/>
    <x v="2"/>
    <n v="6397213537"/>
    <s v="ankitgavd9163@gmail.com"/>
    <s v="B.SC."/>
    <s v="YES"/>
    <s v="Issue"/>
    <n v="7000"/>
    <n v="200"/>
    <n v="800"/>
    <n v="0"/>
    <n v="8000"/>
    <n v="2500"/>
    <d v="2024-08-02T00:00:00"/>
    <n v="5500"/>
    <n v="3000"/>
    <d v="2024-09-02T00:00:00"/>
    <n v="2500"/>
    <n v="1000"/>
    <d v="2024-10-02T00:00:00"/>
    <n v="1500"/>
    <n v="500"/>
    <d v="2024-11-02T00:00:00"/>
    <n v="1000"/>
    <n v="1000"/>
    <d v="2024-12-02T00:00:00"/>
    <n v="0"/>
    <s v=""/>
    <s v=""/>
    <s v=""/>
    <n v="8000"/>
    <n v="0"/>
    <s v="Paid"/>
    <s v="R"/>
    <x v="0"/>
  </r>
  <r>
    <n v="148"/>
    <n v="148"/>
    <s v="EMCE869528@emaxindia.in"/>
    <s v="priya@1991"/>
    <s v="EMCE869528"/>
    <x v="96"/>
    <x v="2"/>
    <x v="2"/>
    <x v="0"/>
    <x v="1"/>
    <x v="2"/>
    <s v="12:45 PM to 2:30 PM"/>
    <x v="2"/>
    <s v="Priya Nishad"/>
    <d v="1991-04-14T00:00:00"/>
    <s v="Sunil Kumar Nishad"/>
    <s v="Parsadi Bai"/>
    <x v="0"/>
    <x v="0"/>
    <s v="House No. - 996, Ward - 24, Camp - 02, Bhilai, Dist - Durg, Chhattisgarh, Pin - 490001"/>
    <x v="9"/>
    <n v="7414258637"/>
    <s v="priyanish9294@gmail.com"/>
    <s v="POST GRADUATE"/>
    <s v="YES"/>
    <s v="Issue"/>
    <n v="7000"/>
    <n v="200"/>
    <n v="800"/>
    <n v="200"/>
    <n v="7800"/>
    <n v="2500"/>
    <d v="2024-08-03T00:00:00"/>
    <n v="5300"/>
    <n v="3000"/>
    <d v="2024-09-03T00:00:00"/>
    <n v="2300"/>
    <n v="1000"/>
    <d v="2024-10-03T00:00:00"/>
    <n v="1300"/>
    <n v="500"/>
    <d v="2024-11-03T00:00:00"/>
    <n v="800"/>
    <n v="500"/>
    <d v="2024-12-03T00:00:00"/>
    <n v="300"/>
    <n v="300"/>
    <d v="2025-01-03T00:00:00"/>
    <n v="0"/>
    <n v="7800"/>
    <n v="0"/>
    <s v="Paid"/>
    <s v="R"/>
    <x v="0"/>
  </r>
  <r>
    <n v="149"/>
    <n v="149"/>
    <s v="EMCE828415@emaxindia.in"/>
    <s v="komal@1997"/>
    <s v="EMCE828415"/>
    <x v="97"/>
    <x v="10"/>
    <x v="10"/>
    <x v="1"/>
    <x v="1"/>
    <x v="1"/>
    <s v="10:30 AM to 12:00 PM"/>
    <x v="1"/>
    <s v="Komal Sutar"/>
    <d v="1997-10-23T00:00:00"/>
    <s v="Surendra Sutar"/>
    <s v="Usha"/>
    <x v="1"/>
    <x v="1"/>
    <s v="House No. - 813, Vaishali Nagar, Bhilai, Bhilai, Dist - Durg, Chhattisgarh, Pin - 490020"/>
    <x v="5"/>
    <n v="7912636990"/>
    <s v="komalsuta420@gmail.com"/>
    <s v="DIPLOMA"/>
    <s v="YES"/>
    <s v="Issue"/>
    <n v="3000"/>
    <n v="200"/>
    <n v="500"/>
    <n v="0"/>
    <n v="3700"/>
    <n v="1000"/>
    <d v="2024-08-04T00:00:00"/>
    <n v="2700"/>
    <n v="1000"/>
    <d v="2024-09-04T00:00:00"/>
    <n v="1700"/>
    <n v="500"/>
    <d v="2024-10-04T00:00:00"/>
    <n v="1200"/>
    <n v="500"/>
    <d v="2024-11-04T00:00:00"/>
    <n v="700"/>
    <n v="500"/>
    <d v="2024-12-04T00:00:00"/>
    <n v="200"/>
    <n v="200"/>
    <d v="2025-01-04T00:00:00"/>
    <n v="0"/>
    <n v="3700"/>
    <n v="0"/>
    <s v="Paid"/>
    <s v="R"/>
    <x v="0"/>
  </r>
  <r>
    <n v="150"/>
    <n v="150"/>
    <s v="EMCE833831@emaxindia.in"/>
    <s v="sumitra@2004"/>
    <s v="EMCE833831"/>
    <x v="97"/>
    <x v="4"/>
    <x v="4"/>
    <x v="0"/>
    <x v="0"/>
    <x v="0"/>
    <s v="12:45 PM to 2:30 PM"/>
    <x v="2"/>
    <s v="Sumitra Kurre"/>
    <d v="2004-06-02T00:00:00"/>
    <s v="Ghanshyam Kurre"/>
    <s v="Champa"/>
    <x v="0"/>
    <x v="0"/>
    <s v="House No. - 749, Risali, Bhilai, Bhilai, Dist - Durg, Chhattisgarh, Pin - 490006"/>
    <x v="0"/>
    <n v="8712218932"/>
    <s v="sumitrakurr4430@gmail.com"/>
    <s v="GRADUATE"/>
    <s v="YES"/>
    <s v="Issue"/>
    <n v="15000"/>
    <n v="200"/>
    <n v="1200"/>
    <n v="200"/>
    <n v="16200"/>
    <n v="5000"/>
    <d v="2024-08-04T00:00:00"/>
    <n v="11200"/>
    <n v="3000"/>
    <d v="2024-09-04T00:00:00"/>
    <n v="8200"/>
    <n v="3000"/>
    <d v="2024-10-04T00:00:00"/>
    <n v="5200"/>
    <n v="3000"/>
    <d v="2024-11-04T00:00:00"/>
    <n v="2200"/>
    <n v="2000"/>
    <d v="2024-12-04T00:00:00"/>
    <n v="200"/>
    <n v="200"/>
    <d v="2025-01-04T00:00:00"/>
    <n v="0"/>
    <n v="16200"/>
    <n v="0"/>
    <s v="Paid"/>
    <s v="R"/>
    <x v="0"/>
  </r>
  <r>
    <n v="151"/>
    <n v="151"/>
    <s v="EMCE863492@emaxindia.in"/>
    <s v="divya@2007"/>
    <s v="EMCE863492"/>
    <x v="97"/>
    <x v="12"/>
    <x v="12"/>
    <x v="0"/>
    <x v="1"/>
    <x v="2"/>
    <s v="12:45 PM to 2:30 PM"/>
    <x v="2"/>
    <s v="Divya Markam"/>
    <d v="2007-02-09T00:00:00"/>
    <s v="Tulsiram Markam"/>
    <s v="Phulmati"/>
    <x v="0"/>
    <x v="1"/>
    <s v="House No. - 322, Ward - 19, Nehru Nagar, Bhilai, Dist - Durg, Chhattisgarh, Pin - 490020"/>
    <x v="3"/>
    <n v="6433832807"/>
    <s v="divyamark7626@gmail.com"/>
    <s v="DIPLOMA"/>
    <s v="YES"/>
    <s v="Issue"/>
    <n v="8000"/>
    <n v="200"/>
    <n v="1000"/>
    <n v="0"/>
    <n v="9200"/>
    <n v="2500"/>
    <d v="2024-08-04T00:00:00"/>
    <n v="6700"/>
    <n v="3000"/>
    <d v="2024-09-04T00:00:00"/>
    <n v="3700"/>
    <n v="1000"/>
    <d v="2024-10-04T00:00:00"/>
    <n v="2700"/>
    <n v="1000"/>
    <d v="2024-11-04T00:00:00"/>
    <n v="1700"/>
    <n v="1000"/>
    <d v="2024-12-04T00:00:00"/>
    <n v="700"/>
    <n v="700"/>
    <d v="2025-01-04T00:00:00"/>
    <n v="0"/>
    <n v="9200"/>
    <n v="0"/>
    <s v="Paid"/>
    <s v="R"/>
    <x v="0"/>
  </r>
  <r>
    <n v="152"/>
    <n v="152"/>
    <s v="EMCE845861@emaxindia.in"/>
    <s v="siddhant@1988"/>
    <s v="EMCE845861"/>
    <x v="98"/>
    <x v="6"/>
    <x v="6"/>
    <x v="1"/>
    <x v="1"/>
    <x v="1"/>
    <s v="10:30 AM to 12:00 PM"/>
    <x v="1"/>
    <s v="Siddhant Saini"/>
    <d v="1988-01-23T00:00:00"/>
    <s v="Jivanram Saini"/>
    <s v="Pushpa"/>
    <x v="0"/>
    <x v="0"/>
    <s v="House No. - 783, Ward - 01, Smriti Nagar, Bhilai, Dist - Durg, Chhattisgarh, Pin - 490020"/>
    <x v="14"/>
    <n v="8163313258"/>
    <s v="siddhantsain5740@gmail.com"/>
    <s v="ITI"/>
    <s v="YES"/>
    <s v="Issue"/>
    <n v="2000"/>
    <n v="200"/>
    <n v="300"/>
    <n v="500"/>
    <n v="2000"/>
    <n v="500"/>
    <d v="2024-08-05T00:00:00"/>
    <n v="1500"/>
    <n v="500"/>
    <d v="2024-09-05T00:00:00"/>
    <n v="1000"/>
    <n v="500"/>
    <d v="2024-10-05T00:00:00"/>
    <n v="500"/>
    <n v="500"/>
    <d v="2024-11-05T00:00:00"/>
    <n v="0"/>
    <s v=""/>
    <s v=""/>
    <s v=""/>
    <s v=""/>
    <s v=""/>
    <s v=""/>
    <n v="2000"/>
    <n v="0"/>
    <s v="Paid"/>
    <s v="R"/>
    <x v="0"/>
  </r>
  <r>
    <n v="153"/>
    <n v="153"/>
    <s v="EMCE851093@emaxindia.in"/>
    <s v="pramod@1990"/>
    <s v="EMCE851093"/>
    <x v="98"/>
    <x v="5"/>
    <x v="5"/>
    <x v="1"/>
    <x v="1"/>
    <x v="1"/>
    <s v="12:45 PM to 2:30 PM"/>
    <x v="2"/>
    <s v="Pramod Baghel"/>
    <d v="1990-10-27T00:00:00"/>
    <s v="Shyam Lal Baghel"/>
    <s v="Kamla Bai"/>
    <x v="0"/>
    <x v="0"/>
    <s v="House No. - 775, Ward - 30, Smriti Nagar, Bhilai, Dist - Durg, Chhattisgarh, Pin - 490020"/>
    <x v="14"/>
    <n v="6344396693"/>
    <s v="pramodbagh9445@gmail.com"/>
    <s v="10TH PASS"/>
    <s v="YES"/>
    <s v="Issue"/>
    <n v="2500"/>
    <n v="200"/>
    <n v="400"/>
    <n v="300"/>
    <n v="2800"/>
    <n v="1000"/>
    <d v="2024-08-05T00:00:00"/>
    <n v="1800"/>
    <n v="500"/>
    <d v="2024-09-05T00:00:00"/>
    <n v="1300"/>
    <n v="500"/>
    <d v="2024-10-05T00:00:00"/>
    <n v="800"/>
    <n v="500"/>
    <d v="2024-11-05T00:00:00"/>
    <n v="300"/>
    <n v="300"/>
    <d v="2024-12-05T00:00:00"/>
    <n v="0"/>
    <s v=""/>
    <s v=""/>
    <s v=""/>
    <n v="2800"/>
    <n v="0"/>
    <s v="Paid"/>
    <s v="R"/>
    <x v="0"/>
  </r>
  <r>
    <n v="154"/>
    <n v="154"/>
    <s v="EMCE852249@emaxindia.in"/>
    <s v="umakant@1994"/>
    <s v="EMCE852249"/>
    <x v="99"/>
    <x v="13"/>
    <x v="13"/>
    <x v="1"/>
    <x v="1"/>
    <x v="1"/>
    <s v="01:00 PM to 03:00 PM"/>
    <x v="3"/>
    <s v="Umakant Lohar"/>
    <d v="1994-02-12T00:00:00"/>
    <s v="Dinesh Lohar"/>
    <s v="Tulsi Bai"/>
    <x v="1"/>
    <x v="0"/>
    <s v="House No. - 626, Ward - 09, Camp - 01, Bhilai, Dist - Durg, Chhattisgarh, Pin - 490001"/>
    <x v="20"/>
    <n v="6219052452"/>
    <s v="umakantloha1623@gmail.com"/>
    <s v="B.A."/>
    <s v="YES"/>
    <s v="Issue"/>
    <n v="3500"/>
    <n v="200"/>
    <n v="500"/>
    <n v="500"/>
    <n v="3700"/>
    <n v="1000"/>
    <d v="2024-08-11T00:00:00"/>
    <n v="2700"/>
    <n v="1000"/>
    <d v="2024-09-11T00:00:00"/>
    <n v="1700"/>
    <n v="500"/>
    <d v="2024-10-11T00:00:00"/>
    <n v="1200"/>
    <n v="500"/>
    <d v="2024-11-11T00:00:00"/>
    <n v="700"/>
    <n v="500"/>
    <d v="2024-12-11T00:00:00"/>
    <n v="200"/>
    <n v="200"/>
    <d v="2025-01-11T00:00:00"/>
    <n v="0"/>
    <n v="3700"/>
    <n v="0"/>
    <s v="Paid"/>
    <s v="R"/>
    <x v="0"/>
  </r>
  <r>
    <n v="155"/>
    <n v="155"/>
    <s v="EMCE847835@emaxindia.in"/>
    <s v="pradeep@2004"/>
    <s v="EMCE847835"/>
    <x v="100"/>
    <x v="3"/>
    <x v="3"/>
    <x v="1"/>
    <x v="1"/>
    <x v="1"/>
    <s v="04:30 PM to 06:00 PM"/>
    <x v="0"/>
    <s v="Pradeep Xalxo"/>
    <d v="2004-01-09T00:00:00"/>
    <s v="Narendra Kumar Xalxo"/>
    <s v="Reena"/>
    <x v="0"/>
    <x v="2"/>
    <s v="House No. - 542, Ward - 21, Kosa Nagar, Bhilai, Dist - Durg, Chhattisgarh, Pin - 490020"/>
    <x v="7"/>
    <n v="9152464088"/>
    <s v="pradeepxalx9465@gmail.com"/>
    <s v="B.A."/>
    <s v="YES"/>
    <s v="Issue"/>
    <n v="3000"/>
    <n v="200"/>
    <n v="300"/>
    <n v="0"/>
    <n v="3500"/>
    <n v="1000"/>
    <d v="2024-08-14T00:00:00"/>
    <n v="2500"/>
    <n v="1000"/>
    <d v="2024-09-14T00:00:00"/>
    <n v="1500"/>
    <n v="500"/>
    <d v="2024-10-14T00:00:00"/>
    <n v="1000"/>
    <n v="500"/>
    <d v="2024-11-14T00:00:00"/>
    <n v="500"/>
    <n v="500"/>
    <d v="2024-12-14T00:00:00"/>
    <n v="0"/>
    <s v=""/>
    <s v=""/>
    <s v=""/>
    <n v="3500"/>
    <n v="0"/>
    <s v="Paid"/>
    <s v="R"/>
    <x v="0"/>
  </r>
  <r>
    <n v="156"/>
    <n v="156"/>
    <s v="EMCE834877@emaxindia.in"/>
    <s v="poonam@2006"/>
    <s v="EMCE834877"/>
    <x v="101"/>
    <x v="11"/>
    <x v="11"/>
    <x v="1"/>
    <x v="1"/>
    <x v="1"/>
    <s v="01:00 PM to 03:00 PM"/>
    <x v="3"/>
    <s v="Poonam Namdev"/>
    <d v="2006-06-23T00:00:00"/>
    <s v="Prem Kumar Namdev"/>
    <s v="Phoolbai"/>
    <x v="0"/>
    <x v="0"/>
    <s v="House No. - 143, Risali, Bhilai, Bhilai, Dist - Durg, Chhattisgarh, Pin - 490006"/>
    <x v="0"/>
    <n v="6233589236"/>
    <s v="poonamnamd7832@gmail.com"/>
    <s v="12TH PASS"/>
    <s v="YES"/>
    <s v="Issue"/>
    <n v="2500"/>
    <n v="200"/>
    <n v="500"/>
    <n v="500"/>
    <n v="2700"/>
    <n v="1000"/>
    <d v="2024-08-15T00:00:00"/>
    <n v="1700"/>
    <n v="500"/>
    <d v="2024-09-15T00:00:00"/>
    <n v="1200"/>
    <n v="500"/>
    <d v="2024-10-15T00:00:00"/>
    <n v="700"/>
    <n v="500"/>
    <d v="2024-11-15T00:00:00"/>
    <n v="200"/>
    <n v="200"/>
    <d v="2024-12-15T00:00:00"/>
    <n v="0"/>
    <s v=""/>
    <s v=""/>
    <s v=""/>
    <n v="2700"/>
    <n v="0"/>
    <s v="Paid"/>
    <s v="R"/>
    <x v="0"/>
  </r>
  <r>
    <n v="157"/>
    <n v="157"/>
    <s v="EMCE878270@emaxindia.in"/>
    <s v="tarun@2009"/>
    <s v="EMCE878270"/>
    <x v="102"/>
    <x v="8"/>
    <x v="8"/>
    <x v="0"/>
    <x v="1"/>
    <x v="2"/>
    <s v="10:30 AM to 12:00 PM"/>
    <x v="1"/>
    <s v="Tarun Khobragade"/>
    <d v="2009-08-03T00:00:00"/>
    <s v="Shiv Prasad Khobragade"/>
    <s v="Mamta"/>
    <x v="0"/>
    <x v="0"/>
    <s v="House No. - 764, Ward - 19, Kumhari, Bhilai, Dist - Durg, Chhattisgarh, Pin - 490042"/>
    <x v="15"/>
    <n v="9747381358"/>
    <s v="tarunkhob8754@gmail.com"/>
    <s v="10TH PASS"/>
    <s v="YES"/>
    <s v="Issue"/>
    <n v="6000"/>
    <n v="200"/>
    <n v="800"/>
    <n v="0"/>
    <n v="7000"/>
    <n v="2500"/>
    <d v="2024-08-17T00:00:00"/>
    <n v="4500"/>
    <n v="1000"/>
    <d v="2024-09-17T00:00:00"/>
    <n v="3500"/>
    <n v="1000"/>
    <d v="2024-10-17T00:00:00"/>
    <n v="2500"/>
    <n v="1000"/>
    <d v="2024-11-17T00:00:00"/>
    <n v="1500"/>
    <n v="1000"/>
    <d v="2024-12-17T00:00:00"/>
    <n v="500"/>
    <n v="500"/>
    <d v="2025-01-17T00:00:00"/>
    <n v="0"/>
    <n v="7000"/>
    <n v="0"/>
    <s v="Paid"/>
    <s v="R"/>
    <x v="0"/>
  </r>
  <r>
    <n v="158"/>
    <n v="158"/>
    <s v="EMCE868532@emaxindia.in"/>
    <s v="komal@1994"/>
    <s v="EMCE868532"/>
    <x v="103"/>
    <x v="2"/>
    <x v="2"/>
    <x v="0"/>
    <x v="1"/>
    <x v="2"/>
    <s v="12:45 PM to 2:30 PM"/>
    <x v="2"/>
    <s v="Komal Xalxo"/>
    <d v="1994-07-25T00:00:00"/>
    <s v="Kailash Xalxo"/>
    <s v="Pushpa"/>
    <x v="0"/>
    <x v="1"/>
    <s v="House No. - 562, Ward - 26, Camp - 01, Bhilai, Dist - Durg, Chhattisgarh, Pin - 490001"/>
    <x v="20"/>
    <n v="9443456742"/>
    <s v="komalxalx6034@gmail.com"/>
    <s v="B.SC."/>
    <s v="YES"/>
    <s v="Issue"/>
    <n v="7000"/>
    <n v="200"/>
    <n v="800"/>
    <n v="0"/>
    <n v="8000"/>
    <n v="2500"/>
    <d v="2024-08-21T00:00:00"/>
    <n v="5500"/>
    <n v="3000"/>
    <d v="2024-09-21T00:00:00"/>
    <n v="2500"/>
    <n v="1000"/>
    <d v="2024-10-21T00:00:00"/>
    <n v="1500"/>
    <n v="500"/>
    <d v="2024-11-21T00:00:00"/>
    <n v="1000"/>
    <n v="1000"/>
    <d v="2024-12-21T00:00:00"/>
    <n v="0"/>
    <s v=""/>
    <s v=""/>
    <s v=""/>
    <n v="8000"/>
    <n v="0"/>
    <s v="Paid"/>
    <s v="R"/>
    <x v="0"/>
  </r>
  <r>
    <n v="159"/>
    <n v="159"/>
    <s v="EMCE835211@emaxindia.in"/>
    <s v="bharat@2005"/>
    <s v="EMCE835211"/>
    <x v="104"/>
    <x v="4"/>
    <x v="4"/>
    <x v="0"/>
    <x v="0"/>
    <x v="0"/>
    <s v="10:30 AM to 12:00 PM"/>
    <x v="1"/>
    <s v="Bharat Awasthi"/>
    <d v="2005-06-17T00:00:00"/>
    <s v="Ramesh Awasthi"/>
    <s v="Sarojini"/>
    <x v="0"/>
    <x v="0"/>
    <s v="House No. - 802, Vaishali Nagar, Bhilai, Bhilai, Dist - Durg, Chhattisgarh, Pin - 490020"/>
    <x v="5"/>
    <n v="6408914322"/>
    <s v="bharatawas5873@gmail.com"/>
    <s v="B.SC."/>
    <s v="YES"/>
    <s v="Issue"/>
    <n v="15000"/>
    <n v="200"/>
    <n v="1200"/>
    <n v="0"/>
    <n v="16400"/>
    <n v="5000"/>
    <d v="2024-08-23T00:00:00"/>
    <n v="11400"/>
    <n v="3000"/>
    <d v="2024-09-23T00:00:00"/>
    <n v="8400"/>
    <n v="3000"/>
    <d v="2024-10-23T00:00:00"/>
    <n v="5400"/>
    <n v="3000"/>
    <d v="2024-11-23T00:00:00"/>
    <n v="2400"/>
    <n v="2000"/>
    <d v="2024-12-23T00:00:00"/>
    <n v="400"/>
    <n v="400"/>
    <d v="2025-01-23T00:00:00"/>
    <n v="0"/>
    <n v="16400"/>
    <n v="0"/>
    <s v="Paid"/>
    <s v="R"/>
    <x v="0"/>
  </r>
  <r>
    <n v="160"/>
    <n v="160"/>
    <s v="EMCE842490@emaxindia.in"/>
    <s v="deepika@2010"/>
    <s v="EMCE842490"/>
    <x v="105"/>
    <x v="9"/>
    <x v="9"/>
    <x v="1"/>
    <x v="1"/>
    <x v="1"/>
    <s v="10:30 AM to 12:00 PM"/>
    <x v="1"/>
    <s v="Deepika Rath"/>
    <d v="2010-08-24T00:00:00"/>
    <s v="Kedarnath Rath"/>
    <s v="Sudha"/>
    <x v="0"/>
    <x v="0"/>
    <s v="House No. - 154, Ward - 20, Camp - 02, Bhilai, Dist - Durg, Chhattisgarh, Pin - 490001"/>
    <x v="9"/>
    <n v="7863911210"/>
    <s v="deepikarath5039@gmail.com"/>
    <s v="BCA"/>
    <s v="YES"/>
    <s v="Issue"/>
    <n v="2000"/>
    <n v="200"/>
    <n v="300"/>
    <n v="300"/>
    <n v="2200"/>
    <n v="500"/>
    <d v="2024-08-25T00:00:00"/>
    <n v="1700"/>
    <n v="500"/>
    <d v="2024-09-25T00:00:00"/>
    <n v="1200"/>
    <n v="500"/>
    <d v="2024-10-25T00:00:00"/>
    <n v="700"/>
    <n v="500"/>
    <d v="2024-11-25T00:00:00"/>
    <n v="200"/>
    <n v="200"/>
    <d v="2024-12-25T00:00:00"/>
    <n v="0"/>
    <s v=""/>
    <s v=""/>
    <s v=""/>
    <n v="2200"/>
    <n v="0"/>
    <s v="Paid"/>
    <s v="R"/>
    <x v="0"/>
  </r>
  <r>
    <n v="161"/>
    <n v="161"/>
    <s v="EMCE830947@emaxindia.in"/>
    <s v="sunanda@2001"/>
    <s v="EMCE830947"/>
    <x v="106"/>
    <x v="9"/>
    <x v="9"/>
    <x v="1"/>
    <x v="1"/>
    <x v="1"/>
    <s v="10:30 AM to 12:00 PM"/>
    <x v="1"/>
    <s v="Sunanda Meghwal"/>
    <d v="2001-02-20T00:00:00"/>
    <s v="Ghasiya Meghwal"/>
    <s v="Kavita"/>
    <x v="0"/>
    <x v="3"/>
    <s v="Qrt. No. 22/B, Street No. - 03, Sector - 01, Bhilai, Dist - Durg, Chhattisgarh, Pin - 490001"/>
    <x v="17"/>
    <n v="6703313862"/>
    <s v="sunandamegh2401@gmail.com"/>
    <s v="POST GRADUATE"/>
    <s v="YES"/>
    <s v="Issue"/>
    <n v="2000"/>
    <n v="200"/>
    <n v="300"/>
    <n v="0"/>
    <n v="2500"/>
    <n v="1000"/>
    <d v="2024-08-27T00:00:00"/>
    <n v="1500"/>
    <n v="500"/>
    <d v="2024-09-27T00:00:00"/>
    <n v="1000"/>
    <n v="500"/>
    <d v="2024-10-27T00:00:00"/>
    <n v="500"/>
    <n v="500"/>
    <d v="2024-11-27T00:00:00"/>
    <n v="0"/>
    <s v=""/>
    <s v=""/>
    <s v=""/>
    <s v=""/>
    <s v=""/>
    <s v=""/>
    <n v="2500"/>
    <n v="0"/>
    <s v="Paid"/>
    <s v="R"/>
    <x v="0"/>
  </r>
  <r>
    <n v="162"/>
    <n v="162"/>
    <s v="EMCE849213@emaxindia.in"/>
    <s v="vikram@2010"/>
    <s v="EMCE849213"/>
    <x v="106"/>
    <x v="2"/>
    <x v="2"/>
    <x v="0"/>
    <x v="1"/>
    <x v="2"/>
    <s v="04:30 PM to 06:00 PM"/>
    <x v="0"/>
    <s v="Vikram Nichlani"/>
    <d v="2010-04-01T00:00:00"/>
    <s v="Brijlal Nichlani"/>
    <s v="Babita"/>
    <x v="0"/>
    <x v="1"/>
    <s v="Qr. No. 28/D, Street No. - 01, Sector - 04, Bhilai, Dist - Durg, Chhattisgarh, Pin - 490001"/>
    <x v="1"/>
    <n v="6509272368"/>
    <s v="vikramnich4409@gmail.com"/>
    <s v="8TH PASS"/>
    <s v="YES"/>
    <s v="Issue"/>
    <n v="7000"/>
    <n v="200"/>
    <n v="800"/>
    <n v="0"/>
    <n v="8000"/>
    <n v="2500"/>
    <d v="2024-08-27T00:00:00"/>
    <n v="5500"/>
    <n v="3000"/>
    <d v="2024-09-27T00:00:00"/>
    <n v="2500"/>
    <n v="1000"/>
    <d v="2024-10-27T00:00:00"/>
    <n v="1500"/>
    <n v="500"/>
    <d v="2024-11-27T00:00:00"/>
    <n v="1000"/>
    <n v="1000"/>
    <d v="2024-12-27T00:00:00"/>
    <n v="0"/>
    <s v=""/>
    <s v=""/>
    <s v=""/>
    <n v="8000"/>
    <n v="0"/>
    <s v="Paid"/>
    <s v="R"/>
    <x v="0"/>
  </r>
  <r>
    <n v="163"/>
    <n v="163"/>
    <s v="EMCE884426@emaxindia.in"/>
    <s v="saurabh@1988"/>
    <s v="EMCE884426"/>
    <x v="107"/>
    <x v="5"/>
    <x v="5"/>
    <x v="1"/>
    <x v="1"/>
    <x v="1"/>
    <s v="01:00 PM to 03:00 PM"/>
    <x v="3"/>
    <s v="Saurabh Dhruw"/>
    <d v="1988-07-23T00:00:00"/>
    <s v="Manohar Lal Dhruw"/>
    <s v="Sunita"/>
    <x v="0"/>
    <x v="0"/>
    <s v="House No. - 998, Vaishali Nagar, Bhilai, Dist - Durg, Chhattisgarh, Pin - 490020"/>
    <x v="5"/>
    <n v="8766143059"/>
    <s v="saurabhdhru7481@gmail.com"/>
    <s v="10TH PASS"/>
    <s v="YES"/>
    <s v="Issue"/>
    <n v="2500"/>
    <n v="200"/>
    <n v="400"/>
    <n v="0"/>
    <n v="3100"/>
    <n v="1000"/>
    <d v="2024-09-04T00:00:00"/>
    <n v="2100"/>
    <n v="1000"/>
    <d v="2024-10-04T00:00:00"/>
    <n v="1100"/>
    <n v="500"/>
    <d v="2024-11-04T00:00:00"/>
    <n v="600"/>
    <n v="500"/>
    <d v="2024-12-04T00:00:00"/>
    <n v="100"/>
    <n v="100"/>
    <d v="2025-01-04T00:00:00"/>
    <n v="0"/>
    <s v=""/>
    <s v=""/>
    <s v=""/>
    <n v="3100"/>
    <n v="0"/>
    <s v="Paid"/>
    <s v="R"/>
    <x v="0"/>
  </r>
  <r>
    <n v="164"/>
    <n v="164"/>
    <s v="EMCE839362@emaxindia.in"/>
    <s v="diksha@2007"/>
    <s v="EMCE839362"/>
    <x v="108"/>
    <x v="10"/>
    <x v="10"/>
    <x v="1"/>
    <x v="1"/>
    <x v="1"/>
    <s v="01:00 PM to 03:00 PM"/>
    <x v="3"/>
    <s v="Diksha Ray"/>
    <d v="2007-06-20T00:00:00"/>
    <s v="Rajkumar Ray"/>
    <s v="Padmini"/>
    <x v="0"/>
    <x v="0"/>
    <s v="House No. - 304, Ward - 30, Supela, Bhilai, Dist - Durg, Chhattisgarh, Pin - 490023"/>
    <x v="13"/>
    <n v="9856983322"/>
    <s v="diksharay3750@gmail.com"/>
    <s v="DIPLOMA"/>
    <s v="YES"/>
    <s v="Issue"/>
    <n v="3000"/>
    <n v="200"/>
    <n v="500"/>
    <n v="0"/>
    <n v="3700"/>
    <n v="1000"/>
    <d v="2024-09-06T00:00:00"/>
    <n v="2700"/>
    <n v="1000"/>
    <d v="2024-10-06T00:00:00"/>
    <n v="1700"/>
    <n v="500"/>
    <d v="2024-11-06T00:00:00"/>
    <n v="1200"/>
    <n v="500"/>
    <d v="2024-12-06T00:00:00"/>
    <n v="700"/>
    <n v="500"/>
    <d v="2025-01-06T00:00:00"/>
    <n v="200"/>
    <n v="200"/>
    <d v="2025-02-06T00:00:00"/>
    <n v="0"/>
    <n v="3700"/>
    <n v="0"/>
    <s v="Paid"/>
    <s v="R"/>
    <x v="0"/>
  </r>
  <r>
    <n v="165"/>
    <n v="165"/>
    <s v="EMCE842246@emaxindia.in"/>
    <s v="ravi@1988"/>
    <s v="EMCE842246"/>
    <x v="108"/>
    <x v="7"/>
    <x v="7"/>
    <x v="1"/>
    <x v="1"/>
    <x v="1"/>
    <s v="01:00 PM to 03:00 PM"/>
    <x v="3"/>
    <s v="Ravi Paikara"/>
    <d v="1988-02-25T00:00:00"/>
    <s v="Ramnath Paikara"/>
    <s v="Sita Bai"/>
    <x v="1"/>
    <x v="0"/>
    <s v="Block - 18/A, Street - 14, Sector - 04, Bhilai, Dist - Durg, Chhattisgarh, Pin - 490001"/>
    <x v="1"/>
    <n v="9952961885"/>
    <s v="ravipaik7833@gmail.com"/>
    <s v="B.A."/>
    <s v="YES"/>
    <s v="Issue"/>
    <n v="3000"/>
    <n v="200"/>
    <n v="500"/>
    <n v="200"/>
    <n v="3500"/>
    <n v="1000"/>
    <d v="2024-09-06T00:00:00"/>
    <n v="2500"/>
    <n v="1000"/>
    <d v="2024-10-06T00:00:00"/>
    <n v="1500"/>
    <n v="500"/>
    <d v="2024-11-06T00:00:00"/>
    <n v="1000"/>
    <n v="500"/>
    <d v="2024-12-06T00:00:00"/>
    <n v="500"/>
    <n v="500"/>
    <d v="2025-01-06T00:00:00"/>
    <n v="0"/>
    <s v=""/>
    <s v=""/>
    <s v=""/>
    <n v="3500"/>
    <n v="0"/>
    <s v="Paid"/>
    <s v="R"/>
    <x v="0"/>
  </r>
  <r>
    <n v="166"/>
    <n v="166"/>
    <s v="EMCE856645@emaxindia.in"/>
    <s v="balram@2010"/>
    <s v="EMCE856645"/>
    <x v="108"/>
    <x v="4"/>
    <x v="4"/>
    <x v="0"/>
    <x v="0"/>
    <x v="0"/>
    <s v="11:30 AM to 12:45 PM"/>
    <x v="1"/>
    <s v="Balram Chandrakar"/>
    <d v="2010-08-22T00:00:00"/>
    <s v="Hemant Kumar Chandrakar"/>
    <s v="Laxmi"/>
    <x v="0"/>
    <x v="0"/>
    <s v="Qtr. No. 22/E, Street No. - 09, Sector - 02, Bhilai, Dist - Durg, Chhattisgarh, Pin - 490001"/>
    <x v="2"/>
    <n v="9494292714"/>
    <s v="balramchan8852@gmail.com"/>
    <s v="B.COM."/>
    <s v="YES"/>
    <s v="Issue"/>
    <n v="15000"/>
    <n v="200"/>
    <n v="1200"/>
    <n v="300"/>
    <n v="16100"/>
    <n v="5000"/>
    <d v="2024-09-06T00:00:00"/>
    <n v="11100"/>
    <n v="3000"/>
    <d v="2024-10-06T00:00:00"/>
    <n v="8100"/>
    <n v="3000"/>
    <d v="2024-11-06T00:00:00"/>
    <n v="5100"/>
    <n v="3000"/>
    <d v="2024-12-06T00:00:00"/>
    <n v="2100"/>
    <n v="2000"/>
    <d v="2025-01-06T00:00:00"/>
    <n v="100"/>
    <n v="100"/>
    <d v="2025-02-06T00:00:00"/>
    <n v="0"/>
    <n v="16100"/>
    <n v="0"/>
    <s v="Paid"/>
    <s v="R"/>
    <x v="0"/>
  </r>
  <r>
    <n v="167"/>
    <n v="167"/>
    <s v="EMCE832188@emaxindia.in"/>
    <s v="namita@2008"/>
    <s v="EMCE832188"/>
    <x v="109"/>
    <x v="9"/>
    <x v="9"/>
    <x v="1"/>
    <x v="1"/>
    <x v="1"/>
    <s v="10:30 AM to 12:00 PM"/>
    <x v="1"/>
    <s v="Namita Joshi"/>
    <d v="2008-07-21T00:00:00"/>
    <s v="Naresh Joshi"/>
    <s v="Geeta"/>
    <x v="0"/>
    <x v="2"/>
    <s v="Qr. No. 27/D, Street No. - 15, Sector - 04, Bhilai, Dist - Durg, Chhattisgarh, Pin - 490001"/>
    <x v="1"/>
    <n v="8776579639"/>
    <s v="namitajosh8009@gmail.com"/>
    <s v="BCA"/>
    <s v="YES"/>
    <s v="Issue"/>
    <n v="2000"/>
    <n v="200"/>
    <n v="300"/>
    <n v="200"/>
    <n v="2300"/>
    <n v="500"/>
    <d v="2024-09-07T00:00:00"/>
    <n v="1800"/>
    <n v="500"/>
    <d v="2024-10-07T00:00:00"/>
    <n v="1300"/>
    <n v="500"/>
    <d v="2024-11-07T00:00:00"/>
    <n v="800"/>
    <n v="500"/>
    <d v="2024-12-07T00:00:00"/>
    <n v="300"/>
    <n v="300"/>
    <d v="2025-01-07T00:00:00"/>
    <n v="0"/>
    <s v=""/>
    <s v=""/>
    <s v=""/>
    <n v="2300"/>
    <n v="0"/>
    <s v="Paid"/>
    <s v="R"/>
    <x v="0"/>
  </r>
  <r>
    <n v="168"/>
    <n v="168"/>
    <s v="EMCE849558@emaxindia.in"/>
    <s v="shivkumar@1993"/>
    <s v="EMCE849558"/>
    <x v="109"/>
    <x v="4"/>
    <x v="4"/>
    <x v="0"/>
    <x v="0"/>
    <x v="0"/>
    <s v="10:30 AM to 12:00 PM"/>
    <x v="1"/>
    <s v="Shivkumar Khobragade"/>
    <d v="1993-05-25T00:00:00"/>
    <s v="Sunil Kumar Khobragade"/>
    <s v="Heera"/>
    <x v="0"/>
    <x v="0"/>
    <s v="House No. - 435, Vaishali Nagar, Bhilai, Dist - Durg, Chhattisgarh, Pin - 490020"/>
    <x v="5"/>
    <n v="6048116254"/>
    <s v="shivkumarkhob1115@gmail.com"/>
    <s v="8TH PASS"/>
    <s v="YES"/>
    <s v="Issue"/>
    <n v="15000"/>
    <n v="200"/>
    <n v="1200"/>
    <n v="0"/>
    <n v="16400"/>
    <n v="5000"/>
    <d v="2024-09-07T00:00:00"/>
    <n v="11400"/>
    <n v="3000"/>
    <d v="2024-10-07T00:00:00"/>
    <n v="8400"/>
    <n v="3000"/>
    <d v="2024-11-07T00:00:00"/>
    <n v="5400"/>
    <n v="3000"/>
    <d v="2024-12-07T00:00:00"/>
    <n v="2400"/>
    <n v="2000"/>
    <d v="2025-01-07T00:00:00"/>
    <n v="400"/>
    <n v="400"/>
    <d v="2025-02-07T00:00:00"/>
    <n v="0"/>
    <n v="16400"/>
    <n v="0"/>
    <s v="Paid"/>
    <s v="R"/>
    <x v="0"/>
  </r>
  <r>
    <n v="169"/>
    <n v="169"/>
    <s v="EMCE851162@emaxindia.in"/>
    <s v="ishita@2003"/>
    <s v="EMCE851162"/>
    <x v="109"/>
    <x v="10"/>
    <x v="10"/>
    <x v="1"/>
    <x v="1"/>
    <x v="1"/>
    <s v="10:30 AM to 12:00 PM"/>
    <x v="1"/>
    <s v="Ishita Kosare"/>
    <d v="2003-05-08T00:00:00"/>
    <s v="Ganesh Kosare"/>
    <s v="Dropadi"/>
    <x v="1"/>
    <x v="1"/>
    <s v="Quarter No. 5/D, Street - 24, Sector - 10, Bhilai, Dist - Durg, Chhattisgarh, Pin - 490006"/>
    <x v="6"/>
    <n v="7656119781"/>
    <s v="ishitakosa8934@gmail.com"/>
    <s v="12TH PASS"/>
    <s v="YES"/>
    <s v="Issue"/>
    <n v="3000"/>
    <n v="200"/>
    <n v="500"/>
    <n v="0"/>
    <n v="3700"/>
    <n v="1000"/>
    <d v="2024-09-07T00:00:00"/>
    <n v="2700"/>
    <n v="1000"/>
    <d v="2024-10-07T00:00:00"/>
    <n v="1700"/>
    <n v="500"/>
    <d v="2024-11-07T00:00:00"/>
    <n v="1200"/>
    <n v="500"/>
    <d v="2024-12-07T00:00:00"/>
    <n v="700"/>
    <n v="500"/>
    <d v="2025-01-07T00:00:00"/>
    <n v="200"/>
    <n v="200"/>
    <d v="2025-02-07T00:00:00"/>
    <n v="0"/>
    <n v="3700"/>
    <n v="0"/>
    <s v="Paid"/>
    <s v="R"/>
    <x v="0"/>
  </r>
  <r>
    <n v="170"/>
    <n v="170"/>
    <s v="EMCE829928@emaxindia.in"/>
    <s v="payal@1991"/>
    <s v="EMCE829928"/>
    <x v="110"/>
    <x v="0"/>
    <x v="0"/>
    <x v="0"/>
    <x v="0"/>
    <x v="0"/>
    <s v="01:00 PM to 03:00 PM"/>
    <x v="3"/>
    <s v="Payal Tekam"/>
    <d v="1991-04-09T00:00:00"/>
    <s v="Jivanram Tekam"/>
    <s v="Ratna"/>
    <x v="0"/>
    <x v="0"/>
    <s v="House No. - 958, Risali, Bhilai, Bhilai, Dist - Durg, Chhattisgarh, Pin - 490006"/>
    <x v="0"/>
    <n v="8368746373"/>
    <s v="payalteka4710@gmail.com"/>
    <s v="B.COM."/>
    <s v="YES"/>
    <s v="Issue"/>
    <n v="12500"/>
    <n v="200"/>
    <n v="1200"/>
    <n v="500"/>
    <n v="13400"/>
    <n v="5000"/>
    <d v="2024-09-16T00:00:00"/>
    <n v="8400"/>
    <n v="3000"/>
    <d v="2024-10-16T00:00:00"/>
    <n v="5400"/>
    <n v="3000"/>
    <d v="2024-11-16T00:00:00"/>
    <n v="2400"/>
    <n v="1000"/>
    <d v="2024-12-16T00:00:00"/>
    <n v="1400"/>
    <n v="1000"/>
    <d v="2025-01-16T00:00:00"/>
    <n v="400"/>
    <n v="400"/>
    <d v="2025-02-16T00:00:00"/>
    <n v="0"/>
    <n v="13400"/>
    <n v="0"/>
    <s v="Paid"/>
    <s v="R"/>
    <x v="0"/>
  </r>
  <r>
    <n v="171"/>
    <n v="171"/>
    <s v="EMCE838761@emaxindia.in"/>
    <s v="mukesh@2009"/>
    <s v="EMCE838761"/>
    <x v="111"/>
    <x v="3"/>
    <x v="3"/>
    <x v="1"/>
    <x v="1"/>
    <x v="1"/>
    <s v="10:30 AM to 12:00 PM"/>
    <x v="1"/>
    <s v="Mukesh Paikara"/>
    <d v="2009-02-20T00:00:00"/>
    <s v="Bharat Paikara"/>
    <s v="Padmini"/>
    <x v="0"/>
    <x v="3"/>
    <s v="Qr. No. 21/F, Street No. - 18, Sector - 04, Bhilai, Dist - Durg, Chhattisgarh, Pin - 490001"/>
    <x v="1"/>
    <n v="6281536167"/>
    <s v="mukeshpaik913@gmail.com"/>
    <s v="10TH PASS"/>
    <s v="YES"/>
    <s v="Issue"/>
    <n v="3000"/>
    <n v="200"/>
    <n v="300"/>
    <n v="200"/>
    <n v="3300"/>
    <n v="1000"/>
    <d v="2024-09-17T00:00:00"/>
    <n v="2300"/>
    <n v="1000"/>
    <d v="2024-10-17T00:00:00"/>
    <n v="1300"/>
    <n v="500"/>
    <d v="2024-11-17T00:00:00"/>
    <n v="800"/>
    <n v="500"/>
    <d v="2024-12-17T00:00:00"/>
    <n v="300"/>
    <n v="300"/>
    <d v="2025-01-17T00:00:00"/>
    <n v="0"/>
    <s v=""/>
    <s v=""/>
    <s v=""/>
    <n v="3300"/>
    <n v="0"/>
    <s v="Paid"/>
    <s v="R"/>
    <x v="0"/>
  </r>
  <r>
    <n v="172"/>
    <n v="172"/>
    <s v="EMCE846303@emaxindia.in"/>
    <s v="kavita@1991"/>
    <s v="EMCE846303"/>
    <x v="112"/>
    <x v="6"/>
    <x v="6"/>
    <x v="1"/>
    <x v="1"/>
    <x v="1"/>
    <s v="11:30 AM to 12:45 PM"/>
    <x v="1"/>
    <s v="Kavita Nishad"/>
    <d v="1991-02-26T00:00:00"/>
    <s v="Rajesh Nishad"/>
    <s v="Ratna"/>
    <x v="0"/>
    <x v="2"/>
    <s v="Qr. No. 4/E, Street No. - 10, Sector - 08, Bhilai, Dist - Durg, Chhattisgarh, Pin - 490001"/>
    <x v="18"/>
    <n v="9309808171"/>
    <s v="kavitanish7090@gmail.com"/>
    <s v="GRADUATE"/>
    <s v="YES"/>
    <s v="Issue"/>
    <n v="2000"/>
    <n v="200"/>
    <n v="300"/>
    <n v="0"/>
    <n v="2500"/>
    <n v="1000"/>
    <d v="2024-09-18T00:00:00"/>
    <n v="1500"/>
    <n v="500"/>
    <d v="2024-10-18T00:00:00"/>
    <n v="1000"/>
    <n v="500"/>
    <d v="2024-11-18T00:00:00"/>
    <n v="500"/>
    <n v="500"/>
    <d v="2024-12-18T00:00:00"/>
    <n v="0"/>
    <s v=""/>
    <s v=""/>
    <s v=""/>
    <s v=""/>
    <s v=""/>
    <s v=""/>
    <n v="2500"/>
    <n v="0"/>
    <s v="Paid"/>
    <s v="R"/>
    <x v="0"/>
  </r>
  <r>
    <n v="173"/>
    <n v="173"/>
    <s v="EMCE866625@emaxindia.in"/>
    <s v="chetna@2007"/>
    <s v="EMCE866625"/>
    <x v="112"/>
    <x v="11"/>
    <x v="11"/>
    <x v="1"/>
    <x v="1"/>
    <x v="1"/>
    <s v="10:30 AM to 12:00 PM"/>
    <x v="1"/>
    <s v="Chetna Dewari"/>
    <d v="2007-09-05T00:00:00"/>
    <s v="Tulsiram Dewari"/>
    <s v="Chandrabai"/>
    <x v="0"/>
    <x v="0"/>
    <s v="House No. - 544, Ward - 21, Kosa Nagar, Bhilai, Dist - Durg, Chhattisgarh, Pin - 490020"/>
    <x v="7"/>
    <n v="6815571472"/>
    <s v="chetnadewa9894@gmail.com"/>
    <s v="ITI"/>
    <s v="YES"/>
    <s v="Issue"/>
    <n v="2500"/>
    <n v="200"/>
    <n v="500"/>
    <n v="200"/>
    <n v="3000"/>
    <n v="1000"/>
    <d v="2024-09-18T00:00:00"/>
    <n v="2000"/>
    <n v="1000"/>
    <d v="2024-10-18T00:00:00"/>
    <n v="1000"/>
    <n v="500"/>
    <d v="2024-11-18T00:00:00"/>
    <n v="500"/>
    <n v="500"/>
    <d v="2024-12-18T00:00:00"/>
    <n v="0"/>
    <s v=""/>
    <s v=""/>
    <s v=""/>
    <s v=""/>
    <s v=""/>
    <s v=""/>
    <n v="3000"/>
    <n v="0"/>
    <s v="Paid"/>
    <s v="R"/>
    <x v="0"/>
  </r>
  <r>
    <n v="174"/>
    <n v="174"/>
    <s v="EMCE832469@emaxindia.in"/>
    <s v="nisha@2001"/>
    <s v="EMCE832469"/>
    <x v="113"/>
    <x v="0"/>
    <x v="0"/>
    <x v="0"/>
    <x v="0"/>
    <x v="0"/>
    <s v="10:30 AM to 12:00 PM"/>
    <x v="1"/>
    <s v="Nisha Paikara"/>
    <d v="2001-11-17T00:00:00"/>
    <s v="Ghanshyam Paikara"/>
    <s v="Dropadi"/>
    <x v="0"/>
    <x v="0"/>
    <s v="Qr. No. 20, Bl No. 15, Street No. Emr, Sector - 04, Bhilai, Dist - Durg, Chhattisgarh, Pin - 490001"/>
    <x v="1"/>
    <n v="8711064217"/>
    <s v="nishapaik6518@gmail.com"/>
    <s v="GRADUATE"/>
    <s v="YES"/>
    <s v="Issue"/>
    <n v="12500"/>
    <n v="200"/>
    <n v="1200"/>
    <n v="0"/>
    <n v="13900"/>
    <n v="5000"/>
    <d v="2024-09-19T00:00:00"/>
    <n v="8900"/>
    <n v="3000"/>
    <d v="2024-10-19T00:00:00"/>
    <n v="5900"/>
    <n v="3000"/>
    <d v="2024-11-19T00:00:00"/>
    <n v="2900"/>
    <n v="1000"/>
    <d v="2024-12-19T00:00:00"/>
    <n v="1900"/>
    <n v="1000"/>
    <d v="2025-01-19T00:00:00"/>
    <n v="900"/>
    <n v="900"/>
    <d v="2025-02-19T00:00:00"/>
    <n v="0"/>
    <n v="13900"/>
    <n v="0"/>
    <s v="Paid"/>
    <s v="R"/>
    <x v="0"/>
  </r>
  <r>
    <n v="175"/>
    <n v="175"/>
    <s v="EMCE831139@emaxindia.in"/>
    <s v="usha@2007"/>
    <s v="EMCE831139"/>
    <x v="114"/>
    <x v="10"/>
    <x v="10"/>
    <x v="1"/>
    <x v="1"/>
    <x v="1"/>
    <s v="04:30 PM to 06:00 PM"/>
    <x v="0"/>
    <s v="Usha Ahirwar"/>
    <d v="2007-07-26T00:00:00"/>
    <s v="Anil Kumar Ahirwar"/>
    <s v="Sunita"/>
    <x v="0"/>
    <x v="0"/>
    <s v="House No. - 906, Risali, Bhilai, Bhilai, Dist - Durg, Chhattisgarh, Pin - 490006"/>
    <x v="0"/>
    <n v="8019808584"/>
    <s v="ushaahir7688@gmail.com"/>
    <s v="GRADUATE"/>
    <s v="YES"/>
    <s v="Issue"/>
    <n v="3000"/>
    <n v="200"/>
    <n v="500"/>
    <n v="0"/>
    <n v="3700"/>
    <n v="1000"/>
    <d v="2024-09-21T00:00:00"/>
    <n v="2700"/>
    <n v="1000"/>
    <d v="2024-10-21T00:00:00"/>
    <n v="1700"/>
    <n v="500"/>
    <d v="2024-11-21T00:00:00"/>
    <n v="1200"/>
    <n v="500"/>
    <d v="2024-12-21T00:00:00"/>
    <n v="700"/>
    <n v="500"/>
    <d v="2025-01-21T00:00:00"/>
    <n v="200"/>
    <n v="200"/>
    <d v="2025-02-21T00:00:00"/>
    <n v="0"/>
    <n v="3700"/>
    <n v="0"/>
    <s v="Paid"/>
    <s v="R"/>
    <x v="0"/>
  </r>
  <r>
    <n v="176"/>
    <n v="176"/>
    <s v="EMCE841684@emaxindia.in"/>
    <s v="vandana@1992"/>
    <s v="EMCE841684"/>
    <x v="115"/>
    <x v="10"/>
    <x v="10"/>
    <x v="1"/>
    <x v="1"/>
    <x v="1"/>
    <s v="01:00 PM to 03:00 PM"/>
    <x v="3"/>
    <s v="Vandana Nayak"/>
    <d v="1992-03-28T00:00:00"/>
    <s v="Parmanand Nayak"/>
    <s v="Padmini"/>
    <x v="0"/>
    <x v="0"/>
    <s v="House No. - 338, Charoda, Bhilai, Dist - Durg, Chhattisgarh, Pin - 490036"/>
    <x v="16"/>
    <n v="7981897661"/>
    <s v="vandananaya2210@gmail.com"/>
    <s v="GRADUATE"/>
    <s v="YES"/>
    <s v="Issue"/>
    <n v="3000"/>
    <n v="200"/>
    <n v="500"/>
    <n v="500"/>
    <n v="3200"/>
    <n v="1000"/>
    <d v="2024-09-22T00:00:00"/>
    <n v="2200"/>
    <n v="1000"/>
    <d v="2024-10-22T00:00:00"/>
    <n v="1200"/>
    <n v="500"/>
    <d v="2024-11-22T00:00:00"/>
    <n v="700"/>
    <n v="500"/>
    <d v="2024-12-22T00:00:00"/>
    <n v="200"/>
    <n v="200"/>
    <d v="2025-01-22T00:00:00"/>
    <n v="0"/>
    <s v=""/>
    <s v=""/>
    <s v=""/>
    <n v="3200"/>
    <n v="0"/>
    <s v="Paid"/>
    <s v="R"/>
    <x v="0"/>
  </r>
  <r>
    <n v="177"/>
    <n v="177"/>
    <s v="EMCE873224@emaxindia.in"/>
    <s v="saraswati@1989"/>
    <s v="EMCE873224"/>
    <x v="116"/>
    <x v="1"/>
    <x v="1"/>
    <x v="1"/>
    <x v="1"/>
    <x v="1"/>
    <s v="11:30 AM to 12:45 PM"/>
    <x v="1"/>
    <s v="Saraswati Saini"/>
    <d v="1989-12-05T00:00:00"/>
    <s v="Pyare Lal Saini"/>
    <s v="Babita"/>
    <x v="1"/>
    <x v="0"/>
    <s v="House No. - 652, Ward - 17, Supela, Bhilai, Dist - Durg, Chhattisgarh, Pin - 490023"/>
    <x v="13"/>
    <n v="6644496764"/>
    <s v="saraswatisain6712@gmail.com"/>
    <s v="10TH PASS"/>
    <s v="YES"/>
    <s v="Issue"/>
    <n v="3000"/>
    <n v="200"/>
    <n v="500"/>
    <n v="0"/>
    <n v="3700"/>
    <n v="1000"/>
    <d v="2024-09-24T00:00:00"/>
    <n v="2700"/>
    <n v="1000"/>
    <d v="2024-10-24T00:00:00"/>
    <n v="1700"/>
    <n v="500"/>
    <d v="2024-11-24T00:00:00"/>
    <n v="1200"/>
    <n v="500"/>
    <d v="2024-12-24T00:00:00"/>
    <n v="700"/>
    <n v="500"/>
    <d v="2025-01-24T00:00:00"/>
    <n v="200"/>
    <n v="200"/>
    <d v="2025-02-24T00:00:00"/>
    <n v="0"/>
    <n v="3700"/>
    <n v="0"/>
    <s v="Paid"/>
    <s v="R"/>
    <x v="0"/>
  </r>
  <r>
    <n v="178"/>
    <n v="178"/>
    <s v="EMCE874284@emaxindia.in"/>
    <s v="tarun@1990"/>
    <s v="EMCE874284"/>
    <x v="117"/>
    <x v="8"/>
    <x v="8"/>
    <x v="0"/>
    <x v="1"/>
    <x v="2"/>
    <s v="12:45 PM to 2:30 PM"/>
    <x v="2"/>
    <s v="Tarun Baghel"/>
    <d v="1990-04-28T00:00:00"/>
    <s v="Surendra Baghel"/>
    <s v="Basanti"/>
    <x v="0"/>
    <x v="1"/>
    <s v="Quarter No. 2/F, Street - 19, Sector - 10, Bhilai, Dist - Durg, Chhattisgarh, Pin - 490006"/>
    <x v="6"/>
    <n v="7644270922"/>
    <s v="tarunbagh8074@gmail.com"/>
    <s v="GRADUATE"/>
    <s v="YES"/>
    <s v="Issue"/>
    <n v="6000"/>
    <n v="200"/>
    <n v="800"/>
    <n v="300"/>
    <n v="6700"/>
    <n v="2500"/>
    <d v="2024-10-01T00:00:00"/>
    <n v="4200"/>
    <n v="1000"/>
    <d v="2024-11-01T00:00:00"/>
    <n v="3200"/>
    <n v="1000"/>
    <d v="2024-12-01T00:00:00"/>
    <n v="2200"/>
    <n v="1000"/>
    <d v="2025-01-01T00:00:00"/>
    <n v="1200"/>
    <n v="1000"/>
    <d v="2025-02-01T00:00:00"/>
    <n v="200"/>
    <n v="200"/>
    <d v="2025-03-01T00:00:00"/>
    <n v="0"/>
    <n v="6700"/>
    <n v="0"/>
    <s v="Paid"/>
    <s v="R"/>
    <x v="0"/>
  </r>
  <r>
    <n v="179"/>
    <n v="179"/>
    <s v="EMCE827318@emaxindia.in"/>
    <s v="kavita@1994"/>
    <s v="EMCE827318"/>
    <x v="118"/>
    <x v="7"/>
    <x v="7"/>
    <x v="1"/>
    <x v="1"/>
    <x v="1"/>
    <s v="10:30 AM to 12:00 PM"/>
    <x v="1"/>
    <s v="Kavita Rathore"/>
    <d v="1994-04-23T00:00:00"/>
    <s v="Prem Kumar Rathore"/>
    <s v="Yashodha"/>
    <x v="0"/>
    <x v="0"/>
    <s v="House No. - 747, Risali, Bhilai, Bhilai, Dist - Durg, Chhattisgarh, Pin - 490006"/>
    <x v="0"/>
    <n v="8490652863"/>
    <s v="kavitarath1007@gmail.com"/>
    <s v="10TH PASS"/>
    <s v="YES"/>
    <s v="Issue"/>
    <n v="3000"/>
    <n v="200"/>
    <n v="500"/>
    <n v="0"/>
    <n v="3700"/>
    <n v="1000"/>
    <d v="2024-10-02T00:00:00"/>
    <n v="2700"/>
    <n v="1000"/>
    <d v="2024-11-02T00:00:00"/>
    <n v="1700"/>
    <n v="500"/>
    <d v="2024-12-02T00:00:00"/>
    <n v="1200"/>
    <n v="500"/>
    <d v="2025-01-02T00:00:00"/>
    <n v="700"/>
    <n v="500"/>
    <d v="2025-02-02T00:00:00"/>
    <n v="200"/>
    <n v="200"/>
    <d v="2025-03-02T00:00:00"/>
    <n v="0"/>
    <n v="3700"/>
    <n v="0"/>
    <s v="Paid"/>
    <s v="R"/>
    <x v="0"/>
  </r>
  <r>
    <n v="180"/>
    <n v="180"/>
    <s v="EMCE834268@emaxindia.in"/>
    <s v="mukesh@2001"/>
    <s v="EMCE834268"/>
    <x v="118"/>
    <x v="6"/>
    <x v="6"/>
    <x v="1"/>
    <x v="1"/>
    <x v="1"/>
    <s v="12:45 PM to 2:30 PM"/>
    <x v="2"/>
    <s v="Mukesh Meghwal"/>
    <d v="2001-12-23T00:00:00"/>
    <s v="Surendra Meghwal"/>
    <s v="Babita"/>
    <x v="1"/>
    <x v="0"/>
    <s v="Qt. No. 6/A, Street No. - 23, Sector - 07, Bhilai, Dist - Durg, Chhattisgarh, Pin - 490006"/>
    <x v="19"/>
    <n v="8060814671"/>
    <s v="mukeshmegh3911@gmail.com"/>
    <s v="POST GRADUATE"/>
    <s v="YES"/>
    <s v="Issue"/>
    <n v="2000"/>
    <n v="200"/>
    <n v="300"/>
    <n v="0"/>
    <n v="2500"/>
    <n v="1000"/>
    <d v="2024-10-02T00:00:00"/>
    <n v="1500"/>
    <n v="500"/>
    <d v="2024-11-02T00:00:00"/>
    <n v="1000"/>
    <n v="500"/>
    <d v="2024-12-02T00:00:00"/>
    <n v="500"/>
    <n v="500"/>
    <d v="2025-01-02T00:00:00"/>
    <n v="0"/>
    <s v=""/>
    <s v=""/>
    <s v=""/>
    <s v=""/>
    <s v=""/>
    <s v=""/>
    <n v="2500"/>
    <n v="0"/>
    <s v="Paid"/>
    <s v="R"/>
    <x v="0"/>
  </r>
  <r>
    <n v="181"/>
    <n v="181"/>
    <s v="EMCE871596@emaxindia.in"/>
    <s v="hema@1999"/>
    <s v="EMCE871596"/>
    <x v="119"/>
    <x v="12"/>
    <x v="12"/>
    <x v="0"/>
    <x v="1"/>
    <x v="2"/>
    <s v="10:30 AM to 12:00 PM"/>
    <x v="1"/>
    <s v="Hema Salame"/>
    <d v="1999-06-25T00:00:00"/>
    <s v="Nand Kishore Salame"/>
    <s v="Tulsi Bai"/>
    <x v="1"/>
    <x v="3"/>
    <s v="House No. - 252, Ward - 20, Kosa Nagar, Bhilai, Dist - Durg, Chhattisgarh, Pin - 490020"/>
    <x v="7"/>
    <n v="9599744278"/>
    <s v="hemasala8113@gmail.com"/>
    <s v="B.COM."/>
    <s v="YES"/>
    <s v="Issue"/>
    <n v="8000"/>
    <n v="200"/>
    <n v="1000"/>
    <n v="300"/>
    <n v="8900"/>
    <n v="2500"/>
    <d v="2024-10-05T00:00:00"/>
    <n v="6400"/>
    <n v="3000"/>
    <d v="2024-11-05T00:00:00"/>
    <n v="3400"/>
    <n v="1000"/>
    <d v="2024-12-05T00:00:00"/>
    <n v="2400"/>
    <n v="1000"/>
    <d v="2025-01-05T00:00:00"/>
    <n v="1400"/>
    <n v="1000"/>
    <d v="2025-02-05T00:00:00"/>
    <n v="400"/>
    <n v="400"/>
    <d v="2025-03-05T00:00:00"/>
    <n v="0"/>
    <n v="8900"/>
    <n v="0"/>
    <s v="Paid"/>
    <s v="R"/>
    <x v="0"/>
  </r>
  <r>
    <n v="182"/>
    <n v="182"/>
    <s v="EMCE854840@emaxindia.in"/>
    <s v="laxman@2010"/>
    <s v="EMCE854840"/>
    <x v="120"/>
    <x v="11"/>
    <x v="11"/>
    <x v="1"/>
    <x v="1"/>
    <x v="1"/>
    <s v="04:30 PM to 06:00 PM"/>
    <x v="0"/>
    <s v="Laxman Banjare"/>
    <d v="2010-04-21T00:00:00"/>
    <s v="Ram Prasad Banjare"/>
    <s v="Laxmi"/>
    <x v="0"/>
    <x v="1"/>
    <s v="House No. - 825, Ward - 04, Camp - 02, Bhilai, Dist - Durg, Chhattisgarh, Pin - 490001"/>
    <x v="9"/>
    <n v="9883438683"/>
    <s v="laxmanbanj117@gmail.com"/>
    <s v="10TH PASS"/>
    <s v="YES"/>
    <s v="Issue"/>
    <n v="2500"/>
    <n v="200"/>
    <n v="500"/>
    <n v="300"/>
    <n v="2900"/>
    <n v="1000"/>
    <d v="2024-10-14T00:00:00"/>
    <n v="1900"/>
    <n v="500"/>
    <d v="2024-11-14T00:00:00"/>
    <n v="1400"/>
    <m/>
    <d v="2024-12-14T00:00:00"/>
    <n v="1400"/>
    <m/>
    <d v="2025-01-14T00:00:00"/>
    <n v="1400"/>
    <m/>
    <d v="2025-02-14T00:00:00"/>
    <n v="1400"/>
    <s v=""/>
    <s v=""/>
    <s v=""/>
    <n v="1500"/>
    <n v="1400"/>
    <s v="Unpaid"/>
    <s v="Q"/>
    <x v="1"/>
  </r>
  <r>
    <n v="183"/>
    <n v="183"/>
    <s v="EMCE881810@emaxindia.in"/>
    <s v="chaindra@1992"/>
    <s v="EMCE881810"/>
    <x v="121"/>
    <x v="4"/>
    <x v="4"/>
    <x v="0"/>
    <x v="0"/>
    <x v="0"/>
    <s v="11:30 AM to 12:45 PM"/>
    <x v="1"/>
    <s v="Chaindra Nirmalkar"/>
    <d v="1992-04-04T00:00:00"/>
    <s v="Laxman Prasad Nirmalkar"/>
    <s v="Kiran"/>
    <x v="0"/>
    <x v="1"/>
    <s v="Qrt. No. 2/C, Street No. - 13, Sector - 01, Bhilai, Dist - Durg, Chhattisgarh, Pin - 490001"/>
    <x v="17"/>
    <n v="6994799701"/>
    <s v="chaindranirm6968@gmail.com"/>
    <s v="B.A."/>
    <s v="YES"/>
    <s v="Issue"/>
    <n v="15000"/>
    <n v="200"/>
    <n v="1200"/>
    <n v="200"/>
    <n v="16200"/>
    <n v="5000"/>
    <d v="2024-10-16T00:00:00"/>
    <n v="11200"/>
    <n v="3000"/>
    <d v="2024-11-16T00:00:00"/>
    <n v="8200"/>
    <n v="3000"/>
    <d v="2024-12-16T00:00:00"/>
    <n v="5200"/>
    <n v="3000"/>
    <d v="2025-01-16T00:00:00"/>
    <n v="2200"/>
    <n v="2000"/>
    <d v="2025-02-16T00:00:00"/>
    <n v="200"/>
    <n v="200"/>
    <d v="2025-03-16T00:00:00"/>
    <n v="0"/>
    <n v="16200"/>
    <n v="0"/>
    <s v="Paid"/>
    <s v="R"/>
    <x v="0"/>
  </r>
  <r>
    <n v="184"/>
    <n v="184"/>
    <s v="EMCE882529@emaxindia.in"/>
    <s v="ajay@2008"/>
    <s v="EMCE882529"/>
    <x v="122"/>
    <x v="11"/>
    <x v="11"/>
    <x v="1"/>
    <x v="1"/>
    <x v="1"/>
    <s v="04:30 PM to 06:00 PM"/>
    <x v="0"/>
    <s v="Ajay Rajput"/>
    <d v="2008-03-05T00:00:00"/>
    <s v="Balram Rajput"/>
    <s v="Sulochana"/>
    <x v="0"/>
    <x v="0"/>
    <s v="Quarter No. - 17/C, Street - 25, Sector - 09, Bhilai, Dist - Durg, Chhattisgarh, Pin - 490001"/>
    <x v="12"/>
    <n v="6812403937"/>
    <s v="ajayrajp320@gmail.com"/>
    <s v="12TH PASS"/>
    <s v="YES"/>
    <s v="Issue"/>
    <n v="2500"/>
    <n v="200"/>
    <n v="500"/>
    <n v="300"/>
    <n v="2900"/>
    <n v="1000"/>
    <d v="2024-10-17T00:00:00"/>
    <n v="1900"/>
    <n v="500"/>
    <d v="2024-11-17T00:00:00"/>
    <n v="1400"/>
    <n v="500"/>
    <d v="2024-12-17T00:00:00"/>
    <n v="900"/>
    <n v="500"/>
    <d v="2025-01-17T00:00:00"/>
    <n v="400"/>
    <n v="400"/>
    <d v="2025-02-17T00:00:00"/>
    <n v="0"/>
    <s v=""/>
    <s v=""/>
    <s v=""/>
    <n v="2900"/>
    <n v="0"/>
    <s v="Paid"/>
    <s v="R"/>
    <x v="0"/>
  </r>
  <r>
    <n v="185"/>
    <n v="185"/>
    <s v="EMCE829035@emaxindia.in"/>
    <s v="sumitra@2005"/>
    <s v="EMCE829035"/>
    <x v="123"/>
    <x v="7"/>
    <x v="7"/>
    <x v="1"/>
    <x v="1"/>
    <x v="1"/>
    <s v="11:30 AM to 12:45 PM"/>
    <x v="1"/>
    <s v="Sumitra Markam"/>
    <d v="2005-11-23T00:00:00"/>
    <s v="Ramesh Markam"/>
    <s v="Sudha"/>
    <x v="0"/>
    <x v="0"/>
    <s v="House No. - 951, Risali, Bhilai, Bhilai, Dist - Durg, Chhattisgarh, Pin - 490006"/>
    <x v="0"/>
    <n v="7400396572"/>
    <s v="sumitramark4756@gmail.com"/>
    <s v="12TH PASS"/>
    <s v="YES"/>
    <s v="Issue"/>
    <n v="3000"/>
    <n v="200"/>
    <n v="500"/>
    <n v="500"/>
    <n v="3200"/>
    <n v="1000"/>
    <d v="2024-10-18T00:00:00"/>
    <n v="2200"/>
    <n v="1000"/>
    <d v="2024-11-18T00:00:00"/>
    <n v="1200"/>
    <n v="500"/>
    <d v="2024-12-18T00:00:00"/>
    <n v="700"/>
    <n v="500"/>
    <d v="2025-01-18T00:00:00"/>
    <n v="200"/>
    <n v="200"/>
    <d v="2025-02-18T00:00:00"/>
    <n v="0"/>
    <s v=""/>
    <s v=""/>
    <s v=""/>
    <n v="3200"/>
    <n v="0"/>
    <s v="Paid"/>
    <s v="R"/>
    <x v="0"/>
  </r>
  <r>
    <n v="186"/>
    <n v="186"/>
    <s v="EMCE865075@emaxindia.in"/>
    <s v="tulsiram@2006"/>
    <s v="EMCE865075"/>
    <x v="123"/>
    <x v="5"/>
    <x v="5"/>
    <x v="1"/>
    <x v="1"/>
    <x v="1"/>
    <s v="01:00 PM to 03:00 PM"/>
    <x v="3"/>
    <s v="Tulsiram Pandey"/>
    <d v="2006-12-16T00:00:00"/>
    <s v="Prem Kumar Pandey"/>
    <s v="Babita"/>
    <x v="0"/>
    <x v="0"/>
    <s v="Qr. No. 22/F, Street No. - 02, Sector - 04, Bhilai, Dist - Durg, Chhattisgarh, Pin - 490001"/>
    <x v="1"/>
    <n v="9677418522"/>
    <s v="tulsirampand2126@gmail.com"/>
    <s v="10TH PASS"/>
    <s v="YES"/>
    <s v="Issue"/>
    <n v="2500"/>
    <n v="200"/>
    <n v="400"/>
    <n v="0"/>
    <n v="3100"/>
    <n v="1000"/>
    <d v="2024-10-18T00:00:00"/>
    <n v="2100"/>
    <n v="1000"/>
    <d v="2024-11-18T00:00:00"/>
    <n v="1100"/>
    <n v="500"/>
    <d v="2024-12-18T00:00:00"/>
    <n v="600"/>
    <n v="500"/>
    <d v="2025-01-18T00:00:00"/>
    <n v="100"/>
    <n v="100"/>
    <d v="2025-02-18T00:00:00"/>
    <n v="0"/>
    <s v=""/>
    <s v=""/>
    <s v=""/>
    <n v="3100"/>
    <n v="0"/>
    <s v="Paid"/>
    <s v="R"/>
    <x v="0"/>
  </r>
  <r>
    <n v="187"/>
    <n v="187"/>
    <s v="EMCE873795@emaxindia.in"/>
    <s v="chhaya@1989"/>
    <s v="EMCE873795"/>
    <x v="124"/>
    <x v="4"/>
    <x v="4"/>
    <x v="0"/>
    <x v="0"/>
    <x v="0"/>
    <s v="11:30 AM to 12:45 PM"/>
    <x v="1"/>
    <s v="Chhaya Toppo"/>
    <d v="1989-07-23T00:00:00"/>
    <s v="Prem Kumar Toppo"/>
    <s v="Savita"/>
    <x v="0"/>
    <x v="0"/>
    <s v="House No. - 293, Charoda, Bhilai, Dist - Durg, Chhattisgarh, Pin - 490036"/>
    <x v="16"/>
    <n v="8622266330"/>
    <s v="chhayatopp9653@gmail.com"/>
    <s v="BCA"/>
    <s v="YES"/>
    <s v="Issue"/>
    <n v="15000"/>
    <n v="200"/>
    <n v="1200"/>
    <n v="300"/>
    <n v="16100"/>
    <n v="5000"/>
    <d v="2024-10-19T00:00:00"/>
    <n v="11100"/>
    <n v="3000"/>
    <d v="2024-11-19T00:00:00"/>
    <n v="8100"/>
    <n v="3000"/>
    <d v="2024-12-19T00:00:00"/>
    <n v="5100"/>
    <n v="3000"/>
    <d v="2025-01-19T00:00:00"/>
    <n v="2100"/>
    <n v="2000"/>
    <d v="2025-02-19T00:00:00"/>
    <n v="100"/>
    <n v="100"/>
    <d v="2025-03-19T00:00:00"/>
    <n v="0"/>
    <n v="16100"/>
    <n v="0"/>
    <s v="Paid"/>
    <s v="R"/>
    <x v="0"/>
  </r>
  <r>
    <n v="188"/>
    <n v="188"/>
    <s v="EMCE842170@emaxindia.in"/>
    <s v="yamini@1992"/>
    <s v="EMCE842170"/>
    <x v="125"/>
    <x v="10"/>
    <x v="10"/>
    <x v="1"/>
    <x v="1"/>
    <x v="1"/>
    <s v="11:30 AM to 12:45 PM"/>
    <x v="1"/>
    <s v="Yamini Banjare"/>
    <d v="1992-03-18T00:00:00"/>
    <s v="Bhagwandas Banjare"/>
    <s v="Shantibai"/>
    <x v="0"/>
    <x v="0"/>
    <s v="House No. - 919, Ward - 02, Smriti Nagar, Bhilai, Dist - Durg, Chhattisgarh, Pin - 490020"/>
    <x v="14"/>
    <n v="9128991483"/>
    <s v="yaminibanj2882@gmail.com"/>
    <s v="B.A."/>
    <s v="YES"/>
    <s v="Issue"/>
    <n v="3000"/>
    <n v="200"/>
    <n v="500"/>
    <n v="0"/>
    <n v="3700"/>
    <n v="1000"/>
    <d v="2024-10-20T00:00:00"/>
    <n v="2700"/>
    <n v="1000"/>
    <d v="2024-11-20T00:00:00"/>
    <n v="1700"/>
    <n v="500"/>
    <d v="2024-12-20T00:00:00"/>
    <n v="1200"/>
    <n v="500"/>
    <d v="2025-01-20T00:00:00"/>
    <n v="700"/>
    <n v="500"/>
    <d v="2025-02-20T00:00:00"/>
    <n v="200"/>
    <n v="200"/>
    <d v="2025-03-20T00:00:00"/>
    <n v="0"/>
    <n v="3700"/>
    <n v="0"/>
    <s v="Paid"/>
    <s v="R"/>
    <x v="0"/>
  </r>
  <r>
    <n v="189"/>
    <n v="189"/>
    <s v="EMCE880729@emaxindia.in"/>
    <s v="monika@2004"/>
    <s v="EMCE880729"/>
    <x v="125"/>
    <x v="2"/>
    <x v="2"/>
    <x v="0"/>
    <x v="1"/>
    <x v="2"/>
    <s v="11:30 AM to 12:45 PM"/>
    <x v="1"/>
    <s v="Monika Kanwar"/>
    <d v="2004-05-28T00:00:00"/>
    <s v="Surendra Kanwar"/>
    <s v="Pushpa"/>
    <x v="1"/>
    <x v="3"/>
    <s v="Qr. No. 6, Bl No. 19, Street No. Emr, Sector - 04, Bhilai, Dist - Durg, Chhattisgarh, Pin - 490001"/>
    <x v="1"/>
    <n v="6516622218"/>
    <s v="monikakanw4174@gmail.com"/>
    <s v="8TH PASS"/>
    <s v="YES"/>
    <s v="Issue"/>
    <n v="7000"/>
    <n v="200"/>
    <n v="800"/>
    <n v="200"/>
    <n v="7800"/>
    <n v="2500"/>
    <d v="2024-10-20T00:00:00"/>
    <n v="5300"/>
    <n v="3000"/>
    <d v="2024-11-20T00:00:00"/>
    <n v="2300"/>
    <n v="1000"/>
    <d v="2024-12-20T00:00:00"/>
    <n v="1300"/>
    <n v="500"/>
    <d v="2025-01-20T00:00:00"/>
    <n v="800"/>
    <n v="500"/>
    <d v="2025-02-20T00:00:00"/>
    <n v="300"/>
    <n v="300"/>
    <d v="2025-03-20T00:00:00"/>
    <n v="0"/>
    <n v="7800"/>
    <n v="0"/>
    <s v="Paid"/>
    <s v="R"/>
    <x v="0"/>
  </r>
  <r>
    <n v="190"/>
    <n v="190"/>
    <s v="EMCE830794@emaxindia.in"/>
    <s v="ratna@2007"/>
    <s v="EMCE830794"/>
    <x v="126"/>
    <x v="8"/>
    <x v="8"/>
    <x v="0"/>
    <x v="1"/>
    <x v="2"/>
    <s v="10:30 AM to 12:00 PM"/>
    <x v="1"/>
    <s v="Ratna Rawat"/>
    <d v="2007-07-23T00:00:00"/>
    <s v="Rajkumar Rawat"/>
    <s v="Laxmi"/>
    <x v="0"/>
    <x v="0"/>
    <s v="Quarter No. 16/B, Street - 08, Sector - 10, Bhilai, Dist - Durg, Chhattisgarh, Pin - 490006"/>
    <x v="6"/>
    <n v="6384738596"/>
    <s v="ratnarawa9750@gmail.com"/>
    <s v="10TH PASS"/>
    <s v="YES"/>
    <s v="Issue"/>
    <n v="6000"/>
    <n v="200"/>
    <n v="800"/>
    <n v="500"/>
    <n v="6500"/>
    <n v="2500"/>
    <d v="2024-10-24T00:00:00"/>
    <n v="4000"/>
    <n v="1000"/>
    <d v="2024-11-24T00:00:00"/>
    <n v="3000"/>
    <n v="1000"/>
    <d v="2024-12-24T00:00:00"/>
    <n v="2000"/>
    <n v="1000"/>
    <d v="2025-01-24T00:00:00"/>
    <n v="1000"/>
    <n v="1000"/>
    <d v="2025-02-24T00:00:00"/>
    <n v="0"/>
    <s v=""/>
    <s v=""/>
    <s v=""/>
    <n v="6500"/>
    <n v="0"/>
    <s v="Paid"/>
    <s v="R"/>
    <x v="0"/>
  </r>
  <r>
    <n v="191"/>
    <n v="191"/>
    <s v="EMCE875647@emaxindia.in"/>
    <s v="anuradha@2006"/>
    <s v="EMCE875647"/>
    <x v="127"/>
    <x v="3"/>
    <x v="3"/>
    <x v="1"/>
    <x v="1"/>
    <x v="1"/>
    <s v="12:45 PM to 2:30 PM"/>
    <x v="2"/>
    <s v="Anuradha Yadav"/>
    <d v="2006-06-23T00:00:00"/>
    <s v="Rajkumar Yadav"/>
    <s v="Shobha"/>
    <x v="0"/>
    <x v="1"/>
    <s v="House No. - 335, Charoda, Bhilai, Dist - Durg, Chhattisgarh, Pin - 490036"/>
    <x v="16"/>
    <n v="9962679887"/>
    <s v="anuradhayada1796@gmail.com"/>
    <s v="DIPLOMA"/>
    <s v="YES"/>
    <s v="Issue"/>
    <n v="3000"/>
    <n v="200"/>
    <n v="300"/>
    <n v="200"/>
    <n v="3300"/>
    <n v="1000"/>
    <d v="2024-10-25T00:00:00"/>
    <n v="2300"/>
    <n v="1000"/>
    <d v="2024-11-25T00:00:00"/>
    <n v="1300"/>
    <n v="500"/>
    <d v="2024-12-25T00:00:00"/>
    <n v="800"/>
    <n v="500"/>
    <d v="2025-01-25T00:00:00"/>
    <n v="300"/>
    <n v="300"/>
    <d v="2025-02-25T00:00:00"/>
    <n v="0"/>
    <s v=""/>
    <s v=""/>
    <s v=""/>
    <n v="3300"/>
    <n v="0"/>
    <s v="Paid"/>
    <s v="R"/>
    <x v="0"/>
  </r>
  <r>
    <n v="192"/>
    <n v="192"/>
    <s v="EMCE886001@emaxindia.in"/>
    <s v="pooja@1994"/>
    <s v="EMCE886001"/>
    <x v="128"/>
    <x v="3"/>
    <x v="3"/>
    <x v="1"/>
    <x v="1"/>
    <x v="1"/>
    <s v="11:30 AM to 12:45 PM"/>
    <x v="1"/>
    <s v="Pooja Rawat"/>
    <d v="1994-01-10T00:00:00"/>
    <s v="Ramesh Rawat"/>
    <s v="Shobha"/>
    <x v="0"/>
    <x v="2"/>
    <s v="House No. - 843, Ward - 01, Kumhari, Bhilai, Dist - Durg, Chhattisgarh, Pin - 490042"/>
    <x v="15"/>
    <n v="7642502583"/>
    <s v="poojarawa4635@gmail.com"/>
    <s v="GRADUATE"/>
    <s v="YES"/>
    <s v="Issue"/>
    <n v="3000"/>
    <n v="200"/>
    <n v="300"/>
    <n v="0"/>
    <n v="3500"/>
    <n v="1000"/>
    <d v="2024-10-26T00:00:00"/>
    <n v="2500"/>
    <n v="1000"/>
    <d v="2024-11-26T00:00:00"/>
    <n v="1500"/>
    <n v="500"/>
    <d v="2024-12-26T00:00:00"/>
    <n v="1000"/>
    <n v="500"/>
    <d v="2025-01-26T00:00:00"/>
    <n v="500"/>
    <n v="500"/>
    <d v="2025-02-26T00:00:00"/>
    <n v="0"/>
    <s v=""/>
    <s v=""/>
    <s v=""/>
    <n v="3500"/>
    <n v="0"/>
    <s v="Paid"/>
    <s v="R"/>
    <x v="0"/>
  </r>
  <r>
    <n v="193"/>
    <n v="193"/>
    <s v="EMCE830429@emaxindia.in"/>
    <s v="arvind@1997"/>
    <s v="EMCE830429"/>
    <x v="129"/>
    <x v="6"/>
    <x v="6"/>
    <x v="1"/>
    <x v="1"/>
    <x v="1"/>
    <s v="10:30 AM to 12:00 PM"/>
    <x v="1"/>
    <s v="Arvind Damor"/>
    <d v="1997-04-22T00:00:00"/>
    <s v="Ghanshyam Damor"/>
    <s v="Heera"/>
    <x v="0"/>
    <x v="3"/>
    <s v="Qr. No. 16/C, Street No. - 21, Sector - 04, Bhilai, Dist - Durg, Chhattisgarh, Pin - 490001"/>
    <x v="1"/>
    <n v="8394087405"/>
    <s v="arvinddamo333@gmail.com"/>
    <s v="B.SC."/>
    <s v="YES"/>
    <s v="Issue"/>
    <n v="2000"/>
    <n v="200"/>
    <n v="300"/>
    <n v="300"/>
    <n v="2200"/>
    <n v="500"/>
    <d v="2024-10-27T00:00:00"/>
    <n v="1700"/>
    <n v="500"/>
    <d v="2024-11-27T00:00:00"/>
    <n v="1200"/>
    <n v="500"/>
    <d v="2024-12-27T00:00:00"/>
    <n v="700"/>
    <n v="500"/>
    <d v="2025-01-27T00:00:00"/>
    <n v="200"/>
    <n v="200"/>
    <d v="2025-02-27T00:00:00"/>
    <n v="0"/>
    <s v=""/>
    <s v=""/>
    <s v=""/>
    <n v="2200"/>
    <n v="0"/>
    <s v="Paid"/>
    <s v="R"/>
    <x v="0"/>
  </r>
  <r>
    <n v="194"/>
    <n v="194"/>
    <s v="EMCE835868@emaxindia.in"/>
    <s v="soni@1991"/>
    <s v="EMCE835868"/>
    <x v="129"/>
    <x v="3"/>
    <x v="3"/>
    <x v="1"/>
    <x v="1"/>
    <x v="1"/>
    <s v="11:30 AM to 12:45 PM"/>
    <x v="1"/>
    <s v="Soni Damor"/>
    <d v="1991-02-08T00:00:00"/>
    <s v="Bharat Damor"/>
    <s v="Lalita"/>
    <x v="0"/>
    <x v="3"/>
    <s v="Qt. No. 27/E, Street No. - 14, Sector - 07, Bhilai, Dist - Durg, Chhattisgarh, Pin - 490006"/>
    <x v="19"/>
    <n v="6386387127"/>
    <s v="sonidamo7186@gmail.com"/>
    <s v="GRADUATE"/>
    <s v="YES"/>
    <s v="Issue"/>
    <n v="3000"/>
    <n v="200"/>
    <n v="300"/>
    <n v="200"/>
    <n v="3300"/>
    <n v="1000"/>
    <d v="2024-10-27T00:00:00"/>
    <n v="2300"/>
    <n v="1000"/>
    <d v="2024-11-27T00:00:00"/>
    <n v="1300"/>
    <n v="500"/>
    <d v="2024-12-27T00:00:00"/>
    <n v="800"/>
    <n v="500"/>
    <d v="2025-01-27T00:00:00"/>
    <n v="300"/>
    <n v="300"/>
    <d v="2025-02-27T00:00:00"/>
    <n v="0"/>
    <s v=""/>
    <s v=""/>
    <s v=""/>
    <n v="3300"/>
    <n v="0"/>
    <s v="Paid"/>
    <s v="R"/>
    <x v="0"/>
  </r>
  <r>
    <n v="195"/>
    <n v="195"/>
    <s v="EMCE859841@emaxindia.in"/>
    <s v="amit@2008"/>
    <s v="EMCE859841"/>
    <x v="129"/>
    <x v="2"/>
    <x v="2"/>
    <x v="0"/>
    <x v="1"/>
    <x v="2"/>
    <s v="11:30 AM to 12:45 PM"/>
    <x v="1"/>
    <s v="Amit Rajput"/>
    <d v="2008-08-26T00:00:00"/>
    <s v="Sanjay Kumar Rajput"/>
    <s v="Mamta"/>
    <x v="1"/>
    <x v="1"/>
    <s v="House No. - 472, Risali, Bhilai, Dist - Durg, Chhattisgarh, Pin - 490006"/>
    <x v="0"/>
    <n v="6852631516"/>
    <s v="amitrajp6567@gmail.com"/>
    <s v="B.COM."/>
    <s v="YES"/>
    <s v="Issue"/>
    <n v="7000"/>
    <n v="200"/>
    <n v="800"/>
    <n v="300"/>
    <n v="7700"/>
    <n v="2500"/>
    <d v="2024-10-27T00:00:00"/>
    <n v="5200"/>
    <n v="3000"/>
    <d v="2024-11-27T00:00:00"/>
    <n v="2200"/>
    <n v="1000"/>
    <d v="2024-12-27T00:00:00"/>
    <n v="1200"/>
    <n v="500"/>
    <d v="2025-01-27T00:00:00"/>
    <n v="700"/>
    <n v="500"/>
    <d v="2025-02-27T00:00:00"/>
    <n v="200"/>
    <n v="200"/>
    <d v="2025-03-27T00:00:00"/>
    <n v="0"/>
    <n v="7700"/>
    <n v="0"/>
    <s v="Paid"/>
    <s v="R"/>
    <x v="0"/>
  </r>
  <r>
    <n v="196"/>
    <n v="196"/>
    <s v="EMCE869004@emaxindia.in"/>
    <s v="tarun@1993"/>
    <s v="EMCE869004"/>
    <x v="130"/>
    <x v="7"/>
    <x v="7"/>
    <x v="1"/>
    <x v="1"/>
    <x v="1"/>
    <s v="01:00 PM to 03:00 PM"/>
    <x v="3"/>
    <s v="Tarun Kashyap"/>
    <d v="1993-06-24T00:00:00"/>
    <s v="Ramnath Kashyap"/>
    <s v="Shantibai"/>
    <x v="0"/>
    <x v="3"/>
    <s v="Qr. No. 14/B, Street No. - 05, Sector - 04, Bhilai, Dist - Durg, Chhattisgarh, Pin - 490001"/>
    <x v="1"/>
    <n v="9417062095"/>
    <s v="tarunkash2201@gmail.com"/>
    <s v="12TH PASS"/>
    <s v="YES"/>
    <s v="Issue"/>
    <n v="3000"/>
    <n v="200"/>
    <n v="500"/>
    <n v="0"/>
    <n v="3700"/>
    <n v="1000"/>
    <d v="2024-10-29T00:00:00"/>
    <n v="2700"/>
    <n v="1000"/>
    <d v="2024-11-29T00:00:00"/>
    <n v="1700"/>
    <n v="500"/>
    <d v="2024-12-29T00:00:00"/>
    <n v="1200"/>
    <n v="500"/>
    <d v="2025-01-29T00:00:00"/>
    <n v="700"/>
    <n v="500"/>
    <d v="2025-02-28T00:00:00"/>
    <n v="200"/>
    <n v="200"/>
    <d v="2025-03-28T00:00:00"/>
    <n v="0"/>
    <n v="3700"/>
    <n v="0"/>
    <s v="Paid"/>
    <s v="R"/>
    <x v="0"/>
  </r>
  <r>
    <n v="197"/>
    <n v="197"/>
    <s v="EMCE840358@emaxindia.in"/>
    <s v="toran@1999"/>
    <s v="EMCE840358"/>
    <x v="131"/>
    <x v="0"/>
    <x v="0"/>
    <x v="0"/>
    <x v="0"/>
    <x v="0"/>
    <s v="11:30 AM to 12:45 PM"/>
    <x v="1"/>
    <s v="Toran Sidar"/>
    <d v="1999-08-25T00:00:00"/>
    <s v="Anil Kumar Sidar"/>
    <s v="Shakuntala"/>
    <x v="0"/>
    <x v="0"/>
    <s v="Qr. No. 7/D, Street No. - 24, Sector - 08, Bhilai, Dist - Durg, Chhattisgarh, Pin - 490001"/>
    <x v="18"/>
    <n v="6989754628"/>
    <s v="toransida1756@gmail.com"/>
    <s v="B.A."/>
    <s v="YES"/>
    <s v="Issue"/>
    <n v="12500"/>
    <n v="200"/>
    <n v="1200"/>
    <n v="0"/>
    <n v="13900"/>
    <n v="5000"/>
    <d v="2024-10-31T00:00:00"/>
    <n v="8900"/>
    <n v="3000"/>
    <d v="2024-11-30T00:00:00"/>
    <n v="5900"/>
    <n v="3000"/>
    <d v="2024-12-30T00:00:00"/>
    <n v="2900"/>
    <n v="1000"/>
    <d v="2025-01-30T00:00:00"/>
    <n v="1900"/>
    <n v="1000"/>
    <d v="2025-02-28T00:00:00"/>
    <n v="900"/>
    <n v="900"/>
    <d v="2025-03-28T00:00:00"/>
    <n v="0"/>
    <n v="13900"/>
    <n v="0"/>
    <s v="Paid"/>
    <s v="R"/>
    <x v="0"/>
  </r>
  <r>
    <n v="198"/>
    <n v="198"/>
    <s v="EMCE870034@emaxindia.in"/>
    <s v="jivanram@2008"/>
    <s v="EMCE870034"/>
    <x v="132"/>
    <x v="2"/>
    <x v="2"/>
    <x v="0"/>
    <x v="1"/>
    <x v="2"/>
    <s v="01:00 PM to 03:00 PM"/>
    <x v="3"/>
    <s v="Jivanram Ray"/>
    <d v="2008-09-20T00:00:00"/>
    <s v="Vijay Kumar Ray"/>
    <s v="Ganga Bai"/>
    <x v="0"/>
    <x v="0"/>
    <s v="Quarter No. 20/D, Street - 20, Sector - 10, Bhilai, Dist - Durg, Chhattisgarh, Pin - 490006"/>
    <x v="6"/>
    <n v="6955216111"/>
    <s v="jivanramray9508@gmail.com"/>
    <s v="POST GRADUATE"/>
    <s v="YES"/>
    <s v="Issue"/>
    <n v="7000"/>
    <n v="200"/>
    <n v="800"/>
    <n v="300"/>
    <n v="7700"/>
    <n v="2500"/>
    <d v="2024-11-01T00:00:00"/>
    <n v="5200"/>
    <n v="3000"/>
    <d v="2024-12-01T00:00:00"/>
    <n v="2200"/>
    <n v="1000"/>
    <d v="2025-01-01T00:00:00"/>
    <n v="1200"/>
    <n v="500"/>
    <d v="2025-02-01T00:00:00"/>
    <n v="700"/>
    <n v="500"/>
    <d v="2025-03-01T00:00:00"/>
    <n v="200"/>
    <n v="200"/>
    <d v="2025-04-01T00:00:00"/>
    <n v="0"/>
    <n v="7700"/>
    <n v="0"/>
    <s v="Paid"/>
    <s v="R"/>
    <x v="0"/>
  </r>
  <r>
    <n v="199"/>
    <n v="199"/>
    <s v="EMCE881037@emaxindia.in"/>
    <s v="monika@2005"/>
    <s v="EMCE881037"/>
    <x v="133"/>
    <x v="2"/>
    <x v="2"/>
    <x v="0"/>
    <x v="1"/>
    <x v="2"/>
    <s v="01:00 PM to 03:00 PM"/>
    <x v="3"/>
    <s v="Monika Usendi"/>
    <d v="2005-01-07T00:00:00"/>
    <s v="Ghanshyam Usendi"/>
    <s v="Phoolbai"/>
    <x v="0"/>
    <x v="1"/>
    <s v="Qtr. No. 7/E, Street No. - 10, Sector - 03, Bhilai, Dist - Durg, Chhattisgarh, Pin - 490001"/>
    <x v="10"/>
    <n v="9709691569"/>
    <s v="monikausen8881@gmail.com"/>
    <s v="12TH PASS"/>
    <s v="YES"/>
    <s v="Issue"/>
    <n v="7000"/>
    <n v="200"/>
    <n v="800"/>
    <n v="300"/>
    <n v="7700"/>
    <n v="2500"/>
    <d v="2024-11-04T00:00:00"/>
    <n v="5200"/>
    <n v="3000"/>
    <d v="2024-12-04T00:00:00"/>
    <n v="2200"/>
    <n v="1000"/>
    <d v="2025-01-04T00:00:00"/>
    <n v="1200"/>
    <n v="500"/>
    <d v="2025-02-04T00:00:00"/>
    <n v="700"/>
    <n v="500"/>
    <d v="2025-03-04T00:00:00"/>
    <n v="200"/>
    <n v="200"/>
    <d v="2025-04-04T00:00:00"/>
    <n v="0"/>
    <n v="7700"/>
    <n v="0"/>
    <s v="Paid"/>
    <s v="R"/>
    <x v="0"/>
  </r>
  <r>
    <n v="200"/>
    <n v="200"/>
    <s v="EMCE838239@emaxindia.in"/>
    <s v="naresh@2002"/>
    <s v="EMCE838239"/>
    <x v="134"/>
    <x v="1"/>
    <x v="1"/>
    <x v="1"/>
    <x v="1"/>
    <x v="1"/>
    <s v="10:30 AM to 12:00 PM"/>
    <x v="1"/>
    <s v="Naresh Chauhan"/>
    <d v="2002-06-16T00:00:00"/>
    <s v="Govind Prasad Chauhan"/>
    <s v="Radha Bai"/>
    <x v="0"/>
    <x v="0"/>
    <s v="Qr. No. 11/D, Street No. - 03, Sector - 08, Bhilai, Dist - Durg, Chhattisgarh, Pin - 490001"/>
    <x v="18"/>
    <n v="9854187364"/>
    <s v="nareshchau2273@gmail.com"/>
    <s v="12TH PASS"/>
    <s v="YES"/>
    <s v="Issue"/>
    <n v="3000"/>
    <n v="200"/>
    <n v="500"/>
    <n v="0"/>
    <n v="3700"/>
    <n v="1000"/>
    <d v="2024-11-05T00:00:00"/>
    <n v="2700"/>
    <n v="1000"/>
    <d v="2024-12-05T00:00:00"/>
    <n v="1700"/>
    <n v="500"/>
    <d v="2025-01-05T00:00:00"/>
    <n v="1200"/>
    <n v="500"/>
    <d v="2025-02-05T00:00:00"/>
    <n v="700"/>
    <n v="500"/>
    <d v="2025-03-05T00:00:00"/>
    <n v="200"/>
    <n v="200"/>
    <d v="2025-04-05T00:00:00"/>
    <n v="0"/>
    <n v="3700"/>
    <n v="0"/>
    <s v="Paid"/>
    <s v="R"/>
    <x v="0"/>
  </r>
  <r>
    <n v="201"/>
    <n v="201"/>
    <s v="EMCE868397@emaxindia.in"/>
    <s v="ravi@1989"/>
    <s v="EMCE868397"/>
    <x v="135"/>
    <x v="9"/>
    <x v="9"/>
    <x v="1"/>
    <x v="1"/>
    <x v="1"/>
    <s v="01:00 PM to 03:00 PM"/>
    <x v="3"/>
    <s v="Ravi Oraon"/>
    <d v="1989-02-10T00:00:00"/>
    <s v="Rajesh Oraon"/>
    <s v="Sunita"/>
    <x v="0"/>
    <x v="1"/>
    <s v="House No. - 356, Ward - 11, Nehru Nagar, Bhilai, Dist - Durg, Chhattisgarh, Pin - 490020"/>
    <x v="3"/>
    <n v="8935310432"/>
    <s v="raviorao549@gmail.com"/>
    <s v="B.COM."/>
    <s v="YES"/>
    <s v="Issue"/>
    <n v="2000"/>
    <n v="200"/>
    <n v="300"/>
    <n v="0"/>
    <n v="2500"/>
    <n v="1000"/>
    <d v="2024-11-06T00:00:00"/>
    <n v="1500"/>
    <n v="500"/>
    <d v="2024-12-06T00:00:00"/>
    <n v="1000"/>
    <n v="500"/>
    <d v="2025-01-06T00:00:00"/>
    <n v="500"/>
    <n v="500"/>
    <d v="2025-02-06T00:00:00"/>
    <n v="0"/>
    <s v=""/>
    <s v=""/>
    <s v=""/>
    <s v=""/>
    <s v=""/>
    <s v=""/>
    <n v="2500"/>
    <n v="0"/>
    <s v="Paid"/>
    <s v="R"/>
    <x v="0"/>
  </r>
  <r>
    <n v="202"/>
    <n v="202"/>
    <s v="EMCE869748@emaxindia.in"/>
    <s v="esha@1988"/>
    <s v="EMCE869748"/>
    <x v="136"/>
    <x v="0"/>
    <x v="0"/>
    <x v="0"/>
    <x v="0"/>
    <x v="0"/>
    <s v="12:45 PM to 2:30 PM"/>
    <x v="2"/>
    <s v="Esha Ahirwar"/>
    <d v="1988-04-15T00:00:00"/>
    <s v="Lakhhuram Ahirwar"/>
    <s v="Saroj"/>
    <x v="0"/>
    <x v="0"/>
    <s v="House No. - 398, Ward - 09, Nehru Nagar, Bhilai, Dist - Durg, Chhattisgarh, Pin - 490020"/>
    <x v="3"/>
    <n v="8984789623"/>
    <s v="eshaahir2822@gmail.com"/>
    <s v="POST GRADUATE"/>
    <s v="YES"/>
    <s v="Issue"/>
    <n v="12500"/>
    <n v="200"/>
    <n v="1200"/>
    <n v="300"/>
    <n v="13600"/>
    <n v="5000"/>
    <d v="2024-11-07T00:00:00"/>
    <n v="8600"/>
    <n v="3000"/>
    <d v="2024-12-07T00:00:00"/>
    <n v="5600"/>
    <n v="3000"/>
    <d v="2025-01-07T00:00:00"/>
    <n v="2600"/>
    <n v="1000"/>
    <d v="2025-02-07T00:00:00"/>
    <n v="1600"/>
    <n v="1000"/>
    <d v="2025-03-07T00:00:00"/>
    <n v="600"/>
    <n v="600"/>
    <d v="2025-04-07T00:00:00"/>
    <n v="0"/>
    <n v="13600"/>
    <n v="0"/>
    <s v="Paid"/>
    <s v="R"/>
    <x v="0"/>
  </r>
  <r>
    <n v="203"/>
    <n v="203"/>
    <s v="EMCE871279@emaxindia.in"/>
    <s v="varun@1995"/>
    <s v="EMCE871279"/>
    <x v="137"/>
    <x v="4"/>
    <x v="4"/>
    <x v="0"/>
    <x v="0"/>
    <x v="0"/>
    <s v="04:30 PM to 06:00 PM"/>
    <x v="0"/>
    <s v="Varun Toppo"/>
    <d v="1995-03-21T00:00:00"/>
    <s v="Bhagwandas Toppo"/>
    <s v="Phulmati"/>
    <x v="0"/>
    <x v="0"/>
    <s v="House No. - 170, Vaishali Nagar, Bhilai, Dist - Durg, Chhattisgarh, Pin - 490020"/>
    <x v="5"/>
    <n v="8280966036"/>
    <s v="varuntopp8289@gmail.com"/>
    <s v="B.COM."/>
    <s v="YES"/>
    <s v="Issue"/>
    <n v="15000"/>
    <n v="200"/>
    <n v="1200"/>
    <n v="500"/>
    <n v="15900"/>
    <n v="5000"/>
    <d v="2024-11-12T00:00:00"/>
    <n v="10900"/>
    <n v="3000"/>
    <d v="2024-12-12T00:00:00"/>
    <n v="7900"/>
    <n v="3000"/>
    <d v="2025-01-12T00:00:00"/>
    <n v="4900"/>
    <n v="1000"/>
    <d v="2025-02-12T00:00:00"/>
    <n v="3900"/>
    <n v="2000"/>
    <d v="2025-03-12T00:00:00"/>
    <n v="1900"/>
    <n v="1900"/>
    <d v="2025-04-12T00:00:00"/>
    <n v="0"/>
    <n v="15900"/>
    <n v="0"/>
    <s v="Paid"/>
    <s v="R"/>
    <x v="0"/>
  </r>
  <r>
    <n v="204"/>
    <n v="204"/>
    <s v="EMCE843556@emaxindia.in"/>
    <s v="lata@2010"/>
    <s v="EMCE843556"/>
    <x v="138"/>
    <x v="0"/>
    <x v="0"/>
    <x v="0"/>
    <x v="0"/>
    <x v="0"/>
    <s v="12:45 PM to 2:30 PM"/>
    <x v="2"/>
    <s v="Lata Kumhar"/>
    <d v="2010-07-12T00:00:00"/>
    <s v="Ashok Kumar Kumhar"/>
    <s v="Rukhmini"/>
    <x v="0"/>
    <x v="0"/>
    <s v="Qt. No. 15/D, Street No. - 10, Sector - 07, Bhilai, Dist - Durg, Chhattisgarh, Pin - 490006"/>
    <x v="19"/>
    <n v="9260831146"/>
    <s v="latakumh9598@gmail.com"/>
    <s v="B.SC."/>
    <s v="YES"/>
    <s v="Issue"/>
    <n v="12500"/>
    <n v="200"/>
    <n v="1200"/>
    <n v="500"/>
    <n v="13400"/>
    <n v="5000"/>
    <d v="2024-11-13T00:00:00"/>
    <n v="8400"/>
    <n v="3000"/>
    <d v="2024-12-13T00:00:00"/>
    <n v="5400"/>
    <n v="3000"/>
    <d v="2025-01-13T00:00:00"/>
    <n v="2400"/>
    <n v="1000"/>
    <d v="2025-02-13T00:00:00"/>
    <n v="1400"/>
    <n v="1000"/>
    <d v="2025-03-13T00:00:00"/>
    <n v="400"/>
    <n v="400"/>
    <d v="2025-04-13T00:00:00"/>
    <n v="0"/>
    <n v="13400"/>
    <n v="0"/>
    <s v="Paid"/>
    <s v="R"/>
    <x v="0"/>
  </r>
  <r>
    <n v="205"/>
    <n v="205"/>
    <s v="EMCE855220@emaxindia.in"/>
    <s v="devyani@2009"/>
    <s v="EMCE855220"/>
    <x v="139"/>
    <x v="11"/>
    <x v="11"/>
    <x v="1"/>
    <x v="1"/>
    <x v="1"/>
    <s v="12:45 PM to 2:30 PM"/>
    <x v="2"/>
    <s v="Devyani Tirkey"/>
    <d v="2009-10-07T00:00:00"/>
    <s v="Laxman Prasad Tirkey"/>
    <s v="Sarojini"/>
    <x v="0"/>
    <x v="3"/>
    <s v="Qtr. No. 26/B, Street No. - 10, Sector - 03, Bhilai, Dist - Durg, Chhattisgarh, Pin - 490001"/>
    <x v="10"/>
    <n v="9786391240"/>
    <s v="devyanitirk7453@gmail.com"/>
    <s v="POST GRADUATE"/>
    <s v="YES"/>
    <s v="Issue"/>
    <n v="2500"/>
    <n v="200"/>
    <n v="500"/>
    <n v="0"/>
    <n v="3200"/>
    <n v="1000"/>
    <d v="2024-11-15T00:00:00"/>
    <n v="2200"/>
    <n v="1000"/>
    <d v="2024-12-15T00:00:00"/>
    <n v="1200"/>
    <n v="500"/>
    <d v="2025-01-15T00:00:00"/>
    <n v="700"/>
    <n v="500"/>
    <d v="2025-02-15T00:00:00"/>
    <n v="200"/>
    <n v="200"/>
    <d v="2025-03-15T00:00:00"/>
    <n v="0"/>
    <s v=""/>
    <s v=""/>
    <s v=""/>
    <n v="3200"/>
    <n v="0"/>
    <s v="Paid"/>
    <s v="R"/>
    <x v="0"/>
  </r>
  <r>
    <n v="206"/>
    <n v="206"/>
    <s v="EMCE877883@emaxindia.in"/>
    <s v="naresh@1998"/>
    <s v="EMCE877883"/>
    <x v="140"/>
    <x v="3"/>
    <x v="3"/>
    <x v="1"/>
    <x v="1"/>
    <x v="1"/>
    <s v="11:30 AM to 12:45 PM"/>
    <x v="1"/>
    <s v="Naresh Rathore"/>
    <d v="1998-10-01T00:00:00"/>
    <s v="Lakhhuram Rathore"/>
    <s v="Sunita"/>
    <x v="0"/>
    <x v="0"/>
    <s v="Qrt. No. 30/A, Street No. - 10, Sector - 01, Bhilai, Dist - Durg, Chhattisgarh, Pin - 490001"/>
    <x v="17"/>
    <n v="8265960529"/>
    <s v="nareshrath6918@gmail.com"/>
    <s v="10TH PASS"/>
    <s v="YES"/>
    <s v="Issue"/>
    <n v="3000"/>
    <n v="200"/>
    <n v="300"/>
    <n v="300"/>
    <n v="3200"/>
    <n v="1000"/>
    <d v="2024-11-17T00:00:00"/>
    <n v="2200"/>
    <n v="1000"/>
    <d v="2024-12-17T00:00:00"/>
    <n v="1200"/>
    <n v="500"/>
    <d v="2025-01-17T00:00:00"/>
    <n v="700"/>
    <n v="500"/>
    <d v="2025-02-17T00:00:00"/>
    <n v="200"/>
    <n v="200"/>
    <d v="2025-03-17T00:00:00"/>
    <n v="0"/>
    <s v=""/>
    <s v=""/>
    <s v=""/>
    <n v="3200"/>
    <n v="0"/>
    <s v="Paid"/>
    <s v="R"/>
    <x v="0"/>
  </r>
  <r>
    <n v="207"/>
    <n v="207"/>
    <s v="EMCE883149@emaxindia.in"/>
    <s v="ganga@2009"/>
    <s v="EMCE883149"/>
    <x v="140"/>
    <x v="2"/>
    <x v="2"/>
    <x v="0"/>
    <x v="1"/>
    <x v="2"/>
    <s v="10:30 AM to 12:00 PM"/>
    <x v="1"/>
    <s v="Ganga Kanwar"/>
    <d v="2009-06-14T00:00:00"/>
    <s v="Ghanshyam Kanwar"/>
    <s v="Tulsi Bai"/>
    <x v="0"/>
    <x v="0"/>
    <s v="House No. - 552, Shanti Nagar, Bhilai, Dist - Durg, Chhattisgarh, Pin - 490020"/>
    <x v="8"/>
    <n v="7655243985"/>
    <s v="gangakanw4878@gmail.com"/>
    <s v="12TH PASS"/>
    <s v="YES"/>
    <s v="Issue"/>
    <n v="7000"/>
    <n v="200"/>
    <n v="800"/>
    <n v="300"/>
    <n v="7700"/>
    <n v="2500"/>
    <d v="2024-11-17T00:00:00"/>
    <n v="5200"/>
    <n v="3000"/>
    <d v="2024-12-17T00:00:00"/>
    <n v="2200"/>
    <n v="1000"/>
    <d v="2025-01-17T00:00:00"/>
    <n v="1200"/>
    <n v="500"/>
    <d v="2025-02-17T00:00:00"/>
    <n v="700"/>
    <n v="500"/>
    <d v="2025-03-17T00:00:00"/>
    <n v="200"/>
    <n v="200"/>
    <d v="2025-04-17T00:00:00"/>
    <n v="0"/>
    <n v="7700"/>
    <n v="0"/>
    <s v="Paid"/>
    <s v="R"/>
    <x v="0"/>
  </r>
  <r>
    <n v="208"/>
    <n v="208"/>
    <s v="EMCE837741@emaxindia.in"/>
    <s v="nitin@1999"/>
    <s v="EMCE837741"/>
    <x v="141"/>
    <x v="13"/>
    <x v="13"/>
    <x v="1"/>
    <x v="1"/>
    <x v="1"/>
    <s v="04:30 PM to 06:00 PM"/>
    <x v="0"/>
    <s v="Nitin Sahu"/>
    <d v="1999-12-24T00:00:00"/>
    <s v="Ramesh Sahu"/>
    <s v="Shobha"/>
    <x v="0"/>
    <x v="0"/>
    <s v="House No. - 398, Vaishali Nagar, Bhilai, Dist - Durg, Chhattisgarh, Pin - 490020"/>
    <x v="5"/>
    <n v="7733251379"/>
    <s v="nitinsahu4492@gmail.com"/>
    <s v="12TH PASS"/>
    <s v="YES"/>
    <s v="Issue"/>
    <n v="3500"/>
    <n v="200"/>
    <n v="500"/>
    <n v="200"/>
    <n v="4000"/>
    <n v="1000"/>
    <d v="2024-11-18T00:00:00"/>
    <n v="3000"/>
    <n v="1000"/>
    <d v="2024-12-18T00:00:00"/>
    <n v="2000"/>
    <n v="1000"/>
    <d v="2025-01-18T00:00:00"/>
    <n v="1000"/>
    <n v="500"/>
    <d v="2025-02-18T00:00:00"/>
    <n v="500"/>
    <n v="500"/>
    <d v="2025-03-18T00:00:00"/>
    <n v="0"/>
    <s v=""/>
    <s v=""/>
    <s v=""/>
    <n v="4000"/>
    <n v="0"/>
    <s v="Paid"/>
    <s v="R"/>
    <x v="0"/>
  </r>
  <r>
    <n v="209"/>
    <n v="209"/>
    <s v="EMCE870153@emaxindia.in"/>
    <s v="bhavesh@1993"/>
    <s v="EMCE870153"/>
    <x v="141"/>
    <x v="1"/>
    <x v="1"/>
    <x v="1"/>
    <x v="1"/>
    <x v="1"/>
    <s v="11:30 AM to 12:45 PM"/>
    <x v="1"/>
    <s v="Bhavesh Toppo"/>
    <d v="1993-10-06T00:00:00"/>
    <s v="Suresh Toppo"/>
    <s v="Shakuntala"/>
    <x v="0"/>
    <x v="1"/>
    <s v="House No. - 772, Shanti Nagar, Bhilai, Dist - Durg, Chhattisgarh, Pin - 490020"/>
    <x v="8"/>
    <n v="6794642214"/>
    <s v="bhaveshtopp253@gmail.com"/>
    <s v="BCA"/>
    <s v="YES"/>
    <s v="Issue"/>
    <n v="3000"/>
    <n v="200"/>
    <n v="500"/>
    <n v="200"/>
    <n v="3500"/>
    <n v="1000"/>
    <d v="2024-11-18T00:00:00"/>
    <n v="2500"/>
    <n v="1000"/>
    <d v="2024-12-18T00:00:00"/>
    <n v="1500"/>
    <n v="500"/>
    <d v="2025-01-18T00:00:00"/>
    <n v="1000"/>
    <n v="500"/>
    <d v="2025-02-18T00:00:00"/>
    <n v="500"/>
    <n v="500"/>
    <d v="2025-03-18T00:00:00"/>
    <n v="0"/>
    <s v=""/>
    <s v=""/>
    <s v=""/>
    <n v="3500"/>
    <n v="0"/>
    <s v="Paid"/>
    <s v="R"/>
    <x v="0"/>
  </r>
  <r>
    <n v="210"/>
    <n v="210"/>
    <s v="EMCE828155@emaxindia.in"/>
    <s v="vijay@1990"/>
    <s v="EMCE828155"/>
    <x v="142"/>
    <x v="0"/>
    <x v="0"/>
    <x v="0"/>
    <x v="0"/>
    <x v="0"/>
    <s v="04:30 PM to 06:00 PM"/>
    <x v="0"/>
    <s v="Vijay Sinha"/>
    <d v="1990-10-01T00:00:00"/>
    <s v="Devendra Kumar Sinha"/>
    <s v="Saroj"/>
    <x v="0"/>
    <x v="3"/>
    <s v="Qrt. No. 30/F, Street No. - 02, Sector - 01, Bhilai, Dist - Durg, Chhattisgarh, Pin - 490001"/>
    <x v="17"/>
    <n v="6129356279"/>
    <s v="vijaysinh1590@gmail.com"/>
    <s v="12TH PASS"/>
    <s v="YES"/>
    <s v="Issue"/>
    <n v="12500"/>
    <n v="200"/>
    <n v="1200"/>
    <n v="200"/>
    <n v="13700"/>
    <n v="5000"/>
    <d v="2024-11-20T00:00:00"/>
    <n v="8700"/>
    <n v="3000"/>
    <d v="2024-12-20T00:00:00"/>
    <n v="5700"/>
    <n v="3000"/>
    <d v="2025-01-20T00:00:00"/>
    <n v="2700"/>
    <n v="1000"/>
    <d v="2025-02-20T00:00:00"/>
    <n v="1700"/>
    <n v="1000"/>
    <d v="2025-03-20T00:00:00"/>
    <n v="700"/>
    <n v="700"/>
    <d v="2025-04-20T00:00:00"/>
    <n v="0"/>
    <n v="13700"/>
    <n v="0"/>
    <s v="Paid"/>
    <s v="R"/>
    <x v="0"/>
  </r>
  <r>
    <n v="211"/>
    <n v="211"/>
    <s v="EMCE851903@emaxindia.in"/>
    <s v="brijlal@1995"/>
    <s v="EMCE851903"/>
    <x v="143"/>
    <x v="6"/>
    <x v="6"/>
    <x v="1"/>
    <x v="1"/>
    <x v="1"/>
    <s v="10:30 AM to 12:00 PM"/>
    <x v="1"/>
    <s v="Brijlal Barman"/>
    <d v="1995-01-16T00:00:00"/>
    <s v="Naresh Barman"/>
    <s v="Nirmala"/>
    <x v="0"/>
    <x v="0"/>
    <s v="Qr. No. 14/D, Street No. - 13, Sector - 08, Bhilai, Dist - Durg, Chhattisgarh, Pin - 490001"/>
    <x v="18"/>
    <n v="6732908371"/>
    <s v="brijlalbarm7452@gmail.com"/>
    <s v="10TH PASS"/>
    <s v="YES"/>
    <s v="Issue"/>
    <n v="2000"/>
    <n v="200"/>
    <n v="300"/>
    <n v="300"/>
    <n v="2200"/>
    <n v="500"/>
    <d v="2024-11-22T00:00:00"/>
    <n v="1700"/>
    <n v="500"/>
    <d v="2024-12-22T00:00:00"/>
    <n v="1200"/>
    <n v="500"/>
    <d v="2025-01-22T00:00:00"/>
    <n v="700"/>
    <n v="500"/>
    <d v="2025-02-22T00:00:00"/>
    <n v="200"/>
    <n v="200"/>
    <d v="2025-03-22T00:00:00"/>
    <n v="0"/>
    <s v=""/>
    <s v=""/>
    <s v=""/>
    <n v="2200"/>
    <n v="0"/>
    <s v="Paid"/>
    <s v="R"/>
    <x v="0"/>
  </r>
  <r>
    <n v="212"/>
    <n v="212"/>
    <s v="EMCE827618@emaxindia.in"/>
    <s v="lokesh@1998"/>
    <s v="EMCE827618"/>
    <x v="144"/>
    <x v="0"/>
    <x v="0"/>
    <x v="0"/>
    <x v="0"/>
    <x v="0"/>
    <s v="10:30 AM to 12:00 PM"/>
    <x v="1"/>
    <s v="Lokesh Chandrakar"/>
    <d v="1998-11-14T00:00:00"/>
    <s v="Hemant Kumar Chandrakar"/>
    <s v="Indra Bai"/>
    <x v="0"/>
    <x v="0"/>
    <s v="Quarter No. - 10/F, Street - 24, Sector - 09, Bhilai, Dist - Durg, Chhattisgarh, Pin - 490001"/>
    <x v="12"/>
    <n v="6346788994"/>
    <s v="lokeshchan3381@gmail.com"/>
    <s v="ITI"/>
    <s v="YES"/>
    <s v="Issue"/>
    <n v="12500"/>
    <n v="200"/>
    <n v="1200"/>
    <n v="0"/>
    <n v="13900"/>
    <n v="5000"/>
    <d v="2024-11-23T00:00:00"/>
    <n v="8900"/>
    <n v="3000"/>
    <d v="2024-12-23T00:00:00"/>
    <n v="5900"/>
    <n v="3000"/>
    <d v="2025-01-23T00:00:00"/>
    <n v="2900"/>
    <n v="1000"/>
    <d v="2025-02-23T00:00:00"/>
    <n v="1900"/>
    <n v="1000"/>
    <d v="2025-03-23T00:00:00"/>
    <n v="900"/>
    <n v="900"/>
    <d v="2025-04-23T00:00:00"/>
    <n v="0"/>
    <n v="13900"/>
    <n v="0"/>
    <s v="Paid"/>
    <s v="R"/>
    <x v="0"/>
  </r>
  <r>
    <n v="213"/>
    <n v="213"/>
    <s v="EMCE832776@emaxindia.in"/>
    <s v="mahesh@1993"/>
    <s v="EMCE832776"/>
    <x v="145"/>
    <x v="3"/>
    <x v="3"/>
    <x v="1"/>
    <x v="1"/>
    <x v="1"/>
    <s v="01:00 PM to 03:00 PM"/>
    <x v="3"/>
    <s v="Mahesh Hedau"/>
    <d v="1993-12-07T00:00:00"/>
    <s v="Lakhhuram Hedau"/>
    <s v="Leelishwari"/>
    <x v="0"/>
    <x v="0"/>
    <s v="Block - 23/B, Street - 01, Sector - 04, Bhilai, Dist - Durg, Chhattisgarh, Pin - 490001"/>
    <x v="1"/>
    <n v="9193408363"/>
    <s v="maheshheda1450@gmail.com"/>
    <s v="GRADUATE"/>
    <s v="YES"/>
    <s v="Issue"/>
    <n v="3000"/>
    <n v="200"/>
    <n v="300"/>
    <n v="300"/>
    <n v="3200"/>
    <n v="1000"/>
    <d v="2024-11-24T00:00:00"/>
    <n v="2200"/>
    <n v="1000"/>
    <d v="2024-12-24T00:00:00"/>
    <n v="1200"/>
    <n v="500"/>
    <d v="2025-01-24T00:00:00"/>
    <n v="700"/>
    <n v="500"/>
    <d v="2025-02-24T00:00:00"/>
    <n v="200"/>
    <n v="200"/>
    <d v="2025-03-24T00:00:00"/>
    <n v="0"/>
    <s v=""/>
    <s v=""/>
    <s v=""/>
    <n v="3200"/>
    <n v="0"/>
    <s v="Paid"/>
    <s v="R"/>
    <x v="0"/>
  </r>
  <r>
    <n v="214"/>
    <n v="214"/>
    <s v="EMCE883807@emaxindia.in"/>
    <s v="chandan@2006"/>
    <s v="EMCE883807"/>
    <x v="145"/>
    <x v="2"/>
    <x v="2"/>
    <x v="0"/>
    <x v="1"/>
    <x v="2"/>
    <s v="11:30 AM to 12:45 PM"/>
    <x v="1"/>
    <s v="Chandan Sarvam"/>
    <d v="2006-10-07T00:00:00"/>
    <s v="Ram Prasad Sarvam"/>
    <s v="Yamuna Bai"/>
    <x v="0"/>
    <x v="0"/>
    <s v="House No. - 331, Risali, Bhilai, Dist - Durg, Chhattisgarh, Pin - 490006"/>
    <x v="0"/>
    <n v="9580111589"/>
    <s v="chandansarv4061@gmail.com"/>
    <s v="DIPLOMA"/>
    <s v="YES"/>
    <s v="Issue"/>
    <n v="7000"/>
    <n v="200"/>
    <n v="800"/>
    <n v="0"/>
    <n v="8000"/>
    <n v="2500"/>
    <d v="2024-11-24T00:00:00"/>
    <n v="5500"/>
    <n v="3000"/>
    <d v="2024-12-24T00:00:00"/>
    <n v="2500"/>
    <n v="1000"/>
    <d v="2025-01-24T00:00:00"/>
    <n v="1500"/>
    <n v="500"/>
    <d v="2025-02-24T00:00:00"/>
    <n v="1000"/>
    <n v="1000"/>
    <d v="2025-03-24T00:00:00"/>
    <n v="0"/>
    <s v=""/>
    <s v=""/>
    <s v=""/>
    <n v="8000"/>
    <n v="0"/>
    <s v="Paid"/>
    <s v="R"/>
    <x v="0"/>
  </r>
  <r>
    <n v="215"/>
    <n v="215"/>
    <s v="EMCE872406@emaxindia.in"/>
    <s v="brijlal@2002"/>
    <s v="EMCE872406"/>
    <x v="146"/>
    <x v="3"/>
    <x v="3"/>
    <x v="1"/>
    <x v="1"/>
    <x v="1"/>
    <s v="04:30 PM to 06:00 PM"/>
    <x v="0"/>
    <s v="Brijlal Minj"/>
    <d v="2002-05-13T00:00:00"/>
    <s v="Pyare Lal Minj"/>
    <s v="Kamla Bai"/>
    <x v="1"/>
    <x v="1"/>
    <s v="House No. - 589, Ward - 27, Camp - 01, Bhilai, Dist - Durg, Chhattisgarh, Pin - 490001"/>
    <x v="20"/>
    <n v="7499481644"/>
    <s v="brijlalminj3092@gmail.com"/>
    <s v="GRADUATE"/>
    <s v="YES"/>
    <s v="Issue"/>
    <n v="3000"/>
    <n v="200"/>
    <n v="300"/>
    <n v="300"/>
    <n v="3200"/>
    <n v="1000"/>
    <d v="2024-11-25T00:00:00"/>
    <n v="2200"/>
    <n v="1000"/>
    <d v="2024-12-25T00:00:00"/>
    <n v="1200"/>
    <n v="500"/>
    <d v="2025-01-25T00:00:00"/>
    <n v="700"/>
    <n v="500"/>
    <d v="2025-02-25T00:00:00"/>
    <n v="200"/>
    <n v="200"/>
    <d v="2025-03-25T00:00:00"/>
    <n v="0"/>
    <s v=""/>
    <s v=""/>
    <s v=""/>
    <n v="3200"/>
    <n v="0"/>
    <s v="Paid"/>
    <s v="R"/>
    <x v="0"/>
  </r>
  <r>
    <n v="216"/>
    <n v="216"/>
    <s v="EMCE833511@emaxindia.in"/>
    <s v="nirmala@1994"/>
    <s v="EMCE833511"/>
    <x v="147"/>
    <x v="9"/>
    <x v="9"/>
    <x v="1"/>
    <x v="1"/>
    <x v="1"/>
    <s v="04:30 PM to 06:00 PM"/>
    <x v="0"/>
    <s v="Nirmala Sahu"/>
    <d v="1994-08-08T00:00:00"/>
    <s v="Shyamlal Sahu"/>
    <s v="Shakuntala"/>
    <x v="1"/>
    <x v="3"/>
    <s v="Qt. No. 28/F, Street No. - 12, Sector - 07, Bhilai, Dist - Durg, Chhattisgarh, Pin - 490006"/>
    <x v="19"/>
    <n v="8868798271"/>
    <s v="nirmalasahu2935@gmail.com"/>
    <s v="GRADUATE"/>
    <s v="YES"/>
    <s v="Issue"/>
    <n v="2000"/>
    <n v="200"/>
    <n v="300"/>
    <n v="500"/>
    <n v="2000"/>
    <n v="500"/>
    <d v="2024-11-26T00:00:00"/>
    <n v="1500"/>
    <n v="500"/>
    <d v="2024-12-26T00:00:00"/>
    <n v="1000"/>
    <n v="500"/>
    <d v="2025-01-26T00:00:00"/>
    <n v="500"/>
    <n v="500"/>
    <d v="2025-02-26T00:00:00"/>
    <n v="0"/>
    <s v=""/>
    <s v=""/>
    <s v=""/>
    <s v=""/>
    <s v=""/>
    <s v=""/>
    <n v="2000"/>
    <n v="0"/>
    <s v="Paid"/>
    <s v="R"/>
    <x v="0"/>
  </r>
  <r>
    <n v="217"/>
    <n v="217"/>
    <s v="EMCE884954@emaxindia.in"/>
    <s v="surendra@1994"/>
    <s v="EMCE884954"/>
    <x v="148"/>
    <x v="2"/>
    <x v="2"/>
    <x v="0"/>
    <x v="1"/>
    <x v="2"/>
    <s v="10:30 AM to 12:00 PM"/>
    <x v="1"/>
    <s v="Surendra Xalxo"/>
    <d v="1994-08-19T00:00:00"/>
    <s v="Lokesh Xalxo"/>
    <s v="Phoolbai"/>
    <x v="0"/>
    <x v="2"/>
    <s v="House No. - 887, Ward - 17, Smriti Nagar, Bhilai, Dist - Durg, Chhattisgarh, Pin - 490020"/>
    <x v="14"/>
    <n v="6677976706"/>
    <s v="surendraxalx5099@gmail.com"/>
    <s v="GRADUATE"/>
    <s v="YES"/>
    <s v="Issue"/>
    <n v="7000"/>
    <n v="200"/>
    <n v="800"/>
    <n v="500"/>
    <n v="7500"/>
    <n v="2500"/>
    <d v="2024-11-27T00:00:00"/>
    <n v="5000"/>
    <n v="3000"/>
    <d v="2024-12-27T00:00:00"/>
    <n v="2000"/>
    <n v="1000"/>
    <d v="2025-01-27T00:00:00"/>
    <n v="1000"/>
    <n v="500"/>
    <d v="2025-02-27T00:00:00"/>
    <n v="500"/>
    <n v="500"/>
    <d v="2025-03-27T00:00:00"/>
    <n v="0"/>
    <s v=""/>
    <s v=""/>
    <s v=""/>
    <n v="7500"/>
    <n v="0"/>
    <s v="Paid"/>
    <s v="R"/>
    <x v="0"/>
  </r>
  <r>
    <n v="218"/>
    <n v="218"/>
    <s v="EMCE829365@emaxindia.in"/>
    <s v="tarun@1998"/>
    <s v="EMCE829365"/>
    <x v="149"/>
    <x v="13"/>
    <x v="13"/>
    <x v="1"/>
    <x v="1"/>
    <x v="1"/>
    <s v="01:00 PM to 03:00 PM"/>
    <x v="3"/>
    <s v="Tarun Banjare"/>
    <d v="1998-08-11T00:00:00"/>
    <s v="Ghasiya Banjare"/>
    <s v="Sunita"/>
    <x v="0"/>
    <x v="3"/>
    <s v="Qt. No. 24/B, Street No. - 20, Sector - 07, Bhilai, Dist - Durg, Chhattisgarh, Pin - 490006"/>
    <x v="19"/>
    <n v="9277727879"/>
    <s v="tarunbanj9861@gmail.com"/>
    <s v="BCA"/>
    <s v="YES"/>
    <s v="Issue"/>
    <n v="3500"/>
    <n v="200"/>
    <n v="500"/>
    <n v="200"/>
    <n v="4000"/>
    <n v="1000"/>
    <d v="2024-11-28T00:00:00"/>
    <n v="3000"/>
    <n v="1000"/>
    <d v="2024-12-28T00:00:00"/>
    <n v="2000"/>
    <n v="1000"/>
    <d v="2025-01-28T00:00:00"/>
    <n v="1000"/>
    <n v="500"/>
    <d v="2025-02-28T00:00:00"/>
    <n v="500"/>
    <n v="500"/>
    <d v="2025-03-28T00:00:00"/>
    <n v="0"/>
    <s v=""/>
    <s v=""/>
    <s v=""/>
    <n v="4000"/>
    <n v="0"/>
    <s v="Paid"/>
    <s v="R"/>
    <x v="0"/>
  </r>
  <r>
    <n v="219"/>
    <n v="219"/>
    <s v="EMCE852459@emaxindia.in"/>
    <s v="vineeta@1996"/>
    <s v="EMCE852459"/>
    <x v="150"/>
    <x v="7"/>
    <x v="7"/>
    <x v="1"/>
    <x v="1"/>
    <x v="1"/>
    <s v="04:30 PM to 06:00 PM"/>
    <x v="0"/>
    <s v="Vineeta Sahu"/>
    <d v="1996-07-22T00:00:00"/>
    <s v="Mukesh Kumar Sahu"/>
    <s v="Sudha"/>
    <x v="0"/>
    <x v="3"/>
    <s v="Qtr. No. 18/B, Street No. - 17, Sector - 03, Bhilai, Dist - Durg, Chhattisgarh, Pin - 490001"/>
    <x v="10"/>
    <n v="7263597101"/>
    <s v="vineetasahu6394@gmail.com"/>
    <s v="10TH PASS"/>
    <s v="YES"/>
    <s v="Issue"/>
    <n v="3000"/>
    <n v="200"/>
    <n v="500"/>
    <n v="500"/>
    <n v="3200"/>
    <n v="1000"/>
    <d v="2024-11-29T00:00:00"/>
    <n v="2200"/>
    <n v="1000"/>
    <d v="2024-12-29T00:00:00"/>
    <n v="1200"/>
    <n v="500"/>
    <d v="2025-01-29T00:00:00"/>
    <n v="700"/>
    <n v="500"/>
    <d v="2025-02-28T00:00:00"/>
    <n v="200"/>
    <n v="200"/>
    <d v="2025-03-28T00:00:00"/>
    <n v="0"/>
    <s v=""/>
    <s v=""/>
    <s v=""/>
    <n v="3200"/>
    <n v="0"/>
    <s v="Paid"/>
    <s v="R"/>
    <x v="0"/>
  </r>
  <r>
    <n v="220"/>
    <n v="220"/>
    <s v="EMCE882593@emaxindia.in"/>
    <s v="suresh@2010"/>
    <s v="EMCE882593"/>
    <x v="151"/>
    <x v="5"/>
    <x v="5"/>
    <x v="1"/>
    <x v="1"/>
    <x v="1"/>
    <s v="11:30 AM to 12:45 PM"/>
    <x v="1"/>
    <s v="Suresh Bind"/>
    <d v="2010-06-03T00:00:00"/>
    <s v="Chaindra Bind"/>
    <s v="Geeta"/>
    <x v="1"/>
    <x v="3"/>
    <s v="Qtr. No. 1/F, Street No. - 23, Sector - 03, Bhilai, Dist - Durg, Chhattisgarh, Pin - 490001"/>
    <x v="10"/>
    <n v="6444362112"/>
    <s v="sureshbind8639@gmail.com"/>
    <s v="BCA"/>
    <s v="YES"/>
    <s v="Issue"/>
    <n v="2500"/>
    <n v="200"/>
    <n v="400"/>
    <n v="200"/>
    <n v="2900"/>
    <n v="1000"/>
    <d v="2024-11-30T00:00:00"/>
    <n v="1900"/>
    <n v="500"/>
    <d v="2024-12-30T00:00:00"/>
    <n v="1400"/>
    <n v="500"/>
    <d v="2025-01-30T00:00:00"/>
    <n v="900"/>
    <n v="500"/>
    <d v="2025-02-28T00:00:00"/>
    <n v="400"/>
    <n v="400"/>
    <d v="2025-03-28T00:00:00"/>
    <n v="0"/>
    <s v=""/>
    <s v=""/>
    <s v=""/>
    <n v="2900"/>
    <n v="0"/>
    <s v="Paid"/>
    <s v="R"/>
    <x v="0"/>
  </r>
  <r>
    <n v="221"/>
    <n v="221"/>
    <s v="EMCE873500@emaxindia.in"/>
    <s v="jitesh@1990"/>
    <s v="EMCE873500"/>
    <x v="152"/>
    <x v="12"/>
    <x v="12"/>
    <x v="0"/>
    <x v="1"/>
    <x v="2"/>
    <s v="10:30 AM to 12:00 PM"/>
    <x v="1"/>
    <s v="Jitesh Verma"/>
    <d v="1990-05-12T00:00:00"/>
    <s v="Ashok Kumar Verma"/>
    <s v="Sudha"/>
    <x v="0"/>
    <x v="2"/>
    <s v="Quarter No. 9/B, Street - 04, Sector - 10, Bhilai, Dist - Durg, Chhattisgarh, Pin - 490006"/>
    <x v="6"/>
    <n v="9782064699"/>
    <s v="jiteshverm6834@gmail.com"/>
    <s v="B.A."/>
    <s v="YES"/>
    <s v="Issue"/>
    <n v="8000"/>
    <n v="200"/>
    <n v="1000"/>
    <n v="0"/>
    <n v="9200"/>
    <n v="2500"/>
    <d v="2024-12-01T00:00:00"/>
    <n v="6700"/>
    <n v="3000"/>
    <d v="2025-01-01T00:00:00"/>
    <n v="3700"/>
    <n v="1000"/>
    <d v="2025-02-01T00:00:00"/>
    <n v="2700"/>
    <n v="1000"/>
    <d v="2025-03-01T00:00:00"/>
    <n v="1700"/>
    <n v="1000"/>
    <d v="2025-04-01T00:00:00"/>
    <n v="700"/>
    <n v="700"/>
    <d v="2025-05-01T00:00:00"/>
    <n v="0"/>
    <n v="9200"/>
    <n v="0"/>
    <s v="Paid"/>
    <s v="R"/>
    <x v="0"/>
  </r>
  <r>
    <n v="222"/>
    <n v="222"/>
    <s v="EMCE878165@emaxindia.in"/>
    <s v="saurabh@2002"/>
    <s v="EMCE878165"/>
    <x v="152"/>
    <x v="1"/>
    <x v="1"/>
    <x v="1"/>
    <x v="1"/>
    <x v="1"/>
    <s v="12:45 PM to 2:30 PM"/>
    <x v="2"/>
    <s v="Saurabh Kashyap"/>
    <d v="2002-10-07T00:00:00"/>
    <s v="Ram Prasad Kashyap"/>
    <s v="Gomati"/>
    <x v="0"/>
    <x v="2"/>
    <s v="Block - 7/B, Street - 05, Sector - 04, Bhilai, Dist - Durg, Chhattisgarh, Pin - 490001"/>
    <x v="1"/>
    <n v="9741746544"/>
    <s v="saurabhkash6963@gmail.com"/>
    <s v="8TH PASS"/>
    <s v="YES"/>
    <s v="Issue"/>
    <n v="3000"/>
    <n v="200"/>
    <n v="500"/>
    <n v="0"/>
    <n v="3700"/>
    <n v="1000"/>
    <d v="2024-12-01T00:00:00"/>
    <n v="2700"/>
    <n v="1000"/>
    <d v="2025-01-01T00:00:00"/>
    <n v="1700"/>
    <n v="500"/>
    <d v="2025-02-01T00:00:00"/>
    <n v="1200"/>
    <n v="500"/>
    <d v="2025-03-01T00:00:00"/>
    <n v="700"/>
    <n v="500"/>
    <d v="2025-04-01T00:00:00"/>
    <n v="200"/>
    <n v="200"/>
    <d v="2025-05-01T00:00:00"/>
    <n v="0"/>
    <n v="3700"/>
    <n v="0"/>
    <s v="Paid"/>
    <s v="R"/>
    <x v="0"/>
  </r>
  <r>
    <n v="223"/>
    <n v="223"/>
    <s v="EMCE837225@emaxindia.in"/>
    <s v="jaya@1989"/>
    <s v="EMCE837225"/>
    <x v="153"/>
    <x v="7"/>
    <x v="7"/>
    <x v="1"/>
    <x v="1"/>
    <x v="1"/>
    <s v="04:30 PM to 06:00 PM"/>
    <x v="0"/>
    <s v="Jaya Minj"/>
    <d v="1989-05-28T00:00:00"/>
    <s v="Bhagwandas Minj"/>
    <s v="Nirmala"/>
    <x v="0"/>
    <x v="3"/>
    <s v="House No. - 778, Ward - 15, Nehru Nagar, Bhilai, Dist - Durg, Chhattisgarh, Pin - 490020"/>
    <x v="3"/>
    <n v="8922209067"/>
    <s v="jayaminj8825@gmail.com"/>
    <s v="POST GRADUATE"/>
    <s v="YES"/>
    <s v="Issue"/>
    <n v="3000"/>
    <n v="200"/>
    <n v="500"/>
    <n v="500"/>
    <n v="3200"/>
    <n v="1000"/>
    <d v="2024-12-02T00:00:00"/>
    <n v="2200"/>
    <n v="1000"/>
    <d v="2025-01-02T00:00:00"/>
    <n v="1200"/>
    <n v="500"/>
    <d v="2025-02-02T00:00:00"/>
    <n v="700"/>
    <n v="500"/>
    <d v="2025-03-02T00:00:00"/>
    <n v="200"/>
    <n v="200"/>
    <d v="2025-04-02T00:00:00"/>
    <n v="0"/>
    <s v=""/>
    <s v=""/>
    <s v=""/>
    <n v="3200"/>
    <n v="0"/>
    <s v="Paid"/>
    <s v="R"/>
    <x v="0"/>
  </r>
  <r>
    <n v="224"/>
    <n v="224"/>
    <s v="EMCE870196@emaxindia.in"/>
    <s v="narendra@2003"/>
    <s v="EMCE870196"/>
    <x v="154"/>
    <x v="13"/>
    <x v="13"/>
    <x v="1"/>
    <x v="1"/>
    <x v="1"/>
    <s v="01:00 PM to 03:00 PM"/>
    <x v="3"/>
    <s v="Narendra Bodley"/>
    <d v="2003-04-22T00:00:00"/>
    <s v="Narendra Kumar Bodley"/>
    <s v="Sarlabai"/>
    <x v="0"/>
    <x v="1"/>
    <s v="Qt. No. 24/F, Street No. - 02, Sector - 07, Bhilai, Dist - Durg, Chhattisgarh, Pin - 490006"/>
    <x v="19"/>
    <n v="6440322886"/>
    <s v="narendrabodl3503@gmail.com"/>
    <s v="POST GRADUATE"/>
    <s v="YES"/>
    <s v="Issue"/>
    <n v="3500"/>
    <n v="200"/>
    <n v="500"/>
    <n v="0"/>
    <n v="4200"/>
    <n v="1000"/>
    <d v="2024-12-03T00:00:00"/>
    <n v="3200"/>
    <n v="1000"/>
    <d v="2025-01-03T00:00:00"/>
    <n v="2200"/>
    <n v="1000"/>
    <d v="2025-02-03T00:00:00"/>
    <n v="1200"/>
    <n v="500"/>
    <d v="2025-03-03T00:00:00"/>
    <n v="700"/>
    <n v="500"/>
    <d v="2025-04-03T00:00:00"/>
    <n v="200"/>
    <n v="200"/>
    <d v="2025-05-03T00:00:00"/>
    <n v="0"/>
    <n v="4200"/>
    <n v="0"/>
    <s v="Paid"/>
    <s v="R"/>
    <x v="0"/>
  </r>
  <r>
    <n v="225"/>
    <n v="225"/>
    <s v="EMCE847622@emaxindia.in"/>
    <s v="gaurav@2007"/>
    <s v="EMCE847622"/>
    <x v="155"/>
    <x v="5"/>
    <x v="5"/>
    <x v="1"/>
    <x v="1"/>
    <x v="1"/>
    <s v="11:30 AM to 12:45 PM"/>
    <x v="1"/>
    <s v="Gaurav Barman"/>
    <d v="2007-07-04T00:00:00"/>
    <s v="Balram Barman"/>
    <s v="Dropadi"/>
    <x v="0"/>
    <x v="0"/>
    <s v="Qrt. No. 21/A, Street No. - 23, Sector - 05, Bhilai, Dist - Durg, Chhattisgarh, Pin - 490001"/>
    <x v="4"/>
    <n v="6396810125"/>
    <s v="gauravbarm5677@gmail.com"/>
    <s v="BCA"/>
    <s v="YES"/>
    <s v="Issue"/>
    <n v="2500"/>
    <n v="200"/>
    <n v="400"/>
    <n v="0"/>
    <n v="3100"/>
    <n v="1000"/>
    <d v="2024-12-04T00:00:00"/>
    <n v="2100"/>
    <n v="1000"/>
    <d v="2025-01-04T00:00:00"/>
    <n v="1100"/>
    <n v="500"/>
    <d v="2025-02-04T00:00:00"/>
    <n v="600"/>
    <n v="500"/>
    <d v="2025-03-04T00:00:00"/>
    <n v="100"/>
    <n v="100"/>
    <d v="2025-04-04T00:00:00"/>
    <n v="0"/>
    <s v=""/>
    <s v=""/>
    <s v=""/>
    <n v="3100"/>
    <n v="0"/>
    <s v="Paid"/>
    <s v="R"/>
    <x v="0"/>
  </r>
  <r>
    <n v="226"/>
    <n v="226"/>
    <s v="EMCE862698@emaxindia.in"/>
    <s v="sadhna@2008"/>
    <s v="EMCE862698"/>
    <x v="155"/>
    <x v="0"/>
    <x v="0"/>
    <x v="0"/>
    <x v="0"/>
    <x v="0"/>
    <s v="12:45 PM to 2:30 PM"/>
    <x v="2"/>
    <s v="Sadhna Manikpuri"/>
    <d v="2008-12-20T00:00:00"/>
    <s v="Narendra Kumar Manikpuri"/>
    <s v="Radha Bai"/>
    <x v="0"/>
    <x v="3"/>
    <s v="House No. - 921, Ward - 30, Kumhari, Bhilai, Dist - Durg, Chhattisgarh, Pin - 490042"/>
    <x v="15"/>
    <n v="8940429794"/>
    <s v="sadhnamani8134@gmail.com"/>
    <s v="10TH PASS"/>
    <s v="YES"/>
    <s v="Issue"/>
    <n v="12500"/>
    <n v="200"/>
    <n v="1200"/>
    <n v="300"/>
    <n v="13600"/>
    <n v="5000"/>
    <d v="2024-12-04T00:00:00"/>
    <n v="8600"/>
    <n v="3000"/>
    <d v="2025-01-04T00:00:00"/>
    <n v="5600"/>
    <n v="3000"/>
    <d v="2025-02-04T00:00:00"/>
    <n v="2600"/>
    <n v="1000"/>
    <d v="2025-03-04T00:00:00"/>
    <n v="1600"/>
    <n v="1000"/>
    <d v="2025-04-04T00:00:00"/>
    <n v="600"/>
    <n v="600"/>
    <d v="2025-05-04T00:00:00"/>
    <n v="0"/>
    <n v="13600"/>
    <n v="0"/>
    <s v="Paid"/>
    <s v="R"/>
    <x v="0"/>
  </r>
  <r>
    <n v="227"/>
    <n v="227"/>
    <s v="EMCE833267@emaxindia.in"/>
    <s v="sachin@1991"/>
    <s v="EMCE833267"/>
    <x v="156"/>
    <x v="9"/>
    <x v="9"/>
    <x v="1"/>
    <x v="1"/>
    <x v="1"/>
    <s v="10:30 AM to 12:00 PM"/>
    <x v="1"/>
    <s v="Sachin Uike"/>
    <d v="1991-08-01T00:00:00"/>
    <s v="Pitambar Uike"/>
    <s v="Nirmala"/>
    <x v="0"/>
    <x v="0"/>
    <s v="House No. - 971, Ward - 07, Supela, Bhilai, Bhilai, Dist - Durg, Chhattisgarh, Pin - 490023"/>
    <x v="13"/>
    <n v="9291479038"/>
    <s v="sachinuike947@gmail.com"/>
    <s v="10TH PASS"/>
    <s v="YES"/>
    <s v="Issue"/>
    <n v="2000"/>
    <n v="200"/>
    <n v="300"/>
    <n v="500"/>
    <n v="2000"/>
    <n v="500"/>
    <d v="2024-12-05T00:00:00"/>
    <n v="1500"/>
    <n v="500"/>
    <d v="2025-01-05T00:00:00"/>
    <n v="1000"/>
    <n v="500"/>
    <d v="2025-02-05T00:00:00"/>
    <n v="500"/>
    <n v="500"/>
    <d v="2025-03-05T00:00:00"/>
    <n v="0"/>
    <s v=""/>
    <s v=""/>
    <s v=""/>
    <s v=""/>
    <s v=""/>
    <s v=""/>
    <n v="2000"/>
    <n v="0"/>
    <s v="Paid"/>
    <s v="R"/>
    <x v="0"/>
  </r>
  <r>
    <n v="228"/>
    <n v="228"/>
    <s v="EMCE881353@emaxindia.in"/>
    <s v="jitesh@1998"/>
    <s v="EMCE881353"/>
    <x v="157"/>
    <x v="6"/>
    <x v="6"/>
    <x v="1"/>
    <x v="1"/>
    <x v="1"/>
    <s v="11:30 AM to 12:45 PM"/>
    <x v="1"/>
    <s v="Jitesh Netam"/>
    <d v="1998-06-08T00:00:00"/>
    <s v="Kedarnath Netam"/>
    <s v="Meena Bai"/>
    <x v="0"/>
    <x v="3"/>
    <s v="Qr. No. 22, Bl No. 20, Street No. Emr, Sector - 04, Bhilai, Dist - Durg, Chhattisgarh, Pin - 490001"/>
    <x v="1"/>
    <n v="8905197698"/>
    <s v="jiteshneta5198@gmail.com"/>
    <s v="GRADUATE"/>
    <s v="YES"/>
    <s v="Issue"/>
    <n v="2000"/>
    <n v="200"/>
    <n v="300"/>
    <n v="0"/>
    <n v="2500"/>
    <n v="1000"/>
    <d v="2024-12-06T00:00:00"/>
    <n v="1500"/>
    <n v="500"/>
    <d v="2025-01-06T00:00:00"/>
    <n v="1000"/>
    <n v="500"/>
    <d v="2025-02-06T00:00:00"/>
    <n v="500"/>
    <n v="500"/>
    <d v="2025-03-06T00:00:00"/>
    <n v="0"/>
    <s v=""/>
    <s v=""/>
    <s v=""/>
    <s v=""/>
    <s v=""/>
    <s v=""/>
    <n v="2500"/>
    <n v="0"/>
    <s v="Paid"/>
    <s v="R"/>
    <x v="0"/>
  </r>
  <r>
    <n v="229"/>
    <n v="229"/>
    <s v="EMCE835352@emaxindia.in"/>
    <s v="milan@1995"/>
    <s v="EMCE835352"/>
    <x v="158"/>
    <x v="9"/>
    <x v="9"/>
    <x v="1"/>
    <x v="1"/>
    <x v="1"/>
    <s v="01:00 PM to 03:00 PM"/>
    <x v="3"/>
    <s v="Milan Rath"/>
    <d v="1995-10-17T00:00:00"/>
    <s v="Lokesh Rath"/>
    <s v="Ramkali"/>
    <x v="0"/>
    <x v="1"/>
    <s v="House No. - 785, Ward - 11, Kosa Nagar, Bhilai, Dist - Durg, Chhattisgarh, Pin - 490020"/>
    <x v="7"/>
    <n v="8763935651"/>
    <s v="milanrath8783@gmail.com"/>
    <s v="DIPLOMA"/>
    <s v="YES"/>
    <s v="Issue"/>
    <n v="2000"/>
    <n v="200"/>
    <n v="300"/>
    <n v="0"/>
    <n v="2500"/>
    <n v="1000"/>
    <d v="2024-12-07T00:00:00"/>
    <n v="1500"/>
    <n v="500"/>
    <d v="2025-01-07T00:00:00"/>
    <n v="1000"/>
    <n v="500"/>
    <d v="2025-02-07T00:00:00"/>
    <n v="500"/>
    <n v="500"/>
    <d v="2025-03-07T00:00:00"/>
    <n v="0"/>
    <s v=""/>
    <s v=""/>
    <s v=""/>
    <s v=""/>
    <s v=""/>
    <s v=""/>
    <n v="2500"/>
    <n v="0"/>
    <s v="Paid"/>
    <s v="R"/>
    <x v="0"/>
  </r>
  <r>
    <n v="230"/>
    <n v="230"/>
    <s v="EMCE866501@emaxindia.in"/>
    <s v="chandan@2007"/>
    <s v="EMCE866501"/>
    <x v="159"/>
    <x v="2"/>
    <x v="2"/>
    <x v="0"/>
    <x v="1"/>
    <x v="2"/>
    <s v="01:00 PM to 03:00 PM"/>
    <x v="3"/>
    <s v="Chandan Raut"/>
    <d v="2007-05-26T00:00:00"/>
    <s v="Anil Kumar Raut"/>
    <s v="Usha"/>
    <x v="0"/>
    <x v="3"/>
    <s v="House No. - 276, Charoda, Bhilai, Dist - Durg, Chhattisgarh, Pin - 490036"/>
    <x v="16"/>
    <n v="9603884747"/>
    <s v="chandanraut5396@gmail.com"/>
    <s v="10TH PASS"/>
    <s v="YES"/>
    <s v="Issue"/>
    <n v="7000"/>
    <n v="200"/>
    <n v="800"/>
    <n v="0"/>
    <n v="8000"/>
    <n v="2500"/>
    <d v="2024-12-13T00:00:00"/>
    <n v="5500"/>
    <n v="3000"/>
    <d v="2025-01-13T00:00:00"/>
    <n v="2500"/>
    <n v="1000"/>
    <d v="2025-02-13T00:00:00"/>
    <n v="1500"/>
    <n v="500"/>
    <d v="2025-03-13T00:00:00"/>
    <n v="1000"/>
    <n v="1000"/>
    <d v="2025-04-13T00:00:00"/>
    <n v="0"/>
    <s v=""/>
    <s v=""/>
    <s v=""/>
    <n v="8000"/>
    <n v="0"/>
    <s v="Paid"/>
    <s v="R"/>
    <x v="0"/>
  </r>
  <r>
    <n v="231"/>
    <n v="231"/>
    <s v="EMCE880980@emaxindia.in"/>
    <s v="monika@2010"/>
    <s v="EMCE880980"/>
    <x v="160"/>
    <x v="7"/>
    <x v="7"/>
    <x v="1"/>
    <x v="1"/>
    <x v="1"/>
    <s v="11:30 AM to 12:45 PM"/>
    <x v="1"/>
    <s v="Monika Gavde"/>
    <d v="2010-03-22T00:00:00"/>
    <s v="Naresh Gavde"/>
    <s v="Babita"/>
    <x v="0"/>
    <x v="3"/>
    <s v="House No. - 325, Ward - 27, Kumhari, Bhilai, Dist - Durg, Chhattisgarh, Pin - 490042"/>
    <x v="15"/>
    <n v="7529174644"/>
    <s v="monikagavd8443@gmail.com"/>
    <s v="12TH PASS"/>
    <s v="YES"/>
    <s v="Issue"/>
    <n v="3000"/>
    <n v="200"/>
    <n v="500"/>
    <n v="500"/>
    <n v="3200"/>
    <n v="1000"/>
    <d v="2024-12-14T00:00:00"/>
    <n v="2200"/>
    <n v="1000"/>
    <d v="2025-01-14T00:00:00"/>
    <n v="1200"/>
    <n v="500"/>
    <d v="2025-02-14T00:00:00"/>
    <n v="700"/>
    <n v="500"/>
    <d v="2025-03-14T00:00:00"/>
    <n v="200"/>
    <n v="200"/>
    <d v="2025-04-14T00:00:00"/>
    <n v="0"/>
    <s v=""/>
    <s v=""/>
    <s v=""/>
    <n v="3200"/>
    <n v="0"/>
    <s v="Paid"/>
    <s v="R"/>
    <x v="0"/>
  </r>
  <r>
    <n v="232"/>
    <n v="232"/>
    <s v="EMCE848802@emaxindia.in"/>
    <s v="neha@2010"/>
    <s v="EMCE848802"/>
    <x v="161"/>
    <x v="5"/>
    <x v="5"/>
    <x v="1"/>
    <x v="1"/>
    <x v="1"/>
    <s v="04:30 PM to 06:00 PM"/>
    <x v="0"/>
    <s v="Neha Kanwar"/>
    <d v="2010-08-16T00:00:00"/>
    <s v="Bhagwandas Kanwar"/>
    <s v="Parsadi Bai"/>
    <x v="0"/>
    <x v="3"/>
    <s v="House No. - 651, Risali, Bhilai, Dist - Durg, Chhattisgarh, Pin - 490006"/>
    <x v="0"/>
    <n v="9429446227"/>
    <s v="nehakanw161@gmail.com"/>
    <s v="12TH PASS"/>
    <s v="YES"/>
    <s v="Issue"/>
    <n v="2500"/>
    <n v="200"/>
    <n v="400"/>
    <n v="200"/>
    <n v="2900"/>
    <n v="1000"/>
    <d v="2024-12-15T00:00:00"/>
    <n v="1900"/>
    <n v="500"/>
    <d v="2025-01-15T00:00:00"/>
    <n v="1400"/>
    <n v="500"/>
    <d v="2025-02-15T00:00:00"/>
    <n v="900"/>
    <n v="500"/>
    <d v="2025-03-15T00:00:00"/>
    <n v="400"/>
    <n v="400"/>
    <d v="2025-04-15T00:00:00"/>
    <n v="0"/>
    <s v=""/>
    <s v=""/>
    <s v=""/>
    <n v="2900"/>
    <n v="0"/>
    <s v="Paid"/>
    <s v="R"/>
    <x v="0"/>
  </r>
  <r>
    <n v="233"/>
    <n v="233"/>
    <s v="EMCE874394@emaxindia.in"/>
    <s v="chaindra@1992"/>
    <s v="EMCE874394"/>
    <x v="162"/>
    <x v="6"/>
    <x v="6"/>
    <x v="1"/>
    <x v="1"/>
    <x v="1"/>
    <s v="10:30 AM to 12:00 PM"/>
    <x v="1"/>
    <s v="Chaindra Namdev"/>
    <d v="1992-11-27T00:00:00"/>
    <s v="Ram Prasad Namdev"/>
    <s v="Parsadi Bai"/>
    <x v="0"/>
    <x v="1"/>
    <s v="Qt. No. 21/F, Street No. - 20, Sector - 06, Bhilai, Dist - Durg, Chhattisgarh, Pin - 490006"/>
    <x v="11"/>
    <n v="8873894128"/>
    <s v="chaindranamd379@gmail.com"/>
    <s v="8TH PASS"/>
    <s v="YES"/>
    <s v="Issue"/>
    <n v="2000"/>
    <n v="200"/>
    <n v="300"/>
    <n v="0"/>
    <n v="2500"/>
    <n v="1000"/>
    <d v="2024-12-19T00:00:00"/>
    <n v="1500"/>
    <n v="500"/>
    <d v="2025-01-19T00:00:00"/>
    <n v="1000"/>
    <n v="500"/>
    <d v="2025-02-19T00:00:00"/>
    <n v="500"/>
    <n v="500"/>
    <d v="2025-03-19T00:00:00"/>
    <n v="0"/>
    <s v=""/>
    <s v=""/>
    <s v=""/>
    <s v=""/>
    <s v=""/>
    <s v=""/>
    <n v="2500"/>
    <n v="0"/>
    <s v="Paid"/>
    <s v="R"/>
    <x v="0"/>
  </r>
  <r>
    <n v="234"/>
    <n v="234"/>
    <s v="EMCE828242@emaxindia.in"/>
    <s v="santosh@2001"/>
    <s v="EMCE828242"/>
    <x v="163"/>
    <x v="9"/>
    <x v="9"/>
    <x v="1"/>
    <x v="1"/>
    <x v="1"/>
    <s v="04:30 PM to 06:00 PM"/>
    <x v="0"/>
    <s v="Santosh Kosare"/>
    <d v="2001-02-06T00:00:00"/>
    <s v="Shivnath Kosare"/>
    <s v="Phoolbai"/>
    <x v="0"/>
    <x v="3"/>
    <s v="Qrt. No. 12/B, Street No. - 05, Sector - 01, Bhilai, Dist - Durg, Chhattisgarh, Pin - 490001"/>
    <x v="17"/>
    <n v="6055638210"/>
    <s v="santoshkosa575@gmail.com"/>
    <s v="12TH PASS"/>
    <s v="YES"/>
    <s v="Issue"/>
    <n v="2000"/>
    <n v="200"/>
    <n v="300"/>
    <n v="0"/>
    <n v="2500"/>
    <n v="1000"/>
    <d v="2024-12-20T00:00:00"/>
    <n v="1500"/>
    <n v="500"/>
    <d v="2025-01-20T00:00:00"/>
    <n v="1000"/>
    <n v="500"/>
    <d v="2025-02-20T00:00:00"/>
    <n v="500"/>
    <n v="500"/>
    <d v="2025-03-20T00:00:00"/>
    <n v="0"/>
    <s v=""/>
    <s v=""/>
    <s v=""/>
    <s v=""/>
    <s v=""/>
    <s v=""/>
    <n v="2500"/>
    <n v="0"/>
    <s v="Paid"/>
    <s v="R"/>
    <x v="0"/>
  </r>
  <r>
    <n v="235"/>
    <n v="235"/>
    <s v="EMCE879002@emaxindia.in"/>
    <s v="dayaram@2000"/>
    <s v="EMCE879002"/>
    <x v="164"/>
    <x v="6"/>
    <x v="6"/>
    <x v="1"/>
    <x v="1"/>
    <x v="1"/>
    <s v="04:30 PM to 06:00 PM"/>
    <x v="0"/>
    <s v="Dayaram Koli"/>
    <d v="2000-10-21T00:00:00"/>
    <s v="Harishankar Koli"/>
    <s v="Janki Bai"/>
    <x v="0"/>
    <x v="1"/>
    <s v="House No. - 445, Risali, Bhilai, Dist - Durg, Chhattisgarh, Pin - 490006"/>
    <x v="0"/>
    <n v="6915889514"/>
    <s v="dayaramkoli7711@gmail.com"/>
    <s v="B.COM."/>
    <s v="YES"/>
    <s v="Issue"/>
    <n v="2000"/>
    <n v="200"/>
    <n v="300"/>
    <n v="200"/>
    <n v="2300"/>
    <n v="500"/>
    <d v="2024-12-21T00:00:00"/>
    <n v="1800"/>
    <n v="500"/>
    <d v="2025-01-21T00:00:00"/>
    <n v="1300"/>
    <n v="500"/>
    <d v="2025-02-21T00:00:00"/>
    <n v="800"/>
    <n v="500"/>
    <d v="2025-03-21T00:00:00"/>
    <n v="300"/>
    <n v="300"/>
    <d v="2025-04-21T00:00:00"/>
    <n v="0"/>
    <s v=""/>
    <s v=""/>
    <s v=""/>
    <n v="2300"/>
    <n v="0"/>
    <s v="Paid"/>
    <s v="R"/>
    <x v="0"/>
  </r>
  <r>
    <n v="236"/>
    <n v="236"/>
    <s v="EMCE843089@emaxindia.in"/>
    <s v="deepika@2010"/>
    <s v="EMCE843089"/>
    <x v="165"/>
    <x v="3"/>
    <x v="3"/>
    <x v="1"/>
    <x v="1"/>
    <x v="1"/>
    <s v="12:45 PM to 2:30 PM"/>
    <x v="2"/>
    <s v="Deepika Thakare"/>
    <d v="2010-06-01T00:00:00"/>
    <s v="Ghasiya Thakare"/>
    <s v="Padmini"/>
    <x v="0"/>
    <x v="2"/>
    <s v="House No. - 926, Charoda, Bhilai, Dist - Durg, Chhattisgarh, Pin - 490036"/>
    <x v="16"/>
    <n v="8415129383"/>
    <s v="deepikathak6906@gmail.com"/>
    <s v="12TH PASS"/>
    <s v="YES"/>
    <s v="Issue"/>
    <n v="3000"/>
    <n v="200"/>
    <n v="300"/>
    <n v="0"/>
    <n v="3500"/>
    <n v="1000"/>
    <d v="2024-12-22T00:00:00"/>
    <n v="2500"/>
    <n v="1000"/>
    <d v="2025-01-22T00:00:00"/>
    <n v="1500"/>
    <n v="500"/>
    <d v="2025-02-22T00:00:00"/>
    <n v="1000"/>
    <n v="500"/>
    <d v="2025-03-22T00:00:00"/>
    <n v="500"/>
    <n v="500"/>
    <d v="2025-04-22T00:00:00"/>
    <n v="0"/>
    <s v=""/>
    <s v=""/>
    <s v=""/>
    <n v="3500"/>
    <n v="0"/>
    <s v="Paid"/>
    <s v="R"/>
    <x v="0"/>
  </r>
  <r>
    <n v="237"/>
    <n v="237"/>
    <s v="EMCE858386@emaxindia.in"/>
    <s v="manohar@2002"/>
    <s v="EMCE858386"/>
    <x v="165"/>
    <x v="13"/>
    <x v="13"/>
    <x v="1"/>
    <x v="1"/>
    <x v="1"/>
    <s v="10:30 AM to 12:00 PM"/>
    <x v="1"/>
    <s v="Manohar Koli"/>
    <d v="2002-01-05T00:00:00"/>
    <s v="Mahesh Koli"/>
    <s v="Yashodha"/>
    <x v="1"/>
    <x v="3"/>
    <s v="Qt. No. 18/D, Street No. - 03, Sector - 06, Bhilai, Dist - Durg, Chhattisgarh, Pin - 490006"/>
    <x v="11"/>
    <n v="7204456234"/>
    <s v="manoharkoli3371@gmail.com"/>
    <s v="B.SC."/>
    <s v="YES"/>
    <s v="Issue"/>
    <n v="3500"/>
    <n v="200"/>
    <n v="500"/>
    <n v="0"/>
    <n v="4200"/>
    <n v="1000"/>
    <d v="2024-12-22T00:00:00"/>
    <n v="3200"/>
    <n v="1000"/>
    <d v="2025-01-22T00:00:00"/>
    <n v="2200"/>
    <n v="1000"/>
    <d v="2025-02-22T00:00:00"/>
    <n v="1200"/>
    <n v="500"/>
    <d v="2025-03-22T00:00:00"/>
    <n v="700"/>
    <n v="500"/>
    <d v="2025-04-22T00:00:00"/>
    <n v="200"/>
    <n v="200"/>
    <d v="2025-05-22T00:00:00"/>
    <n v="0"/>
    <n v="4200"/>
    <n v="0"/>
    <s v="Paid"/>
    <s v="R"/>
    <x v="0"/>
  </r>
  <r>
    <n v="238"/>
    <n v="238"/>
    <s v="EMCE834428@emaxindia.in"/>
    <s v="alok@1995"/>
    <s v="EMCE834428"/>
    <x v="166"/>
    <x v="9"/>
    <x v="9"/>
    <x v="1"/>
    <x v="1"/>
    <x v="1"/>
    <s v="10:30 AM to 12:00 PM"/>
    <x v="1"/>
    <s v="Alok Mali"/>
    <d v="1995-07-06T00:00:00"/>
    <s v="Ashok Kumar Mali"/>
    <s v="Sulochana"/>
    <x v="1"/>
    <x v="0"/>
    <s v="Quarter No. 4/A, Street - 11, Sector - 10, Bhilai, Dist - Durg, Chhattisgarh, Pin - 490006"/>
    <x v="6"/>
    <n v="9031741620"/>
    <s v="alokmali1662@gmail.com"/>
    <s v="B.SC."/>
    <s v="YES"/>
    <s v="Issue"/>
    <n v="2000"/>
    <n v="200"/>
    <n v="300"/>
    <n v="0"/>
    <n v="2500"/>
    <n v="1000"/>
    <d v="2024-12-24T00:00:00"/>
    <n v="1500"/>
    <n v="500"/>
    <d v="2025-01-24T00:00:00"/>
    <n v="1000"/>
    <n v="500"/>
    <d v="2025-02-24T00:00:00"/>
    <n v="500"/>
    <n v="500"/>
    <d v="2025-03-24T00:00:00"/>
    <n v="0"/>
    <s v=""/>
    <s v=""/>
    <s v=""/>
    <s v=""/>
    <s v=""/>
    <s v=""/>
    <n v="2500"/>
    <n v="0"/>
    <s v="Paid"/>
    <s v="R"/>
    <x v="0"/>
  </r>
  <r>
    <n v="239"/>
    <n v="239"/>
    <s v="EMCE834975@emaxindia.in"/>
    <s v="sachin@1995"/>
    <s v="EMCE834975"/>
    <x v="167"/>
    <x v="4"/>
    <x v="4"/>
    <x v="0"/>
    <x v="0"/>
    <x v="0"/>
    <s v="01:00 PM to 03:00 PM"/>
    <x v="3"/>
    <s v="Sachin Singh"/>
    <d v="1995-11-13T00:00:00"/>
    <s v="Ghasiya Singh"/>
    <s v="Indra Bai"/>
    <x v="0"/>
    <x v="2"/>
    <s v="Quarter No. - 3/E, Street - 10, Sector - 09, Bhilai, Dist - Durg, Chhattisgarh, Pin - 490001"/>
    <x v="12"/>
    <n v="9805875441"/>
    <s v="sachinsing6662@gmail.com"/>
    <s v="B.SC."/>
    <s v="YES"/>
    <s v="Issue"/>
    <n v="15000"/>
    <n v="200"/>
    <n v="1200"/>
    <n v="0"/>
    <n v="16400"/>
    <n v="5000"/>
    <d v="2024-12-28T00:00:00"/>
    <n v="11400"/>
    <n v="3000"/>
    <d v="2025-01-28T00:00:00"/>
    <n v="8400"/>
    <n v="3000"/>
    <d v="2025-02-28T00:00:00"/>
    <n v="5400"/>
    <n v="3000"/>
    <d v="2025-03-28T00:00:00"/>
    <n v="2400"/>
    <n v="2000"/>
    <d v="2025-04-28T00:00:00"/>
    <n v="400"/>
    <n v="400"/>
    <d v="2025-05-28T00:00:00"/>
    <n v="0"/>
    <n v="16400"/>
    <n v="0"/>
    <s v="Paid"/>
    <s v="R"/>
    <x v="0"/>
  </r>
  <r>
    <n v="240"/>
    <n v="240"/>
    <s v="EMCE876423@emaxindia.in"/>
    <s v="hemlata@1997"/>
    <s v="EMCE876423"/>
    <x v="168"/>
    <x v="4"/>
    <x v="4"/>
    <x v="0"/>
    <x v="0"/>
    <x v="0"/>
    <s v="01:00 PM to 03:00 PM"/>
    <x v="3"/>
    <s v="Hemlata Dewari"/>
    <d v="1997-02-03T00:00:00"/>
    <s v="Mahesh Dewari"/>
    <s v="Reena"/>
    <x v="0"/>
    <x v="1"/>
    <s v="House No. - 329, Shanti Nagar, Bhilai, Dist - Durg, Chhattisgarh, Pin - 490020"/>
    <x v="8"/>
    <n v="7865708476"/>
    <s v="hemlatadewa4626@gmail.com"/>
    <s v="8TH PASS"/>
    <s v="YES"/>
    <s v="Issue"/>
    <n v="15000"/>
    <n v="200"/>
    <n v="1200"/>
    <n v="0"/>
    <n v="16400"/>
    <n v="5000"/>
    <d v="2024-12-30T00:00:00"/>
    <n v="11400"/>
    <n v="3000"/>
    <d v="2025-01-30T00:00:00"/>
    <n v="8400"/>
    <n v="3000"/>
    <d v="2025-02-28T00:00:00"/>
    <n v="5400"/>
    <n v="3000"/>
    <d v="2025-03-28T00:00:00"/>
    <n v="2400"/>
    <n v="2000"/>
    <d v="2025-04-28T00:00:00"/>
    <n v="400"/>
    <n v="400"/>
    <d v="2025-05-28T00:00:00"/>
    <n v="0"/>
    <n v="16400"/>
    <n v="0"/>
    <s v="Paid"/>
    <s v="R"/>
    <x v="0"/>
  </r>
  <r>
    <n v="241"/>
    <n v="241"/>
    <s v="EMCE862027@emaxindia.in"/>
    <s v="lalita@2001"/>
    <s v="EMCE862027"/>
    <x v="169"/>
    <x v="3"/>
    <x v="3"/>
    <x v="1"/>
    <x v="1"/>
    <x v="1"/>
    <s v="01:00 PM to 03:00 PM"/>
    <x v="3"/>
    <s v="Lalita Hemrom"/>
    <d v="2001-07-26T00:00:00"/>
    <s v="Devendra Kumar Hemrom"/>
    <s v="Ganga Bai"/>
    <x v="0"/>
    <x v="0"/>
    <s v="House No. - 644, Ward - 16, Kumhari, Bhilai, Dist - Durg, Chhattisgarh, Pin - 490042"/>
    <x v="15"/>
    <n v="6055215617"/>
    <s v="lalitahemr9868@gmail.com"/>
    <s v="ITI"/>
    <s v="YES"/>
    <s v="Issue"/>
    <n v="3000"/>
    <n v="200"/>
    <n v="300"/>
    <n v="500"/>
    <n v="3000"/>
    <n v="1000"/>
    <d v="2025-01-01T00:00:00"/>
    <n v="2000"/>
    <n v="1000"/>
    <d v="2025-02-01T00:00:00"/>
    <n v="1000"/>
    <n v="500"/>
    <d v="2025-03-01T00:00:00"/>
    <n v="500"/>
    <n v="500"/>
    <d v="2025-04-01T00:00:00"/>
    <n v="0"/>
    <s v=""/>
    <s v=""/>
    <s v=""/>
    <s v=""/>
    <s v=""/>
    <s v=""/>
    <n v="3000"/>
    <n v="0"/>
    <s v="Paid"/>
    <s v="R"/>
    <x v="0"/>
  </r>
  <r>
    <n v="242"/>
    <n v="242"/>
    <s v="EMCE877764@emaxindia.in"/>
    <s v="abhishek@2005"/>
    <s v="EMCE877764"/>
    <x v="170"/>
    <x v="9"/>
    <x v="9"/>
    <x v="1"/>
    <x v="1"/>
    <x v="1"/>
    <s v="04:30 PM to 06:00 PM"/>
    <x v="0"/>
    <s v="Abhishek Banjare"/>
    <d v="2005-02-06T00:00:00"/>
    <s v="Brijlal Banjare"/>
    <s v="Savita"/>
    <x v="0"/>
    <x v="0"/>
    <s v="House No. - 380, Ward - 10, Smriti Nagar, Bhilai, Dist - Durg, Chhattisgarh, Pin - 490020"/>
    <x v="14"/>
    <n v="8300032736"/>
    <s v="abhishekbanj8670@gmail.com"/>
    <s v="POST GRADUATE"/>
    <s v="YES"/>
    <s v="Issue"/>
    <n v="2000"/>
    <n v="200"/>
    <n v="300"/>
    <n v="0"/>
    <n v="2500"/>
    <n v="1000"/>
    <d v="2025-01-03T00:00:00"/>
    <n v="1500"/>
    <n v="500"/>
    <d v="2025-02-03T00:00:00"/>
    <n v="1000"/>
    <n v="500"/>
    <d v="2025-03-03T00:00:00"/>
    <n v="500"/>
    <n v="500"/>
    <d v="2025-04-03T00:00:00"/>
    <n v="0"/>
    <s v=""/>
    <s v=""/>
    <s v=""/>
    <s v=""/>
    <s v=""/>
    <s v=""/>
    <n v="2500"/>
    <n v="0"/>
    <s v="Paid"/>
    <s v="R"/>
    <x v="0"/>
  </r>
  <r>
    <n v="243"/>
    <n v="243"/>
    <s v="EMCE831795@emaxindia.in"/>
    <s v="ankit@2001"/>
    <s v="EMCE831795"/>
    <x v="171"/>
    <x v="6"/>
    <x v="6"/>
    <x v="1"/>
    <x v="1"/>
    <x v="1"/>
    <s v="04:30 PM to 06:00 PM"/>
    <x v="0"/>
    <s v="Ankit Koram"/>
    <d v="2001-04-18T00:00:00"/>
    <s v="Hemant Kumar Koram"/>
    <s v="Indra Bai"/>
    <x v="0"/>
    <x v="0"/>
    <s v="House No. - 177, Ward - 20, Supela, Bhilai, Bhilai, Dist - Durg, Chhattisgarh, Pin - 490023"/>
    <x v="13"/>
    <n v="7623891935"/>
    <s v="ankitkora7334@gmail.com"/>
    <s v="B.COM."/>
    <s v="YES"/>
    <s v="Issue"/>
    <n v="2000"/>
    <n v="200"/>
    <n v="300"/>
    <n v="500"/>
    <n v="2000"/>
    <n v="500"/>
    <d v="2025-01-06T00:00:00"/>
    <n v="1500"/>
    <n v="500"/>
    <d v="2025-02-06T00:00:00"/>
    <n v="1000"/>
    <n v="500"/>
    <d v="2025-03-06T00:00:00"/>
    <n v="500"/>
    <n v="500"/>
    <d v="2025-04-06T00:00:00"/>
    <n v="0"/>
    <s v=""/>
    <s v=""/>
    <s v=""/>
    <s v=""/>
    <s v=""/>
    <s v=""/>
    <n v="2000"/>
    <n v="0"/>
    <s v="Paid"/>
    <s v="R"/>
    <x v="0"/>
  </r>
  <r>
    <n v="244"/>
    <n v="244"/>
    <s v="EMCE864847@emaxindia.in"/>
    <s v="ghanshyam@2003"/>
    <s v="EMCE864847"/>
    <x v="172"/>
    <x v="3"/>
    <x v="3"/>
    <x v="1"/>
    <x v="2"/>
    <x v="1"/>
    <s v="11:30 AM to 12:45 PM"/>
    <x v="1"/>
    <s v="Ghanshyam Naidu"/>
    <d v="2003-09-17T00:00:00"/>
    <s v="Santosh Kumar Naidu"/>
    <s v="Meena Bai"/>
    <x v="0"/>
    <x v="0"/>
    <s v="House No. - 512, Ward - 24, Camp - 01, Bhilai, Dist - Durg, Chhattisgarh, Pin - 490001"/>
    <x v="20"/>
    <n v="9967732384"/>
    <s v="ghanshyamnaid8732@gmail.com"/>
    <s v="BCA"/>
    <s v="YES"/>
    <s v="Issue"/>
    <n v="3000"/>
    <n v="200"/>
    <n v="300"/>
    <n v="300"/>
    <n v="3200"/>
    <n v="1000"/>
    <d v="2025-01-12T00:00:00"/>
    <n v="2200"/>
    <n v="1000"/>
    <d v="2025-02-12T00:00:00"/>
    <n v="1200"/>
    <n v="500"/>
    <d v="2025-03-12T00:00:00"/>
    <n v="700"/>
    <n v="500"/>
    <d v="2025-04-12T00:00:00"/>
    <n v="200"/>
    <n v="200"/>
    <d v="2025-05-12T00:00:00"/>
    <n v="0"/>
    <s v=""/>
    <s v=""/>
    <s v=""/>
    <n v="3200"/>
    <n v="0"/>
    <s v="Paid"/>
    <s v="R"/>
    <x v="0"/>
  </r>
  <r>
    <n v="245"/>
    <n v="245"/>
    <s v="EMCE848271@emaxindia.in"/>
    <s v="neha@1990"/>
    <s v="EMCE848271"/>
    <x v="173"/>
    <x v="6"/>
    <x v="6"/>
    <x v="1"/>
    <x v="2"/>
    <x v="1"/>
    <s v="11:30 AM to 12:45 PM"/>
    <x v="1"/>
    <s v="Neha Meshram"/>
    <d v="1990-12-27T00:00:00"/>
    <s v="Mohan Lal Meshram"/>
    <s v="Shantibai"/>
    <x v="1"/>
    <x v="0"/>
    <s v="Quarter No. 12/D, Street - 11, Sector - 10, Bhilai, Dist - Durg, Chhattisgarh, Pin - 490006"/>
    <x v="6"/>
    <n v="8590990317"/>
    <s v="nehamesh5694@gmail.com"/>
    <s v="12TH PASS"/>
    <s v="YES"/>
    <s v="Issue"/>
    <n v="2000"/>
    <n v="200"/>
    <n v="300"/>
    <n v="300"/>
    <n v="2200"/>
    <n v="500"/>
    <d v="2025-01-15T00:00:00"/>
    <n v="1700"/>
    <n v="500"/>
    <d v="2025-02-15T00:00:00"/>
    <n v="1200"/>
    <n v="500"/>
    <d v="2025-03-15T00:00:00"/>
    <n v="700"/>
    <n v="500"/>
    <d v="2025-04-15T00:00:00"/>
    <n v="200"/>
    <n v="200"/>
    <d v="2025-05-15T00:00:00"/>
    <n v="0"/>
    <s v=""/>
    <s v=""/>
    <s v=""/>
    <n v="2200"/>
    <n v="0"/>
    <s v="Paid"/>
    <s v="R"/>
    <x v="0"/>
  </r>
  <r>
    <n v="246"/>
    <n v="246"/>
    <s v="EMCE868767@emaxindia.in"/>
    <s v="bharat@2009"/>
    <s v="EMCE868767"/>
    <x v="173"/>
    <x v="3"/>
    <x v="3"/>
    <x v="1"/>
    <x v="2"/>
    <x v="1"/>
    <s v="01:00 PM to 03:00 PM"/>
    <x v="3"/>
    <s v="Bharat Nishad"/>
    <d v="2009-08-25T00:00:00"/>
    <s v="Kedarnath Nishad"/>
    <s v="Shakuntala"/>
    <x v="0"/>
    <x v="3"/>
    <s v="House No. - 789, Ward - 21, Nehru Nagar, Bhilai, Dist - Durg, Chhattisgarh, Pin - 490020"/>
    <x v="3"/>
    <n v="7073275524"/>
    <s v="bharatnish7761@gmail.com"/>
    <s v="GRADUATE"/>
    <s v="YES"/>
    <s v="Issue"/>
    <n v="3000"/>
    <n v="200"/>
    <n v="300"/>
    <n v="0"/>
    <n v="3500"/>
    <n v="1000"/>
    <d v="2025-01-15T00:00:00"/>
    <n v="2500"/>
    <n v="1000"/>
    <d v="2025-02-15T00:00:00"/>
    <n v="1500"/>
    <n v="500"/>
    <d v="2025-03-15T00:00:00"/>
    <n v="1000"/>
    <n v="500"/>
    <d v="2025-04-15T00:00:00"/>
    <n v="500"/>
    <n v="500"/>
    <d v="2025-05-15T00:00:00"/>
    <n v="0"/>
    <s v=""/>
    <s v=""/>
    <s v=""/>
    <n v="3500"/>
    <n v="0"/>
    <s v="Paid"/>
    <s v="R"/>
    <x v="0"/>
  </r>
  <r>
    <n v="247"/>
    <n v="247"/>
    <s v="EMCE862461@emaxindia.in"/>
    <s v="karan@2001"/>
    <s v="EMCE862461"/>
    <x v="174"/>
    <x v="1"/>
    <x v="1"/>
    <x v="1"/>
    <x v="2"/>
    <x v="1"/>
    <s v="04:30 PM to 06:00 PM"/>
    <x v="0"/>
    <s v="Karan Koli"/>
    <d v="2001-01-15T00:00:00"/>
    <s v="Devendra Kumar Koli"/>
    <s v="Tara Bai"/>
    <x v="0"/>
    <x v="2"/>
    <s v="Quarter No. 6/D, Street - 17, Sector - 10, Bhilai, Dist - Durg, Chhattisgarh, Pin - 490006"/>
    <x v="6"/>
    <n v="8519715334"/>
    <s v="karankoli6833@gmail.com"/>
    <s v="B.SC."/>
    <s v="YES"/>
    <s v="Issue"/>
    <n v="3000"/>
    <n v="200"/>
    <n v="500"/>
    <n v="0"/>
    <n v="3700"/>
    <n v="1000"/>
    <d v="2025-01-18T00:00:00"/>
    <n v="2700"/>
    <n v="1000"/>
    <d v="2025-02-18T00:00:00"/>
    <n v="1700"/>
    <n v="500"/>
    <d v="2025-03-18T00:00:00"/>
    <n v="1200"/>
    <n v="500"/>
    <d v="2025-04-18T00:00:00"/>
    <n v="700"/>
    <n v="500"/>
    <d v="2025-05-18T00:00:00"/>
    <n v="200"/>
    <n v="200"/>
    <d v="2025-06-18T00:00:00"/>
    <n v="0"/>
    <n v="3700"/>
    <n v="0"/>
    <s v="Paid"/>
    <s v="R"/>
    <x v="0"/>
  </r>
  <r>
    <n v="248"/>
    <n v="248"/>
    <s v="EMCE847226@emaxindia.in"/>
    <s v="ashish@2001"/>
    <s v="EMCE847226"/>
    <x v="175"/>
    <x v="5"/>
    <x v="5"/>
    <x v="1"/>
    <x v="2"/>
    <x v="1"/>
    <s v="12:45 PM to 2:30 PM"/>
    <x v="2"/>
    <s v="Ashish Thakare"/>
    <d v="2001-09-28T00:00:00"/>
    <s v="Jivanram Thakare"/>
    <s v="Sarlabai"/>
    <x v="1"/>
    <x v="0"/>
    <s v="Qr. No. 17/B, Street No. - 21, Sector - 08, Bhilai, Dist - Durg, Chhattisgarh, Pin - 490001"/>
    <x v="18"/>
    <n v="7726235035"/>
    <s v="ashishthak6133@gmail.com"/>
    <s v="GRADUATE"/>
    <s v="YES"/>
    <s v="Issue"/>
    <n v="2500"/>
    <n v="200"/>
    <n v="400"/>
    <n v="0"/>
    <n v="3100"/>
    <n v="1000"/>
    <d v="2025-01-21T00:00:00"/>
    <n v="2100"/>
    <n v="1000"/>
    <d v="2025-02-21T00:00:00"/>
    <n v="1100"/>
    <n v="500"/>
    <d v="2025-03-21T00:00:00"/>
    <n v="600"/>
    <n v="500"/>
    <d v="2025-04-21T00:00:00"/>
    <n v="100"/>
    <n v="100"/>
    <d v="2025-05-21T00:00:00"/>
    <n v="0"/>
    <s v=""/>
    <s v=""/>
    <s v=""/>
    <n v="3100"/>
    <n v="0"/>
    <s v="Paid"/>
    <s v="R"/>
    <x v="0"/>
  </r>
  <r>
    <n v="249"/>
    <n v="249"/>
    <s v="EMCE884636@emaxindia.in"/>
    <s v="nalini@1995"/>
    <s v="EMCE884636"/>
    <x v="176"/>
    <x v="9"/>
    <x v="9"/>
    <x v="1"/>
    <x v="2"/>
    <x v="1"/>
    <s v="01:00 PM to 03:00 PM"/>
    <x v="3"/>
    <s v="Nalini Sidar"/>
    <d v="1995-03-26T00:00:00"/>
    <s v="Hari Prasad Sidar"/>
    <s v="Vimla"/>
    <x v="0"/>
    <x v="0"/>
    <s v="House No. - 830, Shanti Nagar, Bhilai, Dist - Durg, Chhattisgarh, Pin - 490020"/>
    <x v="8"/>
    <n v="6199683667"/>
    <s v="nalinisida2123@gmail.com"/>
    <s v="10TH PASS"/>
    <s v="YES"/>
    <s v="Issue"/>
    <n v="2000"/>
    <n v="200"/>
    <n v="300"/>
    <n v="200"/>
    <n v="2300"/>
    <n v="500"/>
    <d v="2025-01-23T00:00:00"/>
    <n v="1800"/>
    <n v="500"/>
    <d v="2025-02-23T00:00:00"/>
    <n v="1300"/>
    <n v="500"/>
    <d v="2025-03-23T00:00:00"/>
    <n v="800"/>
    <n v="500"/>
    <d v="2025-04-23T00:00:00"/>
    <n v="300"/>
    <n v="300"/>
    <d v="2025-05-23T00:00:00"/>
    <n v="0"/>
    <s v=""/>
    <s v=""/>
    <s v=""/>
    <n v="2300"/>
    <n v="0"/>
    <s v="Paid"/>
    <s v="R"/>
    <x v="0"/>
  </r>
  <r>
    <n v="250"/>
    <n v="250"/>
    <s v="EMCE884868@emaxindia.in"/>
    <s v="rajkumar@2006"/>
    <s v="EMCE884868"/>
    <x v="177"/>
    <x v="2"/>
    <x v="2"/>
    <x v="0"/>
    <x v="2"/>
    <x v="2"/>
    <s v="12:45 PM to 2:30 PM"/>
    <x v="2"/>
    <s v="Rajkumar Uike"/>
    <d v="2006-02-26T00:00:00"/>
    <s v="Lakhhuram Uike"/>
    <s v="Sulochana"/>
    <x v="0"/>
    <x v="0"/>
    <s v="Qr. No. 21, Bl No. 20, Street No. Emr, Sector - 04, Bhilai, Dist - Durg, Chhattisgarh, Pin - 490001"/>
    <x v="1"/>
    <n v="8434470949"/>
    <s v="rajkumaruike3165@gmail.com"/>
    <s v="GRADUATE"/>
    <s v="YES"/>
    <s v="Issue"/>
    <n v="7000"/>
    <n v="200"/>
    <n v="800"/>
    <n v="0"/>
    <n v="8000"/>
    <n v="2500"/>
    <d v="2025-01-25T00:00:00"/>
    <n v="5500"/>
    <n v="3000"/>
    <d v="2025-02-25T00:00:00"/>
    <n v="2500"/>
    <n v="1000"/>
    <d v="2025-03-25T00:00:00"/>
    <n v="1500"/>
    <n v="500"/>
    <d v="2025-04-25T00:00:00"/>
    <n v="1000"/>
    <n v="1000"/>
    <d v="2025-05-25T00:00:00"/>
    <n v="0"/>
    <s v=""/>
    <s v=""/>
    <s v=""/>
    <n v="8000"/>
    <n v="0"/>
    <s v="Paid"/>
    <s v="R"/>
    <x v="0"/>
  </r>
  <r>
    <n v="251"/>
    <n v="251"/>
    <s v="EMCE860040@emaxindia.in"/>
    <s v="farida@2007"/>
    <s v="EMCE860040"/>
    <x v="178"/>
    <x v="1"/>
    <x v="1"/>
    <x v="1"/>
    <x v="2"/>
    <x v="1"/>
    <s v="11:30 AM to 12:45 PM"/>
    <x v="1"/>
    <s v="Farida Dhiwar"/>
    <d v="2007-10-11T00:00:00"/>
    <s v="Ram Prasad Dhiwar"/>
    <s v="Sushila"/>
    <x v="0"/>
    <x v="0"/>
    <s v="House No. - 749, Ward - 06, Smriti Nagar, Bhilai, Dist - Durg, Chhattisgarh, Pin - 490020"/>
    <x v="14"/>
    <n v="9493049671"/>
    <s v="faridadhiw2035@gmail.com"/>
    <s v="12TH PASS"/>
    <s v="YES"/>
    <s v="Issue"/>
    <n v="3000"/>
    <n v="200"/>
    <n v="500"/>
    <n v="0"/>
    <n v="3700"/>
    <n v="1000"/>
    <d v="2025-01-27T00:00:00"/>
    <n v="2700"/>
    <n v="1000"/>
    <d v="2025-02-27T00:00:00"/>
    <n v="1700"/>
    <n v="500"/>
    <d v="2025-03-27T00:00:00"/>
    <n v="1200"/>
    <n v="500"/>
    <d v="2025-04-27T00:00:00"/>
    <n v="700"/>
    <n v="500"/>
    <d v="2025-05-27T00:00:00"/>
    <n v="200"/>
    <n v="200"/>
    <d v="2025-06-27T00:00:00"/>
    <n v="0"/>
    <n v="3700"/>
    <n v="0"/>
    <s v="Paid"/>
    <s v="R"/>
    <x v="0"/>
  </r>
  <r>
    <n v="252"/>
    <n v="252"/>
    <s v="EMCE842134@emaxindia.in"/>
    <s v="heena@1999"/>
    <s v="EMCE842134"/>
    <x v="179"/>
    <x v="10"/>
    <x v="10"/>
    <x v="1"/>
    <x v="2"/>
    <x v="1"/>
    <s v="04:30 PM to 06:00 PM"/>
    <x v="0"/>
    <s v="Heena Pradhan"/>
    <d v="1999-11-11T00:00:00"/>
    <s v="Sunil Kumar Pradhan"/>
    <s v="Sunita"/>
    <x v="0"/>
    <x v="0"/>
    <s v="Qt. No. 5/B, Street No. - 02, Sector - 06, Bhilai, Dist - Durg, Chhattisgarh, Pin - 490006"/>
    <x v="11"/>
    <n v="9618288288"/>
    <s v="heenaprad9807@gmail.com"/>
    <s v="12TH PASS"/>
    <s v="YES"/>
    <s v="Issue"/>
    <n v="3000"/>
    <n v="200"/>
    <n v="500"/>
    <n v="0"/>
    <n v="3700"/>
    <n v="1000"/>
    <d v="2025-02-06T00:00:00"/>
    <n v="2700"/>
    <n v="1000"/>
    <d v="2025-03-06T00:00:00"/>
    <n v="1700"/>
    <n v="500"/>
    <d v="2025-04-06T00:00:00"/>
    <n v="1200"/>
    <n v="500"/>
    <d v="2025-05-06T00:00:00"/>
    <n v="700"/>
    <n v="500"/>
    <d v="2025-06-06T00:00:00"/>
    <n v="200"/>
    <n v="200"/>
    <d v="2025-07-06T00:00:00"/>
    <n v="0"/>
    <n v="3700"/>
    <n v="0"/>
    <s v="Paid"/>
    <s v="R"/>
    <x v="0"/>
  </r>
  <r>
    <n v="253"/>
    <n v="253"/>
    <s v="EMCE880218@emaxindia.in"/>
    <s v="saroj@2004"/>
    <s v="EMCE880218"/>
    <x v="180"/>
    <x v="7"/>
    <x v="7"/>
    <x v="1"/>
    <x v="2"/>
    <x v="1"/>
    <s v="04:30 PM to 06:00 PM"/>
    <x v="0"/>
    <s v="Saroj Saini"/>
    <d v="2004-10-12T00:00:00"/>
    <s v="Kailash Saini"/>
    <s v="Laxmi"/>
    <x v="0"/>
    <x v="0"/>
    <s v="House No. - 409, Vaishali Nagar, Bhilai, Dist - Durg, Chhattisgarh, Pin - 490020"/>
    <x v="5"/>
    <n v="6720895774"/>
    <s v="sarojsain7676@gmail.com"/>
    <s v="BCA"/>
    <s v="YES"/>
    <s v="Issue"/>
    <n v="3000"/>
    <n v="200"/>
    <n v="500"/>
    <n v="0"/>
    <n v="3700"/>
    <n v="1000"/>
    <d v="2025-02-14T00:00:00"/>
    <n v="2700"/>
    <n v="1000"/>
    <d v="2025-03-14T00:00:00"/>
    <n v="1700"/>
    <n v="500"/>
    <d v="2025-04-14T00:00:00"/>
    <n v="1200"/>
    <n v="500"/>
    <d v="2025-05-14T00:00:00"/>
    <n v="700"/>
    <n v="500"/>
    <d v="2025-06-14T00:00:00"/>
    <n v="200"/>
    <n v="200"/>
    <d v="2025-07-14T00:00:00"/>
    <n v="0"/>
    <n v="3700"/>
    <n v="0"/>
    <s v="Paid"/>
    <s v="R"/>
    <x v="0"/>
  </r>
  <r>
    <n v="254"/>
    <n v="254"/>
    <s v="EMCE838847@emaxindia.in"/>
    <s v="reena@2006"/>
    <s v="EMCE838847"/>
    <x v="181"/>
    <x v="10"/>
    <x v="10"/>
    <x v="1"/>
    <x v="2"/>
    <x v="1"/>
    <s v="12:45 PM to 2:30 PM"/>
    <x v="2"/>
    <s v="Reena Meghwal"/>
    <d v="2006-08-25T00:00:00"/>
    <s v="Mohan Lal Meghwal"/>
    <s v="Yamuna Bai"/>
    <x v="1"/>
    <x v="0"/>
    <s v="House No. - 346, Ward - 18, Kumhari, Bhilai, Dist - Durg, Chhattisgarh, Pin - 490042"/>
    <x v="15"/>
    <n v="6992474225"/>
    <s v="reenamegh4032@gmail.com"/>
    <s v="B.COM."/>
    <s v="YES"/>
    <s v="Issue"/>
    <n v="3000"/>
    <n v="200"/>
    <n v="500"/>
    <n v="0"/>
    <n v="3700"/>
    <n v="1000"/>
    <d v="2025-02-15T00:00:00"/>
    <n v="2700"/>
    <n v="1000"/>
    <d v="2025-03-15T00:00:00"/>
    <n v="1700"/>
    <n v="500"/>
    <d v="2025-04-15T00:00:00"/>
    <n v="1200"/>
    <n v="500"/>
    <d v="2025-05-15T00:00:00"/>
    <n v="700"/>
    <n v="500"/>
    <d v="2025-06-15T00:00:00"/>
    <n v="200"/>
    <n v="200"/>
    <d v="2025-07-15T00:00:00"/>
    <n v="0"/>
    <n v="3700"/>
    <n v="0"/>
    <s v="Paid"/>
    <s v="R"/>
    <x v="0"/>
  </r>
  <r>
    <n v="255"/>
    <n v="255"/>
    <s v="EMCE830139@emaxindia.in"/>
    <s v="naresh@2006"/>
    <s v="EMCE830139"/>
    <x v="182"/>
    <x v="9"/>
    <x v="9"/>
    <x v="1"/>
    <x v="2"/>
    <x v="1"/>
    <s v="11:30 AM to 12:45 PM"/>
    <x v="1"/>
    <s v="Naresh Sharma"/>
    <d v="2006-09-11T00:00:00"/>
    <s v="Shiv Prasad Sharma"/>
    <s v="Champa"/>
    <x v="0"/>
    <x v="0"/>
    <s v="Qrt. No. 6/D, Street No. - 04, Sector - 01, Bhilai, Dist - Durg, Chhattisgarh, Pin - 490001"/>
    <x v="17"/>
    <n v="8261941338"/>
    <s v="nareshshar8877@gmail.com"/>
    <s v="B.SC."/>
    <s v="YES"/>
    <s v="Issue"/>
    <n v="2000"/>
    <n v="200"/>
    <n v="300"/>
    <n v="0"/>
    <n v="2500"/>
    <n v="1000"/>
    <d v="2025-02-19T00:00:00"/>
    <n v="1500"/>
    <n v="500"/>
    <d v="2025-03-19T00:00:00"/>
    <n v="1000"/>
    <n v="500"/>
    <d v="2025-04-19T00:00:00"/>
    <n v="500"/>
    <n v="500"/>
    <d v="2025-05-19T00:00:00"/>
    <n v="0"/>
    <s v=""/>
    <s v=""/>
    <s v=""/>
    <s v=""/>
    <s v=""/>
    <s v=""/>
    <n v="2500"/>
    <n v="0"/>
    <s v="Paid"/>
    <s v="R"/>
    <x v="0"/>
  </r>
  <r>
    <n v="256"/>
    <n v="256"/>
    <s v="EMCE882093@emaxindia.in"/>
    <s v="dhanesh@2003"/>
    <s v="EMCE882093"/>
    <x v="182"/>
    <x v="3"/>
    <x v="3"/>
    <x v="1"/>
    <x v="2"/>
    <x v="1"/>
    <s v="12:45 PM to 2:30 PM"/>
    <x v="2"/>
    <s v="Dhanesh Toppo"/>
    <d v="2003-07-26T00:00:00"/>
    <s v="Anil Kumar Toppo"/>
    <s v="Yashodha"/>
    <x v="0"/>
    <x v="1"/>
    <s v="House No. - 794, Ward - 26, Smriti Nagar, Bhilai, Dist - Durg, Chhattisgarh, Pin - 490020"/>
    <x v="14"/>
    <n v="6430649106"/>
    <s v="dhaneshtopp322@gmail.com"/>
    <s v="GRADUATE"/>
    <s v="YES"/>
    <s v="Issue"/>
    <n v="3000"/>
    <n v="200"/>
    <n v="300"/>
    <n v="300"/>
    <n v="3200"/>
    <n v="1000"/>
    <d v="2025-02-19T00:00:00"/>
    <n v="2200"/>
    <n v="1000"/>
    <d v="2025-03-19T00:00:00"/>
    <n v="1200"/>
    <n v="500"/>
    <d v="2025-04-19T00:00:00"/>
    <n v="700"/>
    <n v="500"/>
    <d v="2025-05-19T00:00:00"/>
    <n v="200"/>
    <n v="200"/>
    <d v="2025-06-19T00:00:00"/>
    <n v="0"/>
    <s v=""/>
    <s v=""/>
    <s v=""/>
    <n v="3200"/>
    <n v="0"/>
    <s v="Paid"/>
    <s v="R"/>
    <x v="0"/>
  </r>
  <r>
    <n v="257"/>
    <n v="257"/>
    <s v="EMCE848240@emaxindia.in"/>
    <s v="devendra@1989"/>
    <s v="EMCE848240"/>
    <x v="183"/>
    <x v="3"/>
    <x v="3"/>
    <x v="1"/>
    <x v="2"/>
    <x v="1"/>
    <s v="01:00 PM to 03:00 PM"/>
    <x v="3"/>
    <s v="Devendra Kashyap"/>
    <d v="1989-11-06T00:00:00"/>
    <s v="Dayaram Kashyap"/>
    <s v="Kiran"/>
    <x v="0"/>
    <x v="3"/>
    <s v="Block - 8/D, Street - 11, Sector - 04, Bhilai, Dist - Durg, Chhattisgarh, Pin - 490001"/>
    <x v="1"/>
    <n v="7072455441"/>
    <s v="devendrakash7291@gmail.com"/>
    <s v="ITI"/>
    <s v="YES"/>
    <s v="Issue"/>
    <n v="3000"/>
    <n v="200"/>
    <n v="300"/>
    <n v="300"/>
    <n v="3200"/>
    <n v="1000"/>
    <d v="2025-02-20T00:00:00"/>
    <n v="2200"/>
    <n v="1000"/>
    <d v="2025-03-20T00:00:00"/>
    <n v="1200"/>
    <n v="500"/>
    <d v="2025-04-20T00:00:00"/>
    <n v="700"/>
    <n v="500"/>
    <d v="2025-05-20T00:00:00"/>
    <n v="200"/>
    <n v="200"/>
    <d v="2025-06-20T00:00:00"/>
    <n v="0"/>
    <s v=""/>
    <s v=""/>
    <s v=""/>
    <n v="3200"/>
    <n v="0"/>
    <s v="Paid"/>
    <s v="R"/>
    <x v="0"/>
  </r>
  <r>
    <n v="258"/>
    <n v="258"/>
    <s v="EMCE855978@emaxindia.in"/>
    <s v="kamlesh@1994"/>
    <s v="EMCE855978"/>
    <x v="184"/>
    <x v="1"/>
    <x v="1"/>
    <x v="1"/>
    <x v="2"/>
    <x v="1"/>
    <s v="11:30 AM to 12:45 PM"/>
    <x v="1"/>
    <s v="Kamlesh Ahirwar"/>
    <d v="1994-03-17T00:00:00"/>
    <s v="Vijay Kumar Ahirwar"/>
    <s v="Meena Bai"/>
    <x v="1"/>
    <x v="0"/>
    <s v="Quarter No. - 8/D, Street - 06, Sector - 09, Bhilai, Dist - Durg, Chhattisgarh, Pin - 490001"/>
    <x v="12"/>
    <n v="7604129787"/>
    <s v="kamleshahir2095@gmail.com"/>
    <s v="10TH PASS"/>
    <s v="YES"/>
    <s v="Issue"/>
    <n v="3000"/>
    <n v="200"/>
    <n v="500"/>
    <n v="500"/>
    <n v="3200"/>
    <n v="1000"/>
    <d v="2025-02-22T00:00:00"/>
    <n v="2200"/>
    <n v="1000"/>
    <d v="2025-03-22T00:00:00"/>
    <n v="1200"/>
    <n v="500"/>
    <d v="2025-04-22T00:00:00"/>
    <n v="700"/>
    <n v="500"/>
    <d v="2025-05-22T00:00:00"/>
    <n v="200"/>
    <n v="200"/>
    <d v="2025-06-22T00:00:00"/>
    <n v="0"/>
    <s v=""/>
    <s v=""/>
    <s v=""/>
    <n v="3200"/>
    <n v="0"/>
    <s v="Paid"/>
    <s v="R"/>
    <x v="0"/>
  </r>
  <r>
    <n v="259"/>
    <n v="259"/>
    <s v="EMCE830614@emaxindia.in"/>
    <s v="sunanda@1994"/>
    <s v="EMCE830614"/>
    <x v="185"/>
    <x v="13"/>
    <x v="13"/>
    <x v="1"/>
    <x v="2"/>
    <x v="1"/>
    <s v="04:30 PM to 06:00 PM"/>
    <x v="0"/>
    <s v="Sunanda Baghel"/>
    <d v="1994-01-26T00:00:00"/>
    <s v="Ghasiya Baghel"/>
    <s v="Usha"/>
    <x v="0"/>
    <x v="3"/>
    <s v="Quarter No. - 24/D, Street - 01, Sector - 09, Bhilai, Dist - Durg, Chhattisgarh, Pin - 490001"/>
    <x v="12"/>
    <n v="9355101234"/>
    <s v="sunandabagh9320@gmail.com"/>
    <s v="B.COM."/>
    <s v="YES"/>
    <s v="Issue"/>
    <n v="3500"/>
    <n v="200"/>
    <n v="500"/>
    <n v="0"/>
    <n v="4200"/>
    <n v="1000"/>
    <d v="2025-03-02T00:00:00"/>
    <n v="3200"/>
    <n v="1000"/>
    <d v="2025-04-02T00:00:00"/>
    <n v="2200"/>
    <n v="1000"/>
    <d v="2025-05-02T00:00:00"/>
    <n v="1200"/>
    <n v="500"/>
    <d v="2025-06-02T00:00:00"/>
    <n v="700"/>
    <n v="500"/>
    <d v="2025-07-02T00:00:00"/>
    <n v="200"/>
    <n v="200"/>
    <d v="2025-08-02T00:00:00"/>
    <n v="0"/>
    <n v="4200"/>
    <n v="0"/>
    <s v="Paid"/>
    <s v="R"/>
    <x v="0"/>
  </r>
  <r>
    <n v="260"/>
    <n v="260"/>
    <s v="EMCE844391@emaxindia.in"/>
    <s v="ashish@2009"/>
    <s v="EMCE844391"/>
    <x v="186"/>
    <x v="11"/>
    <x v="11"/>
    <x v="1"/>
    <x v="2"/>
    <x v="1"/>
    <s v="10:30 AM to 12:00 PM"/>
    <x v="1"/>
    <s v="Ashish Patel"/>
    <d v="2009-05-21T00:00:00"/>
    <s v="Tulsiram Patel"/>
    <s v="Ganga Bai"/>
    <x v="0"/>
    <x v="0"/>
    <s v="House No. - 124, Ward - 29, Kosa Nagar, Bhilai, Dist - Durg, Chhattisgarh, Pin - 490020"/>
    <x v="7"/>
    <n v="6049352808"/>
    <s v="ashishpate4953@gmail.com"/>
    <s v="10TH PASS"/>
    <s v="YES"/>
    <s v="Issue"/>
    <n v="2500"/>
    <n v="200"/>
    <n v="500"/>
    <n v="500"/>
    <n v="2700"/>
    <n v="1000"/>
    <d v="2025-03-03T00:00:00"/>
    <n v="1700"/>
    <m/>
    <d v="2025-04-03T00:00:00"/>
    <n v="1700"/>
    <m/>
    <d v="2025-05-03T00:00:00"/>
    <n v="1700"/>
    <m/>
    <d v="2025-06-03T00:00:00"/>
    <n v="1700"/>
    <m/>
    <d v="2025-07-03T00:00:00"/>
    <n v="1700"/>
    <s v=""/>
    <s v=""/>
    <s v=""/>
    <n v="1000"/>
    <n v="1700"/>
    <s v="Unpaid"/>
    <s v="Q"/>
    <x v="1"/>
  </r>
  <r>
    <n v="261"/>
    <n v="261"/>
    <s v="EMCE836314@emaxindia.in"/>
    <s v="phulwati@1996"/>
    <s v="EMCE836314"/>
    <x v="187"/>
    <x v="11"/>
    <x v="11"/>
    <x v="1"/>
    <x v="2"/>
    <x v="1"/>
    <s v="04:30 PM to 06:00 PM"/>
    <x v="0"/>
    <s v="Phulwati Lakra"/>
    <d v="1996-12-16T00:00:00"/>
    <s v="Naresh Lakra"/>
    <s v="Shakuntala"/>
    <x v="1"/>
    <x v="0"/>
    <s v="Qr. No. 13/B, Street No. - 16, Sector - 04, Bhilai, Dist - Durg, Chhattisgarh, Pin - 490001"/>
    <x v="1"/>
    <n v="6854312189"/>
    <s v="phulwatilakr654@gmail.com"/>
    <s v="12TH PASS"/>
    <s v="YES"/>
    <s v="Issue"/>
    <n v="2500"/>
    <n v="200"/>
    <n v="500"/>
    <n v="0"/>
    <n v="3200"/>
    <n v="1000"/>
    <d v="2025-03-11T00:00:00"/>
    <n v="2200"/>
    <m/>
    <d v="2025-04-11T00:00:00"/>
    <n v="2200"/>
    <m/>
    <d v="2025-05-11T00:00:00"/>
    <n v="2200"/>
    <m/>
    <d v="2025-06-11T00:00:00"/>
    <n v="2200"/>
    <m/>
    <d v="2025-07-11T00:00:00"/>
    <n v="2200"/>
    <s v=""/>
    <s v=""/>
    <s v=""/>
    <n v="1000"/>
    <n v="2200"/>
    <s v="Unpaid"/>
    <s v="Q"/>
    <x v="1"/>
  </r>
  <r>
    <n v="262"/>
    <n v="262"/>
    <s v="EMCE859541@emaxindia.in"/>
    <s v="shrikant@2007"/>
    <s v="EMCE859541"/>
    <x v="188"/>
    <x v="9"/>
    <x v="9"/>
    <x v="1"/>
    <x v="2"/>
    <x v="1"/>
    <s v="04:30 PM to 06:00 PM"/>
    <x v="0"/>
    <s v="Shrikant Kujur"/>
    <d v="2007-05-06T00:00:00"/>
    <s v="Brijlal Kujur"/>
    <s v="Laxmi"/>
    <x v="0"/>
    <x v="1"/>
    <s v="Qrt. No. 30/A, Street No. - 08, Sector - 01, Bhilai, Dist - Durg, Chhattisgarh, Pin - 490001"/>
    <x v="17"/>
    <n v="6257076974"/>
    <s v="shrikantkuju708@gmail.com"/>
    <s v="12TH PASS"/>
    <s v="YES"/>
    <s v="Issue"/>
    <n v="2000"/>
    <n v="200"/>
    <n v="300"/>
    <n v="200"/>
    <n v="2300"/>
    <n v="500"/>
    <d v="2025-03-12T00:00:00"/>
    <n v="1800"/>
    <n v="500"/>
    <d v="2025-04-12T00:00:00"/>
    <n v="1300"/>
    <n v="500"/>
    <d v="2025-05-12T00:00:00"/>
    <n v="800"/>
    <n v="500"/>
    <d v="2025-06-12T00:00:00"/>
    <n v="300"/>
    <n v="300"/>
    <d v="2025-07-12T00:00:00"/>
    <n v="0"/>
    <s v=""/>
    <s v=""/>
    <s v=""/>
    <n v="2300"/>
    <n v="0"/>
    <s v="Paid"/>
    <s v="R"/>
    <x v="0"/>
  </r>
  <r>
    <n v="263"/>
    <n v="263"/>
    <s v="EMCE874576@emaxindia.in"/>
    <s v="yash@1993"/>
    <s v="EMCE874576"/>
    <x v="189"/>
    <x v="0"/>
    <x v="0"/>
    <x v="0"/>
    <x v="3"/>
    <x v="0"/>
    <s v="11:30 AM to 12:45 PM"/>
    <x v="1"/>
    <s v="Yash Tirkey"/>
    <d v="1993-06-23T00:00:00"/>
    <s v="Puran Lal Tirkey"/>
    <s v="Saroj"/>
    <x v="0"/>
    <x v="0"/>
    <s v="Qtr. No. 1/A, Street No. - 17, Sector - 02, Bhilai, Dist - Durg, Chhattisgarh, Pin - 490001"/>
    <x v="2"/>
    <n v="8307686357"/>
    <s v="yashtirk8950@gmail.com"/>
    <s v="10TH PASS"/>
    <s v="YES"/>
    <s v="Issue"/>
    <n v="12500"/>
    <n v="200"/>
    <n v="1200"/>
    <n v="0"/>
    <n v="13900"/>
    <n v="5000"/>
    <d v="2025-03-18T00:00:00"/>
    <n v="8900"/>
    <n v="3000"/>
    <d v="2025-04-18T00:00:00"/>
    <n v="5900"/>
    <n v="3000"/>
    <d v="2025-05-18T00:00:00"/>
    <n v="2900"/>
    <n v="1000"/>
    <d v="2025-06-18T00:00:00"/>
    <n v="1900"/>
    <n v="1000"/>
    <d v="2025-07-18T00:00:00"/>
    <n v="900"/>
    <n v="900"/>
    <d v="2025-08-18T00:00:00"/>
    <n v="0"/>
    <n v="13900"/>
    <n v="0"/>
    <s v="Paid"/>
    <s v="R"/>
    <x v="0"/>
  </r>
  <r>
    <n v="264"/>
    <n v="264"/>
    <s v="EMCE876950@emaxindia.in"/>
    <s v="sanjay@2005"/>
    <s v="EMCE876950"/>
    <x v="190"/>
    <x v="10"/>
    <x v="10"/>
    <x v="1"/>
    <x v="2"/>
    <x v="1"/>
    <s v="12:45 PM to 2:30 PM"/>
    <x v="2"/>
    <s v="Sanjay Dhruw"/>
    <d v="2005-07-01T00:00:00"/>
    <s v="Narendra Kumar Dhruw"/>
    <s v="Sarlabai"/>
    <x v="0"/>
    <x v="2"/>
    <s v="Quarter No. 21/D, Street - 25, Sector - 10, Bhilai, Dist - Durg, Chhattisgarh, Pin - 490006"/>
    <x v="6"/>
    <n v="7989331263"/>
    <s v="sanjaydhru5638@gmail.com"/>
    <s v="B.SC."/>
    <s v="YES"/>
    <s v="Issue"/>
    <n v="3000"/>
    <n v="200"/>
    <n v="500"/>
    <n v="500"/>
    <n v="3200"/>
    <n v="1000"/>
    <d v="2025-03-21T00:00:00"/>
    <n v="2200"/>
    <n v="1000"/>
    <d v="2025-04-21T00:00:00"/>
    <n v="1200"/>
    <n v="500"/>
    <d v="2025-05-21T00:00:00"/>
    <n v="700"/>
    <n v="500"/>
    <d v="2025-06-21T00:00:00"/>
    <n v="200"/>
    <n v="200"/>
    <d v="2025-07-21T00:00:00"/>
    <n v="0"/>
    <s v=""/>
    <s v=""/>
    <s v=""/>
    <n v="3200"/>
    <n v="0"/>
    <s v="Paid"/>
    <s v="R"/>
    <x v="0"/>
  </r>
  <r>
    <n v="265"/>
    <n v="265"/>
    <s v="EMCE884709@emaxindia.in"/>
    <s v="sumitra@1994"/>
    <s v="EMCE884709"/>
    <x v="190"/>
    <x v="8"/>
    <x v="8"/>
    <x v="0"/>
    <x v="2"/>
    <x v="2"/>
    <s v="12:45 PM to 2:30 PM"/>
    <x v="2"/>
    <s v="Sumitra Minj"/>
    <d v="1994-10-20T00:00:00"/>
    <s v="Ghasiya Minj"/>
    <s v="Ramkunwari"/>
    <x v="1"/>
    <x v="0"/>
    <s v="Qrt. No. 17/F, Street No. - 02, Sector - 01, Bhilai, Dist - Durg, Chhattisgarh, Pin - 490001"/>
    <x v="17"/>
    <n v="8917872879"/>
    <s v="sumitraminj6674@gmail.com"/>
    <s v="10TH PASS"/>
    <s v="YES"/>
    <s v="Issue"/>
    <n v="6000"/>
    <n v="200"/>
    <n v="800"/>
    <n v="0"/>
    <n v="7000"/>
    <n v="2500"/>
    <d v="2025-03-21T00:00:00"/>
    <n v="4500"/>
    <n v="1000"/>
    <d v="2025-04-21T00:00:00"/>
    <n v="3500"/>
    <n v="1000"/>
    <d v="2025-05-21T00:00:00"/>
    <n v="2500"/>
    <n v="1000"/>
    <d v="2025-06-21T00:00:00"/>
    <n v="1500"/>
    <n v="1000"/>
    <d v="2025-07-21T00:00:00"/>
    <n v="500"/>
    <n v="500"/>
    <d v="2025-08-21T00:00:00"/>
    <n v="0"/>
    <n v="7000"/>
    <n v="0"/>
    <s v="Paid"/>
    <s v="R"/>
    <x v="0"/>
  </r>
  <r>
    <n v="266"/>
    <n v="266"/>
    <s v="EMCE828012@emaxindia.in"/>
    <s v="reena@1994"/>
    <s v="EMCE828012"/>
    <x v="191"/>
    <x v="10"/>
    <x v="10"/>
    <x v="1"/>
    <x v="2"/>
    <x v="1"/>
    <s v="01:00 PM to 03:00 PM"/>
    <x v="3"/>
    <s v="Reena Rath"/>
    <d v="1994-03-18T00:00:00"/>
    <s v="Ganesh Rath"/>
    <s v="Kavita"/>
    <x v="0"/>
    <x v="0"/>
    <s v="Quarter No. 2/C, Street - 21, Sector - 10, Bhilai, Dist - Durg, Chhattisgarh, Pin - 490006"/>
    <x v="6"/>
    <n v="8127803613"/>
    <s v="reenarath9385@gmail.com"/>
    <s v="DIPLOMA"/>
    <s v="YES"/>
    <s v="Issue"/>
    <n v="3000"/>
    <n v="200"/>
    <n v="500"/>
    <n v="300"/>
    <n v="3400"/>
    <n v="1000"/>
    <d v="2025-03-22T00:00:00"/>
    <n v="2400"/>
    <n v="1000"/>
    <d v="2025-04-22T00:00:00"/>
    <n v="1400"/>
    <n v="500"/>
    <d v="2025-05-22T00:00:00"/>
    <n v="900"/>
    <n v="500"/>
    <d v="2025-06-22T00:00:00"/>
    <n v="400"/>
    <n v="400"/>
    <d v="2025-07-22T00:00:00"/>
    <n v="0"/>
    <s v=""/>
    <s v=""/>
    <s v=""/>
    <n v="3400"/>
    <n v="0"/>
    <s v="Paid"/>
    <s v="R"/>
    <x v="0"/>
  </r>
  <r>
    <n v="267"/>
    <n v="267"/>
    <s v="EMCE837985@emaxindia.in"/>
    <s v="devyani@2005"/>
    <s v="EMCE837985"/>
    <x v="191"/>
    <x v="12"/>
    <x v="12"/>
    <x v="0"/>
    <x v="2"/>
    <x v="2"/>
    <s v="11:30 AM to 12:45 PM"/>
    <x v="1"/>
    <s v="Devyani Saini"/>
    <d v="2005-04-12T00:00:00"/>
    <s v="Govind Prasad Saini"/>
    <s v="Kiran"/>
    <x v="0"/>
    <x v="2"/>
    <s v="House No. - 238, Ward - 19, Smriti Nagar, Bhilai, Dist - Durg, Chhattisgarh, Pin - 490020"/>
    <x v="14"/>
    <n v="9367528193"/>
    <s v="devyanisain7174@gmail.com"/>
    <s v="GRADUATE"/>
    <s v="YES"/>
    <s v="Issue"/>
    <n v="8000"/>
    <n v="200"/>
    <n v="1000"/>
    <n v="300"/>
    <n v="8900"/>
    <n v="2500"/>
    <d v="2025-03-22T00:00:00"/>
    <n v="6400"/>
    <n v="3000"/>
    <d v="2025-04-22T00:00:00"/>
    <n v="3400"/>
    <n v="1000"/>
    <d v="2025-05-22T00:00:00"/>
    <n v="2400"/>
    <n v="1000"/>
    <d v="2025-06-22T00:00:00"/>
    <n v="1400"/>
    <n v="1000"/>
    <d v="2025-07-22T00:00:00"/>
    <n v="400"/>
    <n v="400"/>
    <d v="2025-08-22T00:00:00"/>
    <n v="0"/>
    <n v="8900"/>
    <n v="0"/>
    <s v="Paid"/>
    <s v="R"/>
    <x v="0"/>
  </r>
  <r>
    <n v="268"/>
    <n v="268"/>
    <s v="EMCE846820@emaxindia.in"/>
    <s v="kamlesh@1991"/>
    <s v="EMCE846820"/>
    <x v="192"/>
    <x v="8"/>
    <x v="8"/>
    <x v="0"/>
    <x v="2"/>
    <x v="2"/>
    <s v="10:30 AM to 12:00 PM"/>
    <x v="1"/>
    <s v="Kamlesh Sidar"/>
    <d v="1991-06-23T00:00:00"/>
    <s v="Vijay Kumar Sidar"/>
    <s v="Ramkunwari"/>
    <x v="0"/>
    <x v="0"/>
    <s v="Block - 15/C, Street - 20, Sector - 04, Bhilai, Dist - Durg, Chhattisgarh, Pin - 490001"/>
    <x v="1"/>
    <n v="6348884063"/>
    <s v="kamleshsida6214@gmail.com"/>
    <s v="GRADUATE"/>
    <s v="YES"/>
    <s v="Issue"/>
    <n v="6000"/>
    <n v="200"/>
    <n v="800"/>
    <n v="300"/>
    <n v="6700"/>
    <n v="2500"/>
    <d v="2025-03-23T00:00:00"/>
    <n v="4200"/>
    <n v="1000"/>
    <d v="2025-04-23T00:00:00"/>
    <n v="3200"/>
    <n v="1000"/>
    <d v="2025-05-23T00:00:00"/>
    <n v="2200"/>
    <n v="1000"/>
    <d v="2025-06-23T00:00:00"/>
    <n v="1200"/>
    <n v="1000"/>
    <d v="2025-07-23T00:00:00"/>
    <n v="200"/>
    <n v="200"/>
    <d v="2025-08-23T00:00:00"/>
    <n v="0"/>
    <n v="6700"/>
    <n v="0"/>
    <s v="Paid"/>
    <s v="R"/>
    <x v="0"/>
  </r>
  <r>
    <n v="269"/>
    <n v="269"/>
    <s v="EMCE853691@emaxindia.in"/>
    <s v="govind@1992"/>
    <s v="EMCE853691"/>
    <x v="193"/>
    <x v="1"/>
    <x v="1"/>
    <x v="1"/>
    <x v="2"/>
    <x v="1"/>
    <s v="10:30 AM to 12:00 PM"/>
    <x v="1"/>
    <s v="Govind Patel"/>
    <d v="1992-07-12T00:00:00"/>
    <s v="Ghasiya Patel"/>
    <s v="Usha"/>
    <x v="0"/>
    <x v="0"/>
    <s v="House No. - 921, Ward - 22, Supela, Bhilai, Dist - Durg, Chhattisgarh, Pin - 490023"/>
    <x v="13"/>
    <n v="7426290561"/>
    <s v="govindpate4906@gmail.com"/>
    <s v="GRADUATE"/>
    <s v="YES"/>
    <s v="Issue"/>
    <n v="3000"/>
    <n v="200"/>
    <n v="500"/>
    <n v="0"/>
    <n v="3700"/>
    <n v="1000"/>
    <d v="2025-03-24T00:00:00"/>
    <n v="2700"/>
    <n v="1000"/>
    <d v="2025-04-24T00:00:00"/>
    <n v="1700"/>
    <n v="500"/>
    <d v="2025-05-24T00:00:00"/>
    <n v="1200"/>
    <n v="500"/>
    <d v="2025-06-24T00:00:00"/>
    <n v="700"/>
    <n v="500"/>
    <d v="2025-07-24T00:00:00"/>
    <n v="200"/>
    <n v="200"/>
    <d v="2025-08-24T00:00:00"/>
    <n v="0"/>
    <n v="3700"/>
    <n v="0"/>
    <s v="Paid"/>
    <s v="R"/>
    <x v="0"/>
  </r>
  <r>
    <n v="270"/>
    <n v="270"/>
    <s v="EMCE837443@emaxindia.in"/>
    <s v="leena@2007"/>
    <s v="EMCE837443"/>
    <x v="194"/>
    <x v="2"/>
    <x v="2"/>
    <x v="0"/>
    <x v="2"/>
    <x v="2"/>
    <s v="10:30 AM to 12:00 PM"/>
    <x v="1"/>
    <s v="Leena Ekka"/>
    <d v="2007-09-06T00:00:00"/>
    <s v="Kedarnath Ekka"/>
    <s v="Kiran"/>
    <x v="0"/>
    <x v="0"/>
    <s v="House No. - 628, Vaishali Nagar, Bhilai, Dist - Durg, Chhattisgarh, Pin - 490020"/>
    <x v="5"/>
    <n v="7108069568"/>
    <s v="leenaekka8708@gmail.com"/>
    <s v="B.SC."/>
    <s v="YES"/>
    <s v="Issue"/>
    <n v="7000"/>
    <n v="200"/>
    <n v="800"/>
    <n v="0"/>
    <n v="8000"/>
    <n v="2500"/>
    <d v="2025-04-04T00:00:00"/>
    <n v="5500"/>
    <n v="3000"/>
    <d v="2025-05-04T00:00:00"/>
    <n v="2500"/>
    <n v="1000"/>
    <d v="2025-06-04T00:00:00"/>
    <n v="1500"/>
    <n v="500"/>
    <d v="2025-07-04T00:00:00"/>
    <n v="1000"/>
    <n v="1000"/>
    <d v="2025-08-04T00:00:00"/>
    <n v="0"/>
    <s v=""/>
    <s v=""/>
    <s v=""/>
    <n v="8000"/>
    <n v="0"/>
    <s v="Paid"/>
    <s v="R"/>
    <x v="0"/>
  </r>
  <r>
    <n v="271"/>
    <n v="271"/>
    <s v="EMCE879234@emaxindia.in"/>
    <s v="puran@1989"/>
    <s v="EMCE879234"/>
    <x v="194"/>
    <x v="10"/>
    <x v="10"/>
    <x v="1"/>
    <x v="2"/>
    <x v="1"/>
    <s v="04:30 PM to 06:00 PM"/>
    <x v="0"/>
    <s v="Puran Barman"/>
    <d v="1989-04-26T00:00:00"/>
    <s v="Surendra Barman"/>
    <s v="Sushila"/>
    <x v="0"/>
    <x v="0"/>
    <s v="Qr. No. 29, Bl No. 22, Street No. Emr, Sector - 04, Bhilai, Dist - Durg, Chhattisgarh, Pin - 490001"/>
    <x v="1"/>
    <n v="9917139153"/>
    <s v="puranbarm5441@gmail.com"/>
    <s v="B.COM."/>
    <s v="YES"/>
    <s v="Issue"/>
    <n v="3000"/>
    <n v="200"/>
    <n v="500"/>
    <n v="0"/>
    <n v="3700"/>
    <n v="1000"/>
    <d v="2025-04-04T00:00:00"/>
    <n v="2700"/>
    <n v="1000"/>
    <d v="2025-05-04T00:00:00"/>
    <n v="1700"/>
    <n v="500"/>
    <d v="2025-06-04T00:00:00"/>
    <n v="1200"/>
    <n v="500"/>
    <d v="2025-07-04T00:00:00"/>
    <n v="700"/>
    <n v="500"/>
    <d v="2025-08-04T00:00:00"/>
    <n v="200"/>
    <n v="200"/>
    <d v="2025-09-04T00:00:00"/>
    <n v="0"/>
    <n v="3700"/>
    <n v="0"/>
    <s v="Paid"/>
    <s v="R"/>
    <x v="0"/>
  </r>
  <r>
    <n v="272"/>
    <n v="272"/>
    <s v="EMCE880792@emaxindia.in"/>
    <s v="sanjay@2000"/>
    <s v="EMCE880792"/>
    <x v="195"/>
    <x v="0"/>
    <x v="0"/>
    <x v="0"/>
    <x v="3"/>
    <x v="0"/>
    <s v="11:30 AM to 12:45 PM"/>
    <x v="1"/>
    <s v="Sanjay Koram"/>
    <d v="2000-12-14T00:00:00"/>
    <s v="Ramesh Koram"/>
    <s v="Gomati"/>
    <x v="0"/>
    <x v="3"/>
    <s v="Block - 3/B, Street - 11, Sector - 04, Bhilai, Dist - Durg, Chhattisgarh, Pin - 490001"/>
    <x v="1"/>
    <n v="9237929726"/>
    <s v="sanjaykora4184@gmail.com"/>
    <s v="ITI"/>
    <s v="YES"/>
    <s v="Issue"/>
    <n v="12500"/>
    <n v="200"/>
    <n v="1200"/>
    <n v="0"/>
    <n v="13900"/>
    <n v="5000"/>
    <d v="2025-04-07T00:00:00"/>
    <n v="8900"/>
    <n v="3000"/>
    <d v="2025-05-07T00:00:00"/>
    <n v="5900"/>
    <n v="3000"/>
    <d v="2025-06-07T00:00:00"/>
    <n v="2900"/>
    <n v="1000"/>
    <d v="2025-07-07T00:00:00"/>
    <n v="1900"/>
    <n v="1000"/>
    <d v="2025-08-07T00:00:00"/>
    <n v="900"/>
    <n v="900"/>
    <d v="2025-09-07T00:00:00"/>
    <n v="0"/>
    <n v="13900"/>
    <n v="0"/>
    <s v="Paid"/>
    <s v="R"/>
    <x v="0"/>
  </r>
  <r>
    <n v="273"/>
    <n v="273"/>
    <s v="EMCE840455@emaxindia.in"/>
    <s v="nisha@1988"/>
    <s v="EMCE840455"/>
    <x v="196"/>
    <x v="2"/>
    <x v="2"/>
    <x v="0"/>
    <x v="2"/>
    <x v="2"/>
    <s v="12:45 PM to 2:30 PM"/>
    <x v="2"/>
    <s v="Nisha Kosare"/>
    <d v="1988-10-12T00:00:00"/>
    <s v="Ganesh Kosare"/>
    <s v="Indra Bai"/>
    <x v="0"/>
    <x v="1"/>
    <s v="Qt. No. 5/A, Street No. - 17, Sector - 07, Bhilai, Dist - Durg, Chhattisgarh, Pin - 490006"/>
    <x v="19"/>
    <n v="8381754488"/>
    <s v="nishakosa2737@gmail.com"/>
    <s v="12TH PASS"/>
    <s v="YES"/>
    <s v="Issue"/>
    <n v="7000"/>
    <n v="200"/>
    <n v="800"/>
    <n v="200"/>
    <n v="7800"/>
    <n v="2500"/>
    <d v="2025-04-12T00:00:00"/>
    <n v="5300"/>
    <n v="3000"/>
    <d v="2025-05-12T00:00:00"/>
    <n v="2300"/>
    <n v="1000"/>
    <d v="2025-06-12T00:00:00"/>
    <n v="1300"/>
    <n v="500"/>
    <d v="2025-07-12T00:00:00"/>
    <n v="800"/>
    <n v="500"/>
    <d v="2025-08-12T00:00:00"/>
    <n v="300"/>
    <n v="300"/>
    <d v="2025-09-12T00:00:00"/>
    <n v="0"/>
    <n v="7800"/>
    <n v="0"/>
    <s v="Paid"/>
    <s v="R"/>
    <x v="0"/>
  </r>
  <r>
    <n v="274"/>
    <n v="274"/>
    <s v="EMCE861966@emaxindia.in"/>
    <s v="omkar@2006"/>
    <s v="EMCE861966"/>
    <x v="197"/>
    <x v="5"/>
    <x v="5"/>
    <x v="1"/>
    <x v="2"/>
    <x v="1"/>
    <s v="10:30 AM to 12:00 PM"/>
    <x v="1"/>
    <s v="Omkar Xalxo"/>
    <d v="2006-04-08T00:00:00"/>
    <s v="Shyamlal Xalxo"/>
    <s v="Tara Bai"/>
    <x v="0"/>
    <x v="2"/>
    <s v="Qtr. No. 16/D, Street No. - 24, Sector - 02, Bhilai, Dist - Durg, Chhattisgarh, Pin - 490001"/>
    <x v="2"/>
    <n v="9986352271"/>
    <s v="omkarxalx6814@gmail.com"/>
    <s v="GRADUATE"/>
    <s v="YES"/>
    <s v="Issue"/>
    <n v="2500"/>
    <n v="200"/>
    <n v="400"/>
    <n v="500"/>
    <n v="2600"/>
    <n v="1000"/>
    <d v="2025-04-13T00:00:00"/>
    <n v="1600"/>
    <n v="500"/>
    <d v="2025-05-13T00:00:00"/>
    <n v="1100"/>
    <n v="500"/>
    <d v="2025-06-13T00:00:00"/>
    <n v="600"/>
    <n v="500"/>
    <d v="2025-07-13T00:00:00"/>
    <n v="100"/>
    <n v="100"/>
    <d v="2025-08-13T00:00:00"/>
    <n v="0"/>
    <s v=""/>
    <s v=""/>
    <s v=""/>
    <n v="2600"/>
    <n v="0"/>
    <s v="Paid"/>
    <s v="R"/>
    <x v="0"/>
  </r>
  <r>
    <n v="275"/>
    <n v="275"/>
    <s v="EMCE842359@emaxindia.in"/>
    <s v="poonam@2005"/>
    <s v="EMCE842359"/>
    <x v="198"/>
    <x v="3"/>
    <x v="3"/>
    <x v="1"/>
    <x v="2"/>
    <x v="1"/>
    <s v="04:30 PM to 06:00 PM"/>
    <x v="0"/>
    <s v="Poonam Chandrakar"/>
    <d v="2005-05-16T00:00:00"/>
    <s v="Brijlal Chandrakar"/>
    <s v="Chandrabai"/>
    <x v="0"/>
    <x v="0"/>
    <s v="Qrt. No. 13/A, Street No. - 25, Sector - 01, Bhilai, Dist - Durg, Chhattisgarh, Pin - 490001"/>
    <x v="17"/>
    <n v="7246882897"/>
    <s v="poonamchan2867@gmail.com"/>
    <s v="B.A."/>
    <s v="YES"/>
    <s v="Issue"/>
    <n v="3000"/>
    <n v="200"/>
    <n v="300"/>
    <n v="300"/>
    <n v="3200"/>
    <n v="1000"/>
    <d v="2025-04-15T00:00:00"/>
    <n v="2200"/>
    <n v="1000"/>
    <d v="2025-05-15T00:00:00"/>
    <n v="1200"/>
    <n v="500"/>
    <d v="2025-06-15T00:00:00"/>
    <n v="700"/>
    <n v="500"/>
    <d v="2025-07-15T00:00:00"/>
    <n v="200"/>
    <n v="200"/>
    <d v="2025-08-15T00:00:00"/>
    <n v="0"/>
    <s v=""/>
    <s v=""/>
    <s v=""/>
    <n v="3200"/>
    <n v="0"/>
    <s v="Paid"/>
    <s v="R"/>
    <x v="0"/>
  </r>
  <r>
    <n v="276"/>
    <n v="276"/>
    <s v="EMCE866936@emaxindia.in"/>
    <s v="kalpana@1999"/>
    <s v="EMCE866936"/>
    <x v="199"/>
    <x v="3"/>
    <x v="3"/>
    <x v="1"/>
    <x v="2"/>
    <x v="1"/>
    <s v="04:30 PM to 06:00 PM"/>
    <x v="0"/>
    <s v="Kalpana Toppo"/>
    <d v="1999-03-25T00:00:00"/>
    <s v="Hari Prasad Toppo"/>
    <s v="Durga Bai"/>
    <x v="0"/>
    <x v="2"/>
    <s v="House No. - 767, Ward - 18, Camp - 02, Bhilai, Dist - Durg, Chhattisgarh, Pin - 490001"/>
    <x v="9"/>
    <n v="8395036208"/>
    <s v="kalpanatopp3778@gmail.com"/>
    <s v="BCA"/>
    <s v="YES"/>
    <s v="Issue"/>
    <n v="3000"/>
    <n v="200"/>
    <n v="300"/>
    <n v="300"/>
    <n v="3200"/>
    <n v="1000"/>
    <d v="2025-04-18T00:00:00"/>
    <n v="2200"/>
    <n v="1000"/>
    <d v="2025-05-18T00:00:00"/>
    <n v="1200"/>
    <n v="500"/>
    <d v="2025-06-18T00:00:00"/>
    <n v="700"/>
    <n v="500"/>
    <d v="2025-07-18T00:00:00"/>
    <n v="200"/>
    <n v="200"/>
    <d v="2025-08-18T00:00:00"/>
    <n v="0"/>
    <s v=""/>
    <s v=""/>
    <s v=""/>
    <n v="3200"/>
    <n v="0"/>
    <s v="Paid"/>
    <s v="R"/>
    <x v="0"/>
  </r>
  <r>
    <n v="277"/>
    <n v="277"/>
    <s v="EMCE856070@emaxindia.in"/>
    <s v="prashant@2005"/>
    <s v="EMCE856070"/>
    <x v="200"/>
    <x v="2"/>
    <x v="2"/>
    <x v="0"/>
    <x v="2"/>
    <x v="2"/>
    <s v="11:30 AM to 12:45 PM"/>
    <x v="1"/>
    <s v="Prashant Baghel"/>
    <d v="2005-02-03T00:00:00"/>
    <s v="Dinesh Baghel"/>
    <s v="Sunita"/>
    <x v="0"/>
    <x v="3"/>
    <s v="House No. - 159, Vaishali Nagar, Bhilai, Dist - Durg, Chhattisgarh, Pin - 490020"/>
    <x v="5"/>
    <n v="9997800109"/>
    <s v="prashantbagh4368@gmail.com"/>
    <s v="BCA"/>
    <s v="YES"/>
    <s v="Issue"/>
    <n v="7000"/>
    <n v="200"/>
    <n v="800"/>
    <n v="300"/>
    <n v="7700"/>
    <n v="2500"/>
    <d v="2025-04-19T00:00:00"/>
    <n v="5200"/>
    <n v="3000"/>
    <d v="2025-05-19T00:00:00"/>
    <n v="2200"/>
    <n v="1000"/>
    <d v="2025-06-19T00:00:00"/>
    <n v="1200"/>
    <n v="500"/>
    <d v="2025-07-19T00:00:00"/>
    <n v="700"/>
    <n v="500"/>
    <d v="2025-08-19T00:00:00"/>
    <n v="200"/>
    <n v="200"/>
    <d v="2025-09-19T00:00:00"/>
    <n v="0"/>
    <n v="7700"/>
    <n v="0"/>
    <s v="Paid"/>
    <s v="R"/>
    <x v="0"/>
  </r>
  <r>
    <n v="278"/>
    <n v="278"/>
    <s v="EMCE862311@emaxindia.in"/>
    <s v="rahul@1997"/>
    <s v="EMCE862311"/>
    <x v="201"/>
    <x v="2"/>
    <x v="2"/>
    <x v="0"/>
    <x v="2"/>
    <x v="2"/>
    <s v="01:00 PM to 03:00 PM"/>
    <x v="3"/>
    <s v="Rahul Uike"/>
    <d v="1997-09-05T00:00:00"/>
    <s v="Anil Kumar Uike"/>
    <s v="Sarojini"/>
    <x v="1"/>
    <x v="3"/>
    <s v="House No. - 324, Vaishali Nagar, Bhilai, Dist - Durg, Chhattisgarh, Pin - 490020"/>
    <x v="5"/>
    <n v="7366286090"/>
    <s v="rahuluike9730@gmail.com"/>
    <s v="12TH PASS"/>
    <s v="YES"/>
    <s v="Issue"/>
    <n v="7000"/>
    <n v="200"/>
    <n v="800"/>
    <n v="0"/>
    <n v="8000"/>
    <n v="2500"/>
    <d v="2025-04-25T00:00:00"/>
    <n v="5500"/>
    <n v="3000"/>
    <d v="2025-05-25T00:00:00"/>
    <n v="2500"/>
    <n v="1000"/>
    <d v="2025-06-25T00:00:00"/>
    <n v="1500"/>
    <n v="500"/>
    <d v="2025-07-25T00:00:00"/>
    <n v="1000"/>
    <n v="1000"/>
    <d v="2025-08-25T00:00:00"/>
    <n v="0"/>
    <s v=""/>
    <s v=""/>
    <s v=""/>
    <n v="8000"/>
    <n v="0"/>
    <s v="Paid"/>
    <s v="R"/>
    <x v="0"/>
  </r>
  <r>
    <n v="279"/>
    <n v="279"/>
    <s v="EMCE876316@emaxindia.in"/>
    <s v="ramesh@1991"/>
    <s v="EMCE876316"/>
    <x v="201"/>
    <x v="9"/>
    <x v="9"/>
    <x v="1"/>
    <x v="2"/>
    <x v="1"/>
    <s v="04:30 PM to 06:00 PM"/>
    <x v="0"/>
    <s v="Ramesh Rajput"/>
    <d v="1991-04-08T00:00:00"/>
    <s v="Sohan Lal Rajput"/>
    <s v="Sangeeta"/>
    <x v="0"/>
    <x v="0"/>
    <s v="Qrt. No. 28/A, Street No. - 16, Sector - 01, Bhilai, Dist - Durg, Chhattisgarh, Pin - 490001"/>
    <x v="17"/>
    <n v="9858087180"/>
    <s v="rameshrajp2974@gmail.com"/>
    <s v="ITI"/>
    <s v="YES"/>
    <s v="Issue"/>
    <n v="2000"/>
    <n v="200"/>
    <n v="300"/>
    <n v="200"/>
    <n v="2300"/>
    <n v="500"/>
    <d v="2025-04-25T00:00:00"/>
    <n v="1800"/>
    <n v="500"/>
    <d v="2025-05-25T00:00:00"/>
    <n v="1300"/>
    <n v="500"/>
    <d v="2025-06-25T00:00:00"/>
    <n v="800"/>
    <n v="500"/>
    <d v="2025-07-25T00:00:00"/>
    <n v="300"/>
    <n v="300"/>
    <d v="2025-08-25T00:00:00"/>
    <n v="0"/>
    <s v=""/>
    <s v=""/>
    <s v=""/>
    <n v="2300"/>
    <n v="0"/>
    <s v="Paid"/>
    <s v="R"/>
    <x v="0"/>
  </r>
  <r>
    <n v="280"/>
    <n v="280"/>
    <s v="EMCE850148@emaxindia.in"/>
    <s v="hemraj@1998"/>
    <s v="EMCE850148"/>
    <x v="202"/>
    <x v="12"/>
    <x v="12"/>
    <x v="0"/>
    <x v="2"/>
    <x v="2"/>
    <s v="12:45 PM to 2:30 PM"/>
    <x v="2"/>
    <s v="Hemraj Sarvam"/>
    <d v="1998-05-14T00:00:00"/>
    <s v="Kedarnath Sarvam"/>
    <s v="Parsadi Bai"/>
    <x v="0"/>
    <x v="0"/>
    <s v="Qr. No. 22/E, Street No. - 14, Sector - 04, Bhilai, Dist - Durg, Chhattisgarh, Pin - 490001"/>
    <x v="1"/>
    <n v="7859446403"/>
    <s v="hemrajsarv9819@gmail.com"/>
    <s v="10TH PASS"/>
    <s v="YES"/>
    <s v="Issue"/>
    <n v="8000"/>
    <n v="200"/>
    <n v="1000"/>
    <n v="500"/>
    <n v="8700"/>
    <n v="2500"/>
    <d v="2025-04-27T00:00:00"/>
    <n v="6200"/>
    <n v="3000"/>
    <d v="2025-05-27T00:00:00"/>
    <n v="3200"/>
    <n v="1000"/>
    <d v="2025-06-27T00:00:00"/>
    <n v="2200"/>
    <n v="1000"/>
    <d v="2025-07-27T00:00:00"/>
    <n v="1200"/>
    <n v="1000"/>
    <d v="2025-08-27T00:00:00"/>
    <n v="200"/>
    <n v="200"/>
    <d v="2025-09-27T00:00:00"/>
    <n v="0"/>
    <n v="8700"/>
    <n v="0"/>
    <s v="Paid"/>
    <s v="R"/>
    <x v="0"/>
  </r>
  <r>
    <n v="281"/>
    <n v="281"/>
    <s v="EMCE864081@emaxindia.in"/>
    <s v="nikhil@1996"/>
    <s v="EMCE864081"/>
    <x v="203"/>
    <x v="0"/>
    <x v="0"/>
    <x v="0"/>
    <x v="3"/>
    <x v="0"/>
    <s v="12:45 PM to 2:30 PM"/>
    <x v="2"/>
    <s v="Nikhil Mali"/>
    <d v="1996-07-08T00:00:00"/>
    <s v="Hari Prasad Mali"/>
    <s v="Lalita"/>
    <x v="0"/>
    <x v="0"/>
    <s v="Qr. No. 10, Bl No. 16, Street No. Emr, Sector - 04, Bhilai, Dist - Durg, Chhattisgarh, Pin - 490001"/>
    <x v="1"/>
    <n v="8527130552"/>
    <s v="nikhilmali6693@gmail.com"/>
    <s v="10TH PASS"/>
    <s v="YES"/>
    <s v="Issue"/>
    <n v="12500"/>
    <n v="200"/>
    <n v="1200"/>
    <n v="300"/>
    <n v="13600"/>
    <n v="5000"/>
    <d v="2025-04-29T00:00:00"/>
    <n v="8600"/>
    <n v="3000"/>
    <d v="2025-05-29T00:00:00"/>
    <n v="5600"/>
    <n v="3000"/>
    <d v="2025-06-29T00:00:00"/>
    <n v="2600"/>
    <n v="1000"/>
    <d v="2025-07-29T00:00:00"/>
    <n v="1600"/>
    <n v="1000"/>
    <d v="2025-08-29T00:00:00"/>
    <n v="600"/>
    <n v="600"/>
    <d v="2025-09-29T00:00:00"/>
    <n v="0"/>
    <n v="13600"/>
    <n v="0"/>
    <s v="Paid"/>
    <s v="R"/>
    <x v="0"/>
  </r>
  <r>
    <n v="282"/>
    <n v="282"/>
    <s v="EMCE882253@emaxindia.in"/>
    <s v="pramila@2001"/>
    <s v="EMCE882253"/>
    <x v="204"/>
    <x v="5"/>
    <x v="5"/>
    <x v="1"/>
    <x v="2"/>
    <x v="1"/>
    <s v="12:45 PM to 2:30 PM"/>
    <x v="2"/>
    <s v="Pramila Meshram"/>
    <d v="2001-04-16T00:00:00"/>
    <s v="Ganesh Meshram"/>
    <s v="Parsadi Bai"/>
    <x v="0"/>
    <x v="0"/>
    <s v="Qr. No. 2, Bl No. 11, Street No. Emr, Sector - 04, Bhilai, Dist - Durg, Chhattisgarh, Pin - 490001"/>
    <x v="1"/>
    <n v="6459243444"/>
    <s v="pramilamesh6132@gmail.com"/>
    <s v="10TH PASS"/>
    <s v="YES"/>
    <s v="Issue"/>
    <n v="2500"/>
    <n v="200"/>
    <n v="400"/>
    <n v="300"/>
    <n v="2800"/>
    <n v="1000"/>
    <d v="2025-05-02T00:00:00"/>
    <n v="1800"/>
    <n v="500"/>
    <d v="2025-06-02T00:00:00"/>
    <n v="1300"/>
    <n v="500"/>
    <d v="2025-07-02T00:00:00"/>
    <n v="800"/>
    <n v="500"/>
    <d v="2025-08-02T00:00:00"/>
    <n v="300"/>
    <n v="300"/>
    <d v="2025-09-02T00:00:00"/>
    <n v="0"/>
    <s v=""/>
    <s v=""/>
    <s v=""/>
    <n v="2800"/>
    <n v="0"/>
    <s v="Paid"/>
    <s v="R"/>
    <x v="0"/>
  </r>
  <r>
    <n v="283"/>
    <n v="283"/>
    <s v="EMCE865424@emaxindia.in"/>
    <s v="pramod@1998"/>
    <s v="EMCE865424"/>
    <x v="205"/>
    <x v="3"/>
    <x v="3"/>
    <x v="1"/>
    <x v="2"/>
    <x v="1"/>
    <s v="01:00 PM to 03:00 PM"/>
    <x v="3"/>
    <s v="Pramod Koram"/>
    <d v="1998-11-16T00:00:00"/>
    <s v="Surendra Koram"/>
    <s v="Janki Bai"/>
    <x v="0"/>
    <x v="0"/>
    <s v="House No. - 726, Ward - 21, Nehru Nagar, Bhilai, Dist - Durg, Chhattisgarh, Pin - 490020"/>
    <x v="3"/>
    <n v="9886362827"/>
    <s v="pramodkora8569@gmail.com"/>
    <s v="12TH PASS"/>
    <s v="YES"/>
    <s v="Issue"/>
    <n v="3000"/>
    <n v="200"/>
    <n v="300"/>
    <n v="0"/>
    <n v="3500"/>
    <n v="1000"/>
    <d v="2025-05-12T00:00:00"/>
    <n v="2500"/>
    <n v="1000"/>
    <d v="2025-06-12T00:00:00"/>
    <n v="1500"/>
    <n v="500"/>
    <d v="2025-07-12T00:00:00"/>
    <n v="1000"/>
    <n v="500"/>
    <d v="2025-08-12T00:00:00"/>
    <n v="500"/>
    <n v="500"/>
    <d v="2025-09-12T00:00:00"/>
    <n v="0"/>
    <s v=""/>
    <s v=""/>
    <s v=""/>
    <n v="3500"/>
    <n v="0"/>
    <s v="Paid"/>
    <s v="R"/>
    <x v="0"/>
  </r>
  <r>
    <n v="284"/>
    <n v="284"/>
    <s v="EMCE886166@emaxindia.in"/>
    <s v="brijlal@1989"/>
    <s v="EMCE886166"/>
    <x v="205"/>
    <x v="4"/>
    <x v="4"/>
    <x v="0"/>
    <x v="3"/>
    <x v="0"/>
    <s v="10:30 AM to 12:00 PM"/>
    <x v="1"/>
    <s v="Brijlal Nayak"/>
    <d v="1989-07-03T00:00:00"/>
    <s v="Ghasiya Nayak"/>
    <s v="Sushila"/>
    <x v="0"/>
    <x v="1"/>
    <s v="House No. - 673, Ward - 07, Nehru Nagar, Bhilai, Dist - Durg, Chhattisgarh, Pin - 490020"/>
    <x v="3"/>
    <n v="6648847208"/>
    <s v="brijlalnaya9238@gmail.com"/>
    <s v="GRADUATE"/>
    <s v="YES"/>
    <s v="Issue"/>
    <n v="15000"/>
    <n v="200"/>
    <n v="1200"/>
    <n v="0"/>
    <n v="16400"/>
    <n v="5000"/>
    <d v="2025-05-12T00:00:00"/>
    <n v="11400"/>
    <n v="3000"/>
    <d v="2025-06-12T00:00:00"/>
    <n v="8400"/>
    <n v="3000"/>
    <d v="2025-07-12T00:00:00"/>
    <n v="5400"/>
    <n v="3000"/>
    <d v="2025-08-12T00:00:00"/>
    <n v="2400"/>
    <n v="2000"/>
    <d v="2025-09-12T00:00:00"/>
    <n v="400"/>
    <n v="400"/>
    <d v="2025-10-12T00:00:00"/>
    <n v="0"/>
    <n v="16400"/>
    <n v="0"/>
    <s v="Paid"/>
    <s v="R"/>
    <x v="2"/>
  </r>
  <r>
    <n v="285"/>
    <n v="285"/>
    <s v="EMCE849876@emaxindia.in"/>
    <s v="nalini@2001"/>
    <s v="EMCE849876"/>
    <x v="206"/>
    <x v="1"/>
    <x v="1"/>
    <x v="1"/>
    <x v="2"/>
    <x v="1"/>
    <s v="10:30 AM to 12:00 PM"/>
    <x v="1"/>
    <s v="Nalini Khobragade"/>
    <d v="2001-03-03T00:00:00"/>
    <s v="Ghasiya Khobragade"/>
    <s v="Pushpa"/>
    <x v="0"/>
    <x v="0"/>
    <s v="Qrt. No. 11/C, Street No. - 20, Sector - 01, Bhilai, Dist - Durg, Chhattisgarh, Pin - 490001"/>
    <x v="17"/>
    <n v="6249848019"/>
    <s v="nalinikhob4305@gmail.com"/>
    <s v="POST GRADUATE"/>
    <s v="YES"/>
    <s v="Issue"/>
    <n v="3000"/>
    <n v="200"/>
    <n v="500"/>
    <n v="500"/>
    <n v="3200"/>
    <n v="1000"/>
    <d v="2025-05-13T00:00:00"/>
    <n v="2200"/>
    <n v="1000"/>
    <d v="2025-06-13T00:00:00"/>
    <n v="1200"/>
    <n v="500"/>
    <d v="2025-07-13T00:00:00"/>
    <n v="700"/>
    <n v="500"/>
    <d v="2025-08-13T00:00:00"/>
    <n v="200"/>
    <n v="200"/>
    <d v="2025-09-13T00:00:00"/>
    <n v="0"/>
    <s v=""/>
    <s v=""/>
    <s v=""/>
    <n v="3200"/>
    <n v="0"/>
    <s v="Paid"/>
    <s v="R"/>
    <x v="0"/>
  </r>
  <r>
    <n v="286"/>
    <n v="286"/>
    <s v="EMCE858942@emaxindia.in"/>
    <s v="nitin@1989"/>
    <s v="EMCE858942"/>
    <x v="206"/>
    <x v="10"/>
    <x v="10"/>
    <x v="1"/>
    <x v="2"/>
    <x v="1"/>
    <s v="11:30 AM to 12:45 PM"/>
    <x v="1"/>
    <s v="Nitin Usendi"/>
    <d v="1989-05-07T00:00:00"/>
    <s v="Mahesh Usendi"/>
    <s v="Mamta"/>
    <x v="0"/>
    <x v="2"/>
    <s v="House No. - 979, Ward - 02, Smriti Nagar, Bhilai, Dist - Durg, Chhattisgarh, Pin - 490020"/>
    <x v="14"/>
    <n v="8729861832"/>
    <s v="nitinusen7044@gmail.com"/>
    <s v="B.SC."/>
    <s v="YES"/>
    <s v="Issue"/>
    <n v="3000"/>
    <n v="200"/>
    <n v="500"/>
    <n v="500"/>
    <n v="3200"/>
    <n v="1000"/>
    <d v="2025-05-13T00:00:00"/>
    <n v="2200"/>
    <n v="1000"/>
    <d v="2025-06-13T00:00:00"/>
    <n v="1200"/>
    <n v="500"/>
    <d v="2025-07-13T00:00:00"/>
    <n v="700"/>
    <n v="500"/>
    <d v="2025-08-13T00:00:00"/>
    <n v="200"/>
    <n v="200"/>
    <d v="2025-09-13T00:00:00"/>
    <n v="0"/>
    <s v=""/>
    <s v=""/>
    <s v=""/>
    <n v="3200"/>
    <n v="0"/>
    <s v="Paid"/>
    <s v="R"/>
    <x v="0"/>
  </r>
  <r>
    <n v="287"/>
    <n v="287"/>
    <s v="EMCE883643@emaxindia.in"/>
    <s v="chandan@2007"/>
    <s v="EMCE883643"/>
    <x v="206"/>
    <x v="1"/>
    <x v="1"/>
    <x v="1"/>
    <x v="2"/>
    <x v="1"/>
    <s v="11:30 AM to 12:45 PM"/>
    <x v="1"/>
    <s v="Chandan Chandrakar"/>
    <d v="2007-10-21T00:00:00"/>
    <s v="Shyam Lal Chandrakar"/>
    <s v="Leelishwari"/>
    <x v="0"/>
    <x v="0"/>
    <s v="House No. - 413, Ward - 10, Camp - 01, Bhilai, Dist - Durg, Chhattisgarh, Pin - 490001"/>
    <x v="20"/>
    <n v="9113619146"/>
    <s v="chandanchan6385@gmail.com"/>
    <s v="BCA"/>
    <s v="YES"/>
    <s v="Issue"/>
    <n v="3000"/>
    <n v="200"/>
    <n v="500"/>
    <n v="500"/>
    <n v="3200"/>
    <n v="1000"/>
    <d v="2025-05-13T00:00:00"/>
    <n v="2200"/>
    <n v="1000"/>
    <d v="2025-06-13T00:00:00"/>
    <n v="1200"/>
    <n v="500"/>
    <d v="2025-07-13T00:00:00"/>
    <n v="700"/>
    <n v="500"/>
    <d v="2025-08-13T00:00:00"/>
    <n v="200"/>
    <n v="200"/>
    <d v="2025-09-13T00:00:00"/>
    <n v="0"/>
    <s v=""/>
    <s v=""/>
    <s v=""/>
    <n v="3200"/>
    <n v="0"/>
    <s v="Paid"/>
    <s v="R"/>
    <x v="0"/>
  </r>
  <r>
    <n v="288"/>
    <n v="288"/>
    <s v="EMCE856265@emaxindia.in"/>
    <s v="alok@1993"/>
    <s v="EMCE856265"/>
    <x v="207"/>
    <x v="0"/>
    <x v="0"/>
    <x v="0"/>
    <x v="3"/>
    <x v="0"/>
    <s v="04:30 PM to 06:00 PM"/>
    <x v="0"/>
    <s v="Alok Goud"/>
    <d v="1993-08-10T00:00:00"/>
    <s v="Ram Prasad Goud"/>
    <s v="Sudha"/>
    <x v="0"/>
    <x v="1"/>
    <s v="Block - 4/F, Street - 02, Sector - 04, Bhilai, Dist - Durg, Chhattisgarh, Pin - 490001"/>
    <x v="1"/>
    <n v="7048887689"/>
    <s v="alokgoud1331@gmail.com"/>
    <s v="12TH PASS"/>
    <s v="YES"/>
    <s v="Issue"/>
    <n v="12500"/>
    <n v="200"/>
    <n v="1200"/>
    <n v="300"/>
    <n v="13600"/>
    <n v="5000"/>
    <d v="2025-05-15T00:00:00"/>
    <n v="8600"/>
    <n v="3000"/>
    <d v="2025-06-15T00:00:00"/>
    <n v="5600"/>
    <n v="3000"/>
    <d v="2025-07-15T00:00:00"/>
    <n v="2600"/>
    <n v="1000"/>
    <d v="2025-08-15T00:00:00"/>
    <n v="1600"/>
    <n v="1000"/>
    <d v="2025-09-15T00:00:00"/>
    <n v="600"/>
    <n v="600"/>
    <d v="2025-10-15T00:00:00"/>
    <n v="0"/>
    <n v="13600"/>
    <n v="0"/>
    <s v="Paid"/>
    <s v="R"/>
    <x v="2"/>
  </r>
  <r>
    <n v="289"/>
    <n v="289"/>
    <s v="EMCE848520@emaxindia.in"/>
    <s v="akash@2004"/>
    <s v="EMCE848520"/>
    <x v="208"/>
    <x v="9"/>
    <x v="9"/>
    <x v="1"/>
    <x v="2"/>
    <x v="1"/>
    <s v="10:30 AM to 12:00 PM"/>
    <x v="1"/>
    <s v="Akash Raut"/>
    <d v="2004-11-07T00:00:00"/>
    <s v="Chaindra Raut"/>
    <s v="Sudha"/>
    <x v="0"/>
    <x v="0"/>
    <s v="Qt. No. 11/A, Street No. - 03, Sector - 07, Bhilai, Dist - Durg, Chhattisgarh, Pin - 490006"/>
    <x v="19"/>
    <n v="6303190439"/>
    <s v="akashraut382@gmail.com"/>
    <s v="B.SC."/>
    <s v="YES"/>
    <s v="Issue"/>
    <n v="2000"/>
    <n v="200"/>
    <n v="300"/>
    <n v="200"/>
    <n v="2300"/>
    <n v="500"/>
    <d v="2025-05-18T00:00:00"/>
    <n v="1800"/>
    <n v="500"/>
    <d v="2025-06-18T00:00:00"/>
    <n v="1300"/>
    <n v="500"/>
    <d v="2025-07-18T00:00:00"/>
    <n v="800"/>
    <n v="500"/>
    <d v="2025-08-18T00:00:00"/>
    <n v="300"/>
    <n v="300"/>
    <d v="2025-09-18T00:00:00"/>
    <n v="0"/>
    <s v=""/>
    <s v=""/>
    <s v=""/>
    <n v="2300"/>
    <n v="0"/>
    <s v="Paid"/>
    <s v="R"/>
    <x v="0"/>
  </r>
  <r>
    <n v="290"/>
    <n v="290"/>
    <s v="EMCE861798@emaxindia.in"/>
    <s v="nilesh@2006"/>
    <s v="EMCE861798"/>
    <x v="209"/>
    <x v="7"/>
    <x v="7"/>
    <x v="1"/>
    <x v="2"/>
    <x v="1"/>
    <s v="01:00 PM to 03:00 PM"/>
    <x v="3"/>
    <s v="Nilesh Agrawal"/>
    <d v="2006-04-26T00:00:00"/>
    <s v="Balram Agrawal"/>
    <s v="Ramkunwari"/>
    <x v="0"/>
    <x v="0"/>
    <s v="Block - 2/C, Street - 06, Sector - 04, Bhilai, Dist - Durg, Chhattisgarh, Pin - 490001"/>
    <x v="1"/>
    <n v="9353645637"/>
    <s v="nileshagra5317@gmail.com"/>
    <s v="B.COM."/>
    <s v="YES"/>
    <s v="Issue"/>
    <n v="3000"/>
    <n v="200"/>
    <n v="500"/>
    <n v="0"/>
    <n v="3700"/>
    <n v="1000"/>
    <d v="2025-05-20T00:00:00"/>
    <n v="2700"/>
    <n v="1000"/>
    <d v="2025-06-20T00:00:00"/>
    <n v="1700"/>
    <n v="500"/>
    <d v="2025-07-20T00:00:00"/>
    <n v="1200"/>
    <n v="500"/>
    <d v="2025-08-20T00:00:00"/>
    <n v="700"/>
    <n v="500"/>
    <d v="2025-09-20T00:00:00"/>
    <n v="200"/>
    <n v="200"/>
    <d v="2025-10-20T00:00:00"/>
    <n v="0"/>
    <n v="3700"/>
    <n v="0"/>
    <s v="Paid"/>
    <s v="R"/>
    <x v="0"/>
  </r>
  <r>
    <n v="291"/>
    <n v="291"/>
    <s v="EMCE864587@emaxindia.in"/>
    <s v="hemlata@2006"/>
    <s v="EMCE864587"/>
    <x v="209"/>
    <x v="9"/>
    <x v="9"/>
    <x v="1"/>
    <x v="2"/>
    <x v="1"/>
    <s v="04:30 PM to 06:00 PM"/>
    <x v="0"/>
    <s v="Hemlata Mali"/>
    <d v="2006-09-10T00:00:00"/>
    <s v="Rajesh Mali"/>
    <s v="Savita"/>
    <x v="0"/>
    <x v="3"/>
    <s v="Qt. No. 18/C, Street No. - 14, Sector - 07, Bhilai, Dist - Durg, Chhattisgarh, Pin - 490006"/>
    <x v="19"/>
    <n v="6092865512"/>
    <s v="hemlatamali2442@gmail.com"/>
    <s v="12TH PASS"/>
    <s v="YES"/>
    <s v="Issue"/>
    <n v="2000"/>
    <n v="200"/>
    <n v="300"/>
    <n v="0"/>
    <n v="2500"/>
    <n v="1000"/>
    <d v="2025-05-20T00:00:00"/>
    <n v="1500"/>
    <n v="500"/>
    <d v="2025-06-20T00:00:00"/>
    <n v="1000"/>
    <n v="500"/>
    <d v="2025-07-20T00:00:00"/>
    <n v="500"/>
    <n v="500"/>
    <d v="2025-08-20T00:00:00"/>
    <n v="0"/>
    <s v=""/>
    <s v=""/>
    <s v=""/>
    <s v=""/>
    <s v=""/>
    <s v=""/>
    <n v="2500"/>
    <n v="0"/>
    <s v="Paid"/>
    <s v="R"/>
    <x v="0"/>
  </r>
  <r>
    <n v="292"/>
    <n v="292"/>
    <s v="EMCE857963@emaxindia.in"/>
    <s v="sudha@1995"/>
    <s v="EMCE857963"/>
    <x v="210"/>
    <x v="5"/>
    <x v="5"/>
    <x v="1"/>
    <x v="2"/>
    <x v="1"/>
    <s v="11:30 AM to 12:45 PM"/>
    <x v="1"/>
    <s v="Sudha Sarvam"/>
    <d v="1995-05-04T00:00:00"/>
    <s v="Balram Sarvam"/>
    <s v="Pushpa"/>
    <x v="0"/>
    <x v="0"/>
    <s v="House No. - 646, Ward - 14, Camp - 01, Bhilai, Dist - Durg, Chhattisgarh, Pin - 490001"/>
    <x v="20"/>
    <n v="6584110987"/>
    <s v="sudhasarv7279@gmail.com"/>
    <s v="DIPLOMA"/>
    <s v="YES"/>
    <s v="Issue"/>
    <n v="2500"/>
    <n v="200"/>
    <n v="400"/>
    <n v="0"/>
    <n v="3100"/>
    <n v="1000"/>
    <d v="2025-05-21T00:00:00"/>
    <n v="2100"/>
    <n v="1000"/>
    <d v="2025-06-21T00:00:00"/>
    <n v="1100"/>
    <n v="500"/>
    <d v="2025-07-21T00:00:00"/>
    <n v="600"/>
    <n v="500"/>
    <d v="2025-08-21T00:00:00"/>
    <n v="100"/>
    <n v="100"/>
    <d v="2025-09-21T00:00:00"/>
    <n v="0"/>
    <s v=""/>
    <s v=""/>
    <s v=""/>
    <n v="3100"/>
    <n v="0"/>
    <s v="Paid"/>
    <s v="R"/>
    <x v="0"/>
  </r>
  <r>
    <n v="293"/>
    <n v="293"/>
    <s v="EMCE874770@emaxindia.in"/>
    <s v="savita@1996"/>
    <s v="EMCE874770"/>
    <x v="211"/>
    <x v="12"/>
    <x v="12"/>
    <x v="0"/>
    <x v="2"/>
    <x v="2"/>
    <s v="04:30 PM to 06:00 PM"/>
    <x v="0"/>
    <s v="Savita Saini"/>
    <d v="1996-03-18T00:00:00"/>
    <s v="Pyare Lal Saini"/>
    <s v="Lalita"/>
    <x v="0"/>
    <x v="0"/>
    <s v="House No. - 273, Ward - 06, Camp - 01, Bhilai, Dist - Durg, Chhattisgarh, Pin - 490001"/>
    <x v="20"/>
    <n v="7136962493"/>
    <s v="savitasain3633@gmail.com"/>
    <s v="GRADUATE"/>
    <s v="YES"/>
    <s v="Issue"/>
    <n v="8000"/>
    <n v="200"/>
    <n v="1000"/>
    <n v="0"/>
    <n v="9200"/>
    <n v="2500"/>
    <d v="2025-05-22T00:00:00"/>
    <n v="6700"/>
    <n v="3000"/>
    <d v="2025-06-22T00:00:00"/>
    <n v="3700"/>
    <n v="1000"/>
    <d v="2025-07-22T00:00:00"/>
    <n v="2700"/>
    <n v="1000"/>
    <d v="2025-08-22T00:00:00"/>
    <n v="1700"/>
    <n v="1000"/>
    <d v="2025-09-22T00:00:00"/>
    <n v="700"/>
    <n v="700"/>
    <d v="2025-10-22T00:00:00"/>
    <n v="0"/>
    <n v="9200"/>
    <n v="0"/>
    <s v="Paid"/>
    <s v="R"/>
    <x v="0"/>
  </r>
  <r>
    <n v="294"/>
    <n v="294"/>
    <s v="EMCE875353@emaxindia.in"/>
    <s v="narendra@2006"/>
    <s v="EMCE875353"/>
    <x v="212"/>
    <x v="12"/>
    <x v="12"/>
    <x v="0"/>
    <x v="2"/>
    <x v="2"/>
    <s v="12:45 PM to 2:30 PM"/>
    <x v="2"/>
    <s v="Narendra Barman"/>
    <d v="2006-11-15T00:00:00"/>
    <s v="Suresh Barman"/>
    <s v="Sarojini"/>
    <x v="0"/>
    <x v="2"/>
    <s v="House No. - 470, Ward - 01, Supela, Bhilai, Dist - Durg, Chhattisgarh, Pin - 490023"/>
    <x v="13"/>
    <n v="9384320507"/>
    <s v="narendrabarm2609@gmail.com"/>
    <s v="B.COM."/>
    <s v="YES"/>
    <s v="Issue"/>
    <n v="8000"/>
    <n v="200"/>
    <n v="1000"/>
    <n v="0"/>
    <n v="9200"/>
    <n v="2500"/>
    <d v="2025-05-23T00:00:00"/>
    <n v="6700"/>
    <n v="3000"/>
    <d v="2025-06-23T00:00:00"/>
    <n v="3700"/>
    <n v="1000"/>
    <d v="2025-07-23T00:00:00"/>
    <n v="2700"/>
    <n v="1000"/>
    <d v="2025-08-23T00:00:00"/>
    <n v="1700"/>
    <n v="1000"/>
    <d v="2025-09-23T00:00:00"/>
    <n v="700"/>
    <n v="700"/>
    <d v="2025-10-23T00:00:00"/>
    <n v="0"/>
    <n v="9200"/>
    <n v="0"/>
    <s v="Paid"/>
    <s v="R"/>
    <x v="0"/>
  </r>
  <r>
    <n v="295"/>
    <n v="295"/>
    <s v="EMCE869478@emaxindia.in"/>
    <s v="renu@1996"/>
    <s v="EMCE869478"/>
    <x v="213"/>
    <x v="12"/>
    <x v="12"/>
    <x v="0"/>
    <x v="2"/>
    <x v="2"/>
    <s v="04:30 PM to 06:00 PM"/>
    <x v="0"/>
    <s v="Renu Kandulna"/>
    <d v="1996-08-08T00:00:00"/>
    <s v="Brijlal Kandulna"/>
    <s v="Meena Bai"/>
    <x v="0"/>
    <x v="0"/>
    <s v="House No. - 735, Shanti Nagar, Bhilai, Dist - Durg, Chhattisgarh, Pin - 490020"/>
    <x v="8"/>
    <n v="7126601322"/>
    <s v="renukand9361@gmail.com"/>
    <s v="10TH PASS"/>
    <s v="YES"/>
    <s v="Issue"/>
    <n v="8000"/>
    <n v="200"/>
    <n v="1000"/>
    <n v="500"/>
    <n v="8700"/>
    <n v="2500"/>
    <d v="2025-06-02T00:00:00"/>
    <n v="6200"/>
    <n v="3000"/>
    <d v="2025-07-02T00:00:00"/>
    <n v="3200"/>
    <n v="1000"/>
    <d v="2025-08-02T00:00:00"/>
    <n v="2200"/>
    <n v="1000"/>
    <d v="2025-09-02T00:00:00"/>
    <n v="1200"/>
    <n v="1000"/>
    <d v="2025-10-02T00:00:00"/>
    <n v="200"/>
    <n v="200"/>
    <d v="2025-11-02T00:00:00"/>
    <n v="0"/>
    <n v="8700"/>
    <n v="0"/>
    <s v="Paid"/>
    <s v="R"/>
    <x v="0"/>
  </r>
  <r>
    <n v="296"/>
    <n v="296"/>
    <s v="EMCE842850@emaxindia.in"/>
    <s v="esha@1996"/>
    <s v="EMCE842850"/>
    <x v="214"/>
    <x v="8"/>
    <x v="8"/>
    <x v="0"/>
    <x v="2"/>
    <x v="2"/>
    <s v="01:00 PM to 03:00 PM"/>
    <x v="3"/>
    <s v="Esha Naidu"/>
    <d v="1996-01-18T00:00:00"/>
    <s v="Suresh Naidu"/>
    <s v="Sushila"/>
    <x v="0"/>
    <x v="1"/>
    <s v="Qr. No. 8, Bl No. 15, Street No. Emr, Sector - 04, Bhilai, Dist - Durg, Chhattisgarh, Pin - 490001"/>
    <x v="1"/>
    <n v="7912236409"/>
    <s v="eshanaid4897@gmail.com"/>
    <s v="12TH PASS"/>
    <s v="YES"/>
    <s v="Issue"/>
    <n v="6000"/>
    <n v="200"/>
    <n v="800"/>
    <n v="0"/>
    <n v="7000"/>
    <n v="2500"/>
    <d v="2025-06-12T00:00:00"/>
    <n v="4500"/>
    <n v="1000"/>
    <d v="2025-07-12T00:00:00"/>
    <n v="3500"/>
    <n v="1000"/>
    <d v="2025-08-12T00:00:00"/>
    <n v="2500"/>
    <n v="1000"/>
    <d v="2025-09-12T00:00:00"/>
    <n v="1500"/>
    <n v="1000"/>
    <d v="2025-10-12T00:00:00"/>
    <n v="500"/>
    <n v="500"/>
    <d v="2025-11-12T00:00:00"/>
    <n v="0"/>
    <n v="7000"/>
    <n v="0"/>
    <s v="Paid"/>
    <s v="R"/>
    <x v="0"/>
  </r>
  <r>
    <n v="297"/>
    <n v="297"/>
    <s v="EMCE863722@emaxindia.in"/>
    <s v="nirmala@1993"/>
    <s v="EMCE863722"/>
    <x v="214"/>
    <x v="5"/>
    <x v="5"/>
    <x v="1"/>
    <x v="2"/>
    <x v="1"/>
    <s v="04:30 PM to 06:00 PM"/>
    <x v="0"/>
    <s v="Nirmala Dubey"/>
    <d v="1993-03-11T00:00:00"/>
    <s v="Shiv Prasad Dubey"/>
    <s v="Mamta"/>
    <x v="1"/>
    <x v="0"/>
    <s v="House No. - 569, Ward - 03, Kosa Nagar, Bhilai, Dist - Durg, Chhattisgarh, Pin - 490020"/>
    <x v="7"/>
    <n v="9895077866"/>
    <s v="nirmaladube2646@gmail.com"/>
    <s v="12TH PASS"/>
    <s v="YES"/>
    <s v="Issue"/>
    <n v="2500"/>
    <n v="200"/>
    <n v="400"/>
    <n v="300"/>
    <n v="2800"/>
    <n v="1000"/>
    <d v="2025-06-12T00:00:00"/>
    <n v="1800"/>
    <n v="500"/>
    <d v="2025-07-12T00:00:00"/>
    <n v="1300"/>
    <n v="500"/>
    <d v="2025-08-12T00:00:00"/>
    <n v="800"/>
    <n v="500"/>
    <d v="2025-09-12T00:00:00"/>
    <n v="300"/>
    <n v="300"/>
    <d v="2025-10-12T00:00:00"/>
    <n v="0"/>
    <s v=""/>
    <s v=""/>
    <s v=""/>
    <n v="2800"/>
    <n v="0"/>
    <s v="Paid"/>
    <s v="R"/>
    <x v="0"/>
  </r>
  <r>
    <n v="298"/>
    <n v="298"/>
    <s v="EMCE859179@emaxindia.in"/>
    <s v="esha@1990"/>
    <s v="EMCE859179"/>
    <x v="215"/>
    <x v="1"/>
    <x v="1"/>
    <x v="1"/>
    <x v="2"/>
    <x v="1"/>
    <s v="01:00 PM to 03:00 PM"/>
    <x v="3"/>
    <s v="Esha Mandavi"/>
    <d v="1990-04-07T00:00:00"/>
    <s v="Ramesh Mandavi"/>
    <s v="Phoolbai"/>
    <x v="0"/>
    <x v="3"/>
    <s v="Qr. No. 17/A, Street No. - 16, Sector - 08, Bhilai, Dist - Durg, Chhattisgarh, Pin - 490001"/>
    <x v="18"/>
    <n v="6104148406"/>
    <s v="eshamand2146@gmail.com"/>
    <s v="10TH PASS"/>
    <s v="YES"/>
    <s v="Issue"/>
    <n v="3000"/>
    <n v="200"/>
    <n v="500"/>
    <n v="300"/>
    <n v="3400"/>
    <n v="1000"/>
    <d v="2025-06-14T00:00:00"/>
    <n v="2400"/>
    <n v="1000"/>
    <d v="2025-07-14T00:00:00"/>
    <n v="1400"/>
    <n v="500"/>
    <d v="2025-08-14T00:00:00"/>
    <n v="900"/>
    <n v="500"/>
    <d v="2025-09-14T00:00:00"/>
    <n v="400"/>
    <n v="400"/>
    <d v="2025-10-14T00:00:00"/>
    <n v="0"/>
    <s v=""/>
    <s v=""/>
    <s v=""/>
    <n v="3400"/>
    <n v="0"/>
    <s v="Paid"/>
    <s v="R"/>
    <x v="0"/>
  </r>
  <r>
    <n v="299"/>
    <n v="299"/>
    <s v="EMCE827798@emaxindia.in"/>
    <s v="lokesh@2002"/>
    <s v="EMCE827798"/>
    <x v="216"/>
    <x v="7"/>
    <x v="7"/>
    <x v="1"/>
    <x v="2"/>
    <x v="1"/>
    <s v="11:30 AM to 12:45 PM"/>
    <x v="1"/>
    <s v="Lokesh Thakur"/>
    <d v="2002-07-26T00:00:00"/>
    <s v="Santosh Kumar Thakur"/>
    <s v="Parvati"/>
    <x v="1"/>
    <x v="3"/>
    <s v="Quarter No. - 23/B, Street - 12, Sector - 09, Bhilai, Dist - Durg, Chhattisgarh, Pin - 490001"/>
    <x v="12"/>
    <n v="6962797218"/>
    <s v="lokeshthak4025@gmail.com"/>
    <s v="BCA"/>
    <s v="YES"/>
    <s v="Issue"/>
    <n v="3000"/>
    <n v="200"/>
    <n v="500"/>
    <n v="300"/>
    <n v="3400"/>
    <n v="1000"/>
    <d v="2025-06-15T00:00:00"/>
    <n v="2400"/>
    <n v="1000"/>
    <d v="2025-07-15T00:00:00"/>
    <n v="1400"/>
    <n v="500"/>
    <d v="2025-08-15T00:00:00"/>
    <n v="900"/>
    <n v="500"/>
    <d v="2025-09-15T00:00:00"/>
    <n v="400"/>
    <n v="400"/>
    <d v="2025-10-15T00:00:00"/>
    <n v="0"/>
    <s v=""/>
    <s v=""/>
    <s v=""/>
    <n v="3400"/>
    <n v="0"/>
    <s v="Paid"/>
    <s v="R"/>
    <x v="0"/>
  </r>
  <r>
    <n v="300"/>
    <n v="300"/>
    <s v="EMCE867228@emaxindia.in"/>
    <s v="subhash@1992"/>
    <s v="EMCE867228"/>
    <x v="216"/>
    <x v="5"/>
    <x v="5"/>
    <x v="1"/>
    <x v="2"/>
    <x v="1"/>
    <s v="01:00 PM to 03:00 PM"/>
    <x v="3"/>
    <s v="Subhash Khobragade"/>
    <d v="1992-09-12T00:00:00"/>
    <s v="Kedarnath Khobragade"/>
    <s v="Shakuntala"/>
    <x v="0"/>
    <x v="1"/>
    <s v="House No. - 754, Shanti Nagar, Bhilai, Dist - Durg, Chhattisgarh, Pin - 490020"/>
    <x v="8"/>
    <n v="6748368285"/>
    <s v="subhashkhob2589@gmail.com"/>
    <s v="GRADUATE"/>
    <s v="YES"/>
    <s v="Issue"/>
    <n v="2500"/>
    <n v="200"/>
    <n v="400"/>
    <n v="0"/>
    <n v="3100"/>
    <n v="1000"/>
    <d v="2025-06-15T00:00:00"/>
    <n v="2100"/>
    <n v="1000"/>
    <d v="2025-07-15T00:00:00"/>
    <n v="1100"/>
    <n v="500"/>
    <d v="2025-08-15T00:00:00"/>
    <n v="600"/>
    <n v="500"/>
    <d v="2025-09-15T00:00:00"/>
    <n v="100"/>
    <n v="100"/>
    <d v="2025-10-15T00:00:00"/>
    <n v="0"/>
    <s v=""/>
    <s v=""/>
    <s v=""/>
    <n v="3100"/>
    <n v="0"/>
    <s v="Paid"/>
    <s v="R"/>
    <x v="0"/>
  </r>
  <r>
    <n v="301"/>
    <n v="301"/>
    <s v="EMCE884311@emaxindia.in"/>
    <s v="ghanshyam@2003"/>
    <s v="EMCE884311"/>
    <x v="217"/>
    <x v="11"/>
    <x v="11"/>
    <x v="1"/>
    <x v="2"/>
    <x v="1"/>
    <s v="04:30 PM to 06:00 PM"/>
    <x v="0"/>
    <s v="Ghanshyam Khobragade"/>
    <d v="2003-11-09T00:00:00"/>
    <s v="Mohan Lal Khobragade"/>
    <s v="Kiran"/>
    <x v="0"/>
    <x v="3"/>
    <s v="House No. - 874, Risali, Bhilai, Dist - Durg, Chhattisgarh, Pin - 490006"/>
    <x v="0"/>
    <n v="8137198677"/>
    <s v="ghanshyamkhob1945@gmail.com"/>
    <s v="12TH PASS"/>
    <s v="YES"/>
    <s v="Issue"/>
    <n v="2500"/>
    <n v="200"/>
    <n v="500"/>
    <n v="500"/>
    <n v="2700"/>
    <n v="1000"/>
    <d v="2025-06-17T00:00:00"/>
    <n v="1700"/>
    <n v="500"/>
    <d v="2025-07-17T00:00:00"/>
    <n v="1200"/>
    <n v="500"/>
    <d v="2025-08-17T00:00:00"/>
    <n v="700"/>
    <n v="500"/>
    <d v="2025-09-17T00:00:00"/>
    <n v="200"/>
    <n v="200"/>
    <d v="2025-10-17T00:00:00"/>
    <n v="0"/>
    <s v=""/>
    <s v=""/>
    <s v=""/>
    <n v="2700"/>
    <n v="0"/>
    <s v="Paid"/>
    <s v="R"/>
    <x v="0"/>
  </r>
  <r>
    <n v="302"/>
    <n v="302"/>
    <s v="EMCE840143@emaxindia.in"/>
    <s v="kamlesh@2000"/>
    <s v="EMCE840143"/>
    <x v="218"/>
    <x v="3"/>
    <x v="3"/>
    <x v="1"/>
    <x v="2"/>
    <x v="1"/>
    <s v="10:30 AM to 12:00 PM"/>
    <x v="1"/>
    <s v="Kamlesh Gupta"/>
    <d v="2000-04-02T00:00:00"/>
    <s v="Shivnath Gupta"/>
    <s v="Sangeeta"/>
    <x v="0"/>
    <x v="3"/>
    <s v="Qtr. No. 28/E, Street No. - 14, Sector - 03, Bhilai, Dist - Durg, Chhattisgarh, Pin - 490001"/>
    <x v="10"/>
    <n v="6655271808"/>
    <s v="kamleshgupt1853@gmail.com"/>
    <s v="B.COM."/>
    <s v="YES"/>
    <s v="Issue"/>
    <n v="3000"/>
    <n v="200"/>
    <n v="300"/>
    <n v="500"/>
    <n v="3000"/>
    <n v="1000"/>
    <d v="2025-06-23T00:00:00"/>
    <n v="2000"/>
    <n v="1000"/>
    <d v="2025-07-23T00:00:00"/>
    <n v="1000"/>
    <n v="500"/>
    <d v="2025-08-23T00:00:00"/>
    <n v="500"/>
    <n v="500"/>
    <d v="2025-09-23T00:00:00"/>
    <n v="0"/>
    <s v=""/>
    <s v=""/>
    <s v=""/>
    <s v=""/>
    <s v=""/>
    <s v=""/>
    <n v="3000"/>
    <n v="0"/>
    <s v="Paid"/>
    <s v="R"/>
    <x v="0"/>
  </r>
  <r>
    <n v="303"/>
    <n v="303"/>
    <s v="EMCE829698@emaxindia.in"/>
    <s v="harish@1999"/>
    <s v="EMCE829698"/>
    <x v="219"/>
    <x v="8"/>
    <x v="8"/>
    <x v="0"/>
    <x v="2"/>
    <x v="2"/>
    <s v="11:30 AM to 12:45 PM"/>
    <x v="1"/>
    <s v="Harish Koli"/>
    <d v="1999-06-11T00:00:00"/>
    <s v="Santosh Kumar Koli"/>
    <s v="Durga Bai"/>
    <x v="0"/>
    <x v="3"/>
    <s v="House No. - 192, Risali, Bhilai, Bhilai, Dist - Durg, Chhattisgarh, Pin - 490006"/>
    <x v="0"/>
    <n v="7065025559"/>
    <s v="harishkoli5655@gmail.com"/>
    <s v="B.COM."/>
    <s v="YES"/>
    <s v="Issue"/>
    <n v="6000"/>
    <n v="200"/>
    <n v="800"/>
    <n v="200"/>
    <n v="6800"/>
    <n v="2500"/>
    <d v="2025-07-01T00:00:00"/>
    <n v="4300"/>
    <n v="1000"/>
    <d v="2025-08-01T00:00:00"/>
    <n v="3300"/>
    <n v="1000"/>
    <d v="2025-09-01T00:00:00"/>
    <n v="2300"/>
    <n v="1000"/>
    <d v="2025-10-01T00:00:00"/>
    <n v="1300"/>
    <n v="1000"/>
    <d v="2025-11-01T00:00:00"/>
    <n v="300"/>
    <n v="300"/>
    <d v="2025-12-01T00:00:00"/>
    <n v="0"/>
    <n v="6800"/>
    <n v="0"/>
    <s v="Paid"/>
    <s v="R"/>
    <x v="0"/>
  </r>
  <r>
    <n v="304"/>
    <n v="304"/>
    <s v="EMCE866903@emaxindia.in"/>
    <s v="mayank@2009"/>
    <s v="EMCE866903"/>
    <x v="219"/>
    <x v="12"/>
    <x v="12"/>
    <x v="0"/>
    <x v="2"/>
    <x v="2"/>
    <s v="04:30 PM to 06:00 PM"/>
    <x v="0"/>
    <s v="Mayank Meshram"/>
    <d v="2009-08-10T00:00:00"/>
    <s v="Parmanand Meshram"/>
    <s v="Heera"/>
    <x v="1"/>
    <x v="2"/>
    <s v="House No. - 834, Charoda, Bhilai, Dist - Durg, Chhattisgarh, Pin - 490036"/>
    <x v="16"/>
    <n v="7757210174"/>
    <s v="mayankmesh3007@gmail.com"/>
    <s v="ITI"/>
    <s v="YES"/>
    <s v="Issue"/>
    <n v="8000"/>
    <n v="200"/>
    <n v="1000"/>
    <n v="0"/>
    <n v="9200"/>
    <n v="2500"/>
    <d v="2025-07-01T00:00:00"/>
    <n v="6700"/>
    <n v="3000"/>
    <d v="2025-08-01T00:00:00"/>
    <n v="3700"/>
    <n v="1000"/>
    <d v="2025-09-01T00:00:00"/>
    <n v="2700"/>
    <n v="1000"/>
    <d v="2025-10-01T00:00:00"/>
    <n v="1700"/>
    <n v="1000"/>
    <d v="2025-11-01T00:00:00"/>
    <n v="700"/>
    <n v="700"/>
    <d v="2025-12-01T00:00:00"/>
    <n v="0"/>
    <n v="9200"/>
    <n v="0"/>
    <s v="Paid"/>
    <s v="R"/>
    <x v="0"/>
  </r>
  <r>
    <n v="305"/>
    <n v="305"/>
    <s v="EMCE850853@emaxindia.in"/>
    <s v="jayanti@2008"/>
    <s v="EMCE850853"/>
    <x v="220"/>
    <x v="12"/>
    <x v="12"/>
    <x v="0"/>
    <x v="2"/>
    <x v="2"/>
    <s v="12:45 PM to 2:30 PM"/>
    <x v="2"/>
    <s v="Jayanti Soni"/>
    <d v="2008-10-17T00:00:00"/>
    <s v="Ghanshyam Soni"/>
    <s v="Hira Bai"/>
    <x v="0"/>
    <x v="1"/>
    <s v="Qt. No. 10/B, Street No. - 23, Sector - 07, Bhilai, Dist - Durg, Chhattisgarh, Pin - 490006"/>
    <x v="19"/>
    <n v="8236866269"/>
    <s v="jayantisoni6128@gmail.com"/>
    <s v="8TH PASS"/>
    <s v="YES"/>
    <s v="Issue"/>
    <n v="8000"/>
    <n v="200"/>
    <n v="1000"/>
    <n v="500"/>
    <n v="8700"/>
    <n v="2500"/>
    <d v="2025-07-02T00:00:00"/>
    <n v="6200"/>
    <n v="3000"/>
    <d v="2025-08-02T00:00:00"/>
    <n v="3200"/>
    <n v="1000"/>
    <d v="2025-09-02T00:00:00"/>
    <n v="2200"/>
    <n v="1000"/>
    <d v="2025-10-02T00:00:00"/>
    <n v="1200"/>
    <n v="1000"/>
    <d v="2025-11-02T00:00:00"/>
    <n v="200"/>
    <n v="200"/>
    <d v="2025-12-02T00:00:00"/>
    <n v="0"/>
    <n v="8700"/>
    <n v="0"/>
    <s v="Paid"/>
    <s v="R"/>
    <x v="0"/>
  </r>
  <r>
    <n v="306"/>
    <n v="306"/>
    <s v="EMCE861564@emaxindia.in"/>
    <s v="mahesh@1990"/>
    <s v="EMCE861564"/>
    <x v="221"/>
    <x v="9"/>
    <x v="9"/>
    <x v="1"/>
    <x v="2"/>
    <x v="1"/>
    <s v="12:45 PM to 2:30 PM"/>
    <x v="2"/>
    <s v="Mahesh Kumhar"/>
    <d v="1990-09-23T00:00:00"/>
    <s v="Ganesh Kumhar"/>
    <s v="Savita"/>
    <x v="0"/>
    <x v="3"/>
    <s v="House No. - 627, Ward - 23, Kosa Nagar, Bhilai, Dist - Durg, Chhattisgarh, Pin - 490020"/>
    <x v="7"/>
    <n v="6118936503"/>
    <s v="maheshkumh4402@gmail.com"/>
    <s v="10TH PASS"/>
    <s v="YES"/>
    <s v="Issue"/>
    <n v="2000"/>
    <n v="200"/>
    <n v="300"/>
    <n v="0"/>
    <n v="2500"/>
    <n v="1000"/>
    <d v="2025-07-05T00:00:00"/>
    <n v="1500"/>
    <n v="500"/>
    <d v="2025-08-05T00:00:00"/>
    <n v="1000"/>
    <n v="500"/>
    <d v="2025-09-05T00:00:00"/>
    <n v="500"/>
    <n v="500"/>
    <d v="2025-10-05T00:00:00"/>
    <n v="0"/>
    <s v=""/>
    <s v=""/>
    <s v=""/>
    <s v=""/>
    <s v=""/>
    <s v=""/>
    <n v="2500"/>
    <n v="0"/>
    <s v="Paid"/>
    <s v="R"/>
    <x v="0"/>
  </r>
  <r>
    <n v="307"/>
    <n v="307"/>
    <s v="EMCE883336@emaxindia.in"/>
    <s v="vijay@2001"/>
    <s v="EMCE883336"/>
    <x v="221"/>
    <x v="2"/>
    <x v="2"/>
    <x v="0"/>
    <x v="2"/>
    <x v="2"/>
    <s v="10:30 AM to 12:00 PM"/>
    <x v="1"/>
    <s v="Vijay Rath"/>
    <d v="2001-04-26T00:00:00"/>
    <s v="Pyare Lal Rath"/>
    <s v="Sarlabai"/>
    <x v="0"/>
    <x v="0"/>
    <s v="House No. - 236, Ward - 11, Supela, Bhilai, Dist - Durg, Chhattisgarh, Pin - 490023"/>
    <x v="13"/>
    <n v="6155574992"/>
    <s v="vijayrath2361@gmail.com"/>
    <s v="B.COM."/>
    <s v="YES"/>
    <s v="Issue"/>
    <n v="7000"/>
    <n v="200"/>
    <n v="800"/>
    <n v="500"/>
    <n v="7500"/>
    <n v="2500"/>
    <d v="2025-07-05T00:00:00"/>
    <n v="5000"/>
    <n v="3000"/>
    <d v="2025-08-05T00:00:00"/>
    <n v="2000"/>
    <n v="1000"/>
    <d v="2025-09-05T00:00:00"/>
    <n v="1000"/>
    <n v="500"/>
    <d v="2025-10-05T00:00:00"/>
    <n v="500"/>
    <n v="500"/>
    <d v="2025-11-05T00:00:00"/>
    <n v="0"/>
    <s v=""/>
    <s v=""/>
    <s v=""/>
    <n v="7500"/>
    <n v="0"/>
    <s v="Paid"/>
    <s v="R"/>
    <x v="0"/>
  </r>
  <r>
    <n v="308"/>
    <n v="308"/>
    <s v="EMCE876028@emaxindia.in"/>
    <s v="preeti@1995"/>
    <s v="EMCE876028"/>
    <x v="222"/>
    <x v="10"/>
    <x v="10"/>
    <x v="1"/>
    <x v="2"/>
    <x v="1"/>
    <s v="11:30 AM to 12:45 PM"/>
    <x v="1"/>
    <s v="Preeti Raut"/>
    <d v="1995-07-07T00:00:00"/>
    <s v="Kailash Raut"/>
    <s v="Champa"/>
    <x v="1"/>
    <x v="0"/>
    <s v="Quarter No. - 21/D, Street - 25, Sector - 09, Bhilai, Dist - Durg, Chhattisgarh, Pin - 490001"/>
    <x v="12"/>
    <n v="7319683544"/>
    <s v="preetiraut6547@gmail.com"/>
    <s v="B.COM."/>
    <s v="YES"/>
    <s v="Issue"/>
    <n v="3000"/>
    <n v="200"/>
    <n v="500"/>
    <n v="0"/>
    <n v="3700"/>
    <n v="1000"/>
    <d v="2025-07-12T00:00:00"/>
    <n v="2700"/>
    <n v="1000"/>
    <d v="2025-08-12T00:00:00"/>
    <n v="1700"/>
    <n v="500"/>
    <d v="2025-09-12T00:00:00"/>
    <n v="1200"/>
    <n v="500"/>
    <d v="2025-10-12T00:00:00"/>
    <n v="700"/>
    <n v="500"/>
    <d v="2025-11-12T00:00:00"/>
    <n v="200"/>
    <n v="200"/>
    <d v="2025-12-12T00:00:00"/>
    <n v="0"/>
    <n v="3700"/>
    <n v="0"/>
    <s v="Paid"/>
    <s v="R"/>
    <x v="0"/>
  </r>
  <r>
    <n v="309"/>
    <n v="309"/>
    <s v="EMCE861055@emaxindia.in"/>
    <s v="ritu@1988"/>
    <s v="EMCE861055"/>
    <x v="223"/>
    <x v="6"/>
    <x v="6"/>
    <x v="1"/>
    <x v="2"/>
    <x v="1"/>
    <s v="10:30 AM to 12:00 PM"/>
    <x v="1"/>
    <s v="Ritu Kanwar"/>
    <d v="1988-07-28T00:00:00"/>
    <s v="Sanjay Kumar Kanwar"/>
    <s v="Sarlabai"/>
    <x v="0"/>
    <x v="1"/>
    <s v="Qrt. No. 5/A, Street No. - 05, Sector - 05, Bhilai, Dist - Durg, Chhattisgarh, Pin - 490001"/>
    <x v="4"/>
    <n v="7812391442"/>
    <s v="ritukanw4106@gmail.com"/>
    <s v="B.A."/>
    <s v="YES"/>
    <s v="Issue"/>
    <n v="2000"/>
    <n v="200"/>
    <n v="300"/>
    <n v="0"/>
    <n v="2500"/>
    <n v="1000"/>
    <d v="2025-07-13T00:00:00"/>
    <n v="1500"/>
    <n v="500"/>
    <d v="2025-08-13T00:00:00"/>
    <n v="1000"/>
    <n v="500"/>
    <d v="2025-09-13T00:00:00"/>
    <n v="500"/>
    <n v="500"/>
    <d v="2025-10-13T00:00:00"/>
    <n v="0"/>
    <s v=""/>
    <s v=""/>
    <s v=""/>
    <s v=""/>
    <s v=""/>
    <s v=""/>
    <n v="2500"/>
    <n v="0"/>
    <s v="Paid"/>
    <s v="R"/>
    <x v="0"/>
  </r>
  <r>
    <n v="310"/>
    <n v="310"/>
    <s v="EMCE838966@emaxindia.in"/>
    <s v="soni@2010"/>
    <s v="EMCE838966"/>
    <x v="224"/>
    <x v="13"/>
    <x v="13"/>
    <x v="1"/>
    <x v="2"/>
    <x v="1"/>
    <s v="04:30 PM to 06:00 PM"/>
    <x v="0"/>
    <s v="Soni Meshram"/>
    <d v="2010-09-13T00:00:00"/>
    <s v="Suresh Meshram"/>
    <s v="Sudha"/>
    <x v="0"/>
    <x v="3"/>
    <s v="Qr. No. 1/C, Street No. - 08, Sector - 08, Bhilai, Dist - Durg, Chhattisgarh, Pin - 490001"/>
    <x v="18"/>
    <n v="8598491781"/>
    <s v="sonimesh6756@gmail.com"/>
    <s v="POST GRADUATE"/>
    <s v="YES"/>
    <s v="Issue"/>
    <n v="3500"/>
    <n v="200"/>
    <n v="500"/>
    <n v="0"/>
    <n v="4200"/>
    <n v="1000"/>
    <d v="2025-07-15T00:00:00"/>
    <n v="3200"/>
    <n v="1000"/>
    <d v="2025-08-15T00:00:00"/>
    <n v="2200"/>
    <n v="1000"/>
    <d v="2025-09-15T00:00:00"/>
    <n v="1200"/>
    <n v="500"/>
    <d v="2025-10-15T00:00:00"/>
    <n v="700"/>
    <n v="500"/>
    <d v="2025-11-15T00:00:00"/>
    <n v="200"/>
    <n v="200"/>
    <d v="2025-12-15T00:00:00"/>
    <n v="0"/>
    <n v="4200"/>
    <n v="0"/>
    <s v="Paid"/>
    <s v="R"/>
    <x v="0"/>
  </r>
  <r>
    <n v="311"/>
    <n v="311"/>
    <s v="EMCE846167@emaxindia.in"/>
    <s v="pradeep@2007"/>
    <s v="EMCE846167"/>
    <x v="225"/>
    <x v="2"/>
    <x v="2"/>
    <x v="0"/>
    <x v="2"/>
    <x v="2"/>
    <s v="04:30 PM to 06:00 PM"/>
    <x v="0"/>
    <s v="Pradeep Sharma"/>
    <d v="2007-03-01T00:00:00"/>
    <s v="Prem Kumar Sharma"/>
    <s v="Phulmati"/>
    <x v="0"/>
    <x v="3"/>
    <s v="Qt. No. 15/D, Street No. - 03, Sector - 07, Bhilai, Dist - Durg, Chhattisgarh, Pin - 490006"/>
    <x v="19"/>
    <n v="9530704633"/>
    <s v="pradeepshar7438@gmail.com"/>
    <s v="ITI"/>
    <s v="YES"/>
    <s v="Issue"/>
    <n v="7000"/>
    <n v="200"/>
    <n v="800"/>
    <n v="500"/>
    <n v="7500"/>
    <n v="2500"/>
    <d v="2025-07-19T00:00:00"/>
    <n v="5000"/>
    <n v="3000"/>
    <d v="2025-08-19T00:00:00"/>
    <n v="2000"/>
    <n v="1000"/>
    <d v="2025-09-19T00:00:00"/>
    <n v="1000"/>
    <n v="500"/>
    <d v="2025-10-19T00:00:00"/>
    <n v="500"/>
    <n v="500"/>
    <d v="2025-11-19T00:00:00"/>
    <n v="0"/>
    <s v=""/>
    <s v=""/>
    <s v=""/>
    <n v="7500"/>
    <n v="0"/>
    <s v="Paid"/>
    <s v="R"/>
    <x v="0"/>
  </r>
  <r>
    <n v="312"/>
    <n v="312"/>
    <s v="EMCE839981@emaxindia.in"/>
    <s v="chetna@2009"/>
    <s v="EMCE839981"/>
    <x v="226"/>
    <x v="6"/>
    <x v="6"/>
    <x v="1"/>
    <x v="2"/>
    <x v="1"/>
    <s v="01:00 PM to 03:00 PM"/>
    <x v="3"/>
    <s v="Chetna Tiwari"/>
    <d v="2009-09-10T00:00:00"/>
    <s v="Dinesh Tiwari"/>
    <s v="Hira Bai"/>
    <x v="0"/>
    <x v="1"/>
    <s v="House No. - 213, Vaishali Nagar, Bhilai, Dist - Durg, Chhattisgarh, Pin - 490020"/>
    <x v="5"/>
    <n v="7581034947"/>
    <s v="chetnatiwa789@gmail.com"/>
    <s v="B.COM."/>
    <s v="YES"/>
    <s v="Issue"/>
    <n v="2000"/>
    <n v="200"/>
    <n v="300"/>
    <n v="0"/>
    <n v="2500"/>
    <n v="1000"/>
    <d v="2025-07-22T00:00:00"/>
    <n v="1500"/>
    <n v="500"/>
    <d v="2025-08-22T00:00:00"/>
    <n v="1000"/>
    <n v="500"/>
    <d v="2025-09-22T00:00:00"/>
    <n v="500"/>
    <n v="500"/>
    <d v="2025-10-22T00:00:00"/>
    <n v="0"/>
    <s v=""/>
    <s v=""/>
    <s v=""/>
    <s v=""/>
    <s v=""/>
    <s v=""/>
    <n v="2500"/>
    <n v="0"/>
    <s v="Paid"/>
    <s v="R"/>
    <x v="0"/>
  </r>
  <r>
    <n v="313"/>
    <n v="313"/>
    <s v="EMCE857021@emaxindia.in"/>
    <s v="ekta@2001"/>
    <s v="EMCE857021"/>
    <x v="227"/>
    <x v="7"/>
    <x v="7"/>
    <x v="1"/>
    <x v="2"/>
    <x v="1"/>
    <s v="11:30 AM to 12:45 PM"/>
    <x v="1"/>
    <s v="Ekta Thakur"/>
    <d v="2001-07-07T00:00:00"/>
    <s v="Kedarnath Thakur"/>
    <s v="Rukhmini"/>
    <x v="0"/>
    <x v="2"/>
    <s v="Quarter No. - 15/B, Street - 08, Sector - 09, Bhilai, Dist - Durg, Chhattisgarh, Pin - 490001"/>
    <x v="12"/>
    <n v="9781936395"/>
    <s v="ektathak1369@gmail.com"/>
    <s v="8TH PASS"/>
    <s v="YES"/>
    <s v="Issue"/>
    <n v="3000"/>
    <n v="200"/>
    <n v="500"/>
    <n v="500"/>
    <n v="3200"/>
    <n v="1000"/>
    <d v="2025-07-26T00:00:00"/>
    <n v="2200"/>
    <n v="1000"/>
    <d v="2025-08-26T00:00:00"/>
    <n v="1200"/>
    <n v="500"/>
    <d v="2025-09-26T00:00:00"/>
    <n v="700"/>
    <n v="500"/>
    <d v="2025-10-26T00:00:00"/>
    <n v="200"/>
    <n v="200"/>
    <d v="2025-11-26T00:00:00"/>
    <n v="0"/>
    <s v=""/>
    <s v=""/>
    <s v=""/>
    <n v="3200"/>
    <n v="0"/>
    <s v="Paid"/>
    <s v="R"/>
    <x v="0"/>
  </r>
  <r>
    <n v="314"/>
    <n v="314"/>
    <s v="EMCE860782@emaxindia.in"/>
    <s v="farida@1988"/>
    <s v="EMCE860782"/>
    <x v="228"/>
    <x v="8"/>
    <x v="8"/>
    <x v="0"/>
    <x v="2"/>
    <x v="2"/>
    <s v="12:45 PM to 2:30 PM"/>
    <x v="2"/>
    <s v="Farida Nayak"/>
    <d v="1988-02-13T00:00:00"/>
    <s v="Jivanram Nayak"/>
    <s v="Sukhmati"/>
    <x v="0"/>
    <x v="0"/>
    <s v="Qrt. No. 15/C, Street No. - 15, Sector - 05, Bhilai, Dist - Durg, Chhattisgarh, Pin - 490001"/>
    <x v="4"/>
    <n v="9371898415"/>
    <s v="faridanaya275@gmail.com"/>
    <s v="BCA"/>
    <s v="YES"/>
    <s v="Issue"/>
    <n v="6000"/>
    <n v="200"/>
    <n v="800"/>
    <n v="0"/>
    <n v="7000"/>
    <n v="2500"/>
    <d v="2025-08-02T00:00:00"/>
    <n v="4500"/>
    <n v="1000"/>
    <d v="2025-09-02T00:00:00"/>
    <n v="3500"/>
    <n v="1000"/>
    <d v="2025-10-02T00:00:00"/>
    <n v="2500"/>
    <n v="1000"/>
    <d v="2025-11-02T00:00:00"/>
    <n v="1500"/>
    <n v="1000"/>
    <d v="2025-12-02T00:00:00"/>
    <n v="500"/>
    <n v="500"/>
    <d v="2026-01-02T00:00:00"/>
    <n v="0"/>
    <n v="7000"/>
    <n v="0"/>
    <s v="Paid"/>
    <s v="R"/>
    <x v="0"/>
  </r>
  <r>
    <n v="315"/>
    <n v="315"/>
    <s v="EMCE849423@emaxindia.in"/>
    <s v="arjun@2008"/>
    <s v="EMCE849423"/>
    <x v="229"/>
    <x v="9"/>
    <x v="9"/>
    <x v="1"/>
    <x v="2"/>
    <x v="1"/>
    <s v="01:00 PM to 03:00 PM"/>
    <x v="3"/>
    <s v="Arjun Raut"/>
    <d v="2008-03-20T00:00:00"/>
    <s v="Govind Prasad Raut"/>
    <s v="Dropadi"/>
    <x v="0"/>
    <x v="0"/>
    <s v="House No. - 140, Ward - 20, Smriti Nagar, Bhilai, Dist - Durg, Chhattisgarh, Pin - 490020"/>
    <x v="14"/>
    <n v="8209443032"/>
    <s v="arjunraut6601@gmail.com"/>
    <s v="12TH PASS"/>
    <s v="YES"/>
    <s v="Issue"/>
    <n v="2000"/>
    <n v="200"/>
    <n v="300"/>
    <n v="0"/>
    <n v="2500"/>
    <n v="1000"/>
    <d v="2025-08-13T00:00:00"/>
    <n v="1500"/>
    <n v="500"/>
    <d v="2025-09-13T00:00:00"/>
    <n v="1000"/>
    <n v="500"/>
    <d v="2025-10-13T00:00:00"/>
    <n v="500"/>
    <n v="500"/>
    <d v="2025-11-13T00:00:00"/>
    <n v="0"/>
    <s v=""/>
    <s v=""/>
    <s v=""/>
    <s v=""/>
    <s v=""/>
    <s v=""/>
    <n v="2500"/>
    <n v="0"/>
    <s v="Paid"/>
    <s v="R"/>
    <x v="0"/>
  </r>
  <r>
    <n v="316"/>
    <n v="316"/>
    <s v="EMCE852129@emaxindia.in"/>
    <s v="sohan@1996"/>
    <s v="EMCE852129"/>
    <x v="230"/>
    <x v="12"/>
    <x v="12"/>
    <x v="0"/>
    <x v="2"/>
    <x v="2"/>
    <s v="11:30 AM to 12:45 PM"/>
    <x v="1"/>
    <s v="Sohan Pisda"/>
    <d v="1996-12-08T00:00:00"/>
    <s v="Vijay Kumar Pisda"/>
    <s v="Parsadi Bai"/>
    <x v="0"/>
    <x v="0"/>
    <s v="Qr. No. 21/E, Street No. - 20, Sector - 04, Bhilai, Dist - Durg, Chhattisgarh, Pin - 490001"/>
    <x v="1"/>
    <n v="7396705611"/>
    <s v="sohanpisd9125@gmail.com"/>
    <s v="12TH PASS"/>
    <s v="YES"/>
    <s v="Issue"/>
    <n v="8000"/>
    <n v="200"/>
    <n v="1000"/>
    <n v="300"/>
    <n v="8900"/>
    <n v="2500"/>
    <d v="2025-08-14T00:00:00"/>
    <n v="6400"/>
    <n v="3000"/>
    <d v="2025-09-14T00:00:00"/>
    <n v="3400"/>
    <n v="1000"/>
    <d v="2025-10-14T00:00:00"/>
    <n v="2400"/>
    <n v="1000"/>
    <d v="2025-11-14T00:00:00"/>
    <n v="1400"/>
    <n v="1000"/>
    <d v="2025-12-14T00:00:00"/>
    <n v="400"/>
    <n v="400"/>
    <d v="2026-01-14T00:00:00"/>
    <n v="0"/>
    <n v="8900"/>
    <n v="0"/>
    <s v="Paid"/>
    <s v="R"/>
    <x v="0"/>
  </r>
  <r>
    <n v="317"/>
    <n v="317"/>
    <s v="EMCE834215@emaxindia.in"/>
    <s v="bhavesh@1999"/>
    <s v="EMCE834215"/>
    <x v="231"/>
    <x v="0"/>
    <x v="0"/>
    <x v="0"/>
    <x v="3"/>
    <x v="0"/>
    <s v="10:30 AM to 12:00 PM"/>
    <x v="1"/>
    <s v="Bhavesh Usendi"/>
    <d v="1999-06-13T00:00:00"/>
    <s v="Vijay Kumar Usendi"/>
    <s v="Parvati"/>
    <x v="1"/>
    <x v="1"/>
    <s v="House No. - 740, Ward - 19, Nehru Nagar, Bhilai, Bhilai, Dist - Durg, Chhattisgarh, Pin - 490020"/>
    <x v="3"/>
    <n v="8308913681"/>
    <s v="bhaveshusen9340@gmail.com"/>
    <s v="10TH PASS"/>
    <s v="YES"/>
    <s v="Issue"/>
    <n v="12500"/>
    <n v="200"/>
    <n v="1200"/>
    <n v="500"/>
    <n v="13400"/>
    <n v="5000"/>
    <d v="2025-08-20T00:00:00"/>
    <n v="8400"/>
    <n v="3000"/>
    <d v="2025-09-20T00:00:00"/>
    <n v="5400"/>
    <n v="3000"/>
    <d v="2025-10-20T00:00:00"/>
    <n v="2400"/>
    <n v="1000"/>
    <d v="2025-11-20T00:00:00"/>
    <n v="1400"/>
    <n v="1000"/>
    <d v="2025-12-20T00:00:00"/>
    <n v="400"/>
    <n v="400"/>
    <d v="2026-01-20T00:00:00"/>
    <n v="0"/>
    <n v="13400"/>
    <n v="0"/>
    <s v="Paid"/>
    <s v="R"/>
    <x v="2"/>
  </r>
  <r>
    <n v="318"/>
    <n v="318"/>
    <s v="EMCE843928@emaxindia.in"/>
    <s v="ajay@1990"/>
    <s v="EMCE843928"/>
    <x v="232"/>
    <x v="4"/>
    <x v="4"/>
    <x v="0"/>
    <x v="3"/>
    <x v="0"/>
    <s v="04:30 PM to 06:00 PM"/>
    <x v="0"/>
    <s v="Ajay Ray"/>
    <d v="1990-12-07T00:00:00"/>
    <s v="Parmanand Ray"/>
    <s v="Kiran"/>
    <x v="0"/>
    <x v="2"/>
    <s v="Quarter No. - 11/B, Street - 06, Sector - 09, Bhilai, Dist - Durg, Chhattisgarh, Pin - 490001"/>
    <x v="12"/>
    <n v="9025214372"/>
    <s v="ajayray8769@gmail.com"/>
    <s v="12TH PASS"/>
    <s v="YES"/>
    <s v="Issue"/>
    <n v="15000"/>
    <n v="200"/>
    <n v="1200"/>
    <n v="300"/>
    <n v="16100"/>
    <n v="5000"/>
    <d v="2025-08-22T00:00:00"/>
    <n v="11100"/>
    <n v="3000"/>
    <d v="2025-09-22T00:00:00"/>
    <n v="8100"/>
    <n v="3000"/>
    <d v="2025-10-22T00:00:00"/>
    <n v="5100"/>
    <n v="3000"/>
    <d v="2025-11-22T00:00:00"/>
    <n v="2100"/>
    <n v="2000"/>
    <d v="2025-12-22T00:00:00"/>
    <n v="100"/>
    <n v="100"/>
    <d v="2026-01-22T00:00:00"/>
    <n v="0"/>
    <n v="16100"/>
    <n v="0"/>
    <s v="Paid"/>
    <s v="R"/>
    <x v="2"/>
  </r>
  <r>
    <n v="319"/>
    <n v="319"/>
    <s v="EMCE885507@emaxindia.in"/>
    <s v="ragini@1988"/>
    <s v="EMCE885507"/>
    <x v="233"/>
    <x v="0"/>
    <x v="0"/>
    <x v="0"/>
    <x v="3"/>
    <x v="0"/>
    <s v="01:00 PM to 03:00 PM"/>
    <x v="3"/>
    <s v="Ragini Bodley"/>
    <d v="1988-08-26T00:00:00"/>
    <s v="Kailash Bodley"/>
    <s v="Rukhmini"/>
    <x v="0"/>
    <x v="1"/>
    <s v="Block - 20/E, Street - 11, Sector - 04, Bhilai, Dist - Durg, Chhattisgarh, Pin - 490001"/>
    <x v="1"/>
    <n v="8557433771"/>
    <s v="raginibodl7066@gmail.com"/>
    <s v="POST GRADUATE"/>
    <s v="YES"/>
    <s v="Issue"/>
    <n v="12500"/>
    <n v="200"/>
    <n v="1200"/>
    <n v="200"/>
    <n v="13700"/>
    <n v="5000"/>
    <d v="2025-08-27T00:00:00"/>
    <n v="8700"/>
    <n v="3000"/>
    <d v="2025-09-27T00:00:00"/>
    <n v="5700"/>
    <n v="3000"/>
    <d v="2025-10-27T00:00:00"/>
    <n v="2700"/>
    <n v="1000"/>
    <d v="2025-11-27T00:00:00"/>
    <n v="1700"/>
    <n v="1000"/>
    <d v="2025-12-27T00:00:00"/>
    <n v="700"/>
    <n v="700"/>
    <d v="2026-01-27T00:00:00"/>
    <n v="0"/>
    <n v="13700"/>
    <n v="0"/>
    <s v="Paid"/>
    <s v="R"/>
    <x v="2"/>
  </r>
  <r>
    <n v="320"/>
    <n v="320"/>
    <s v="EMCE858089@emaxindia.in"/>
    <s v="dayaram@1989"/>
    <s v="EMCE858089"/>
    <x v="234"/>
    <x v="2"/>
    <x v="2"/>
    <x v="0"/>
    <x v="2"/>
    <x v="2"/>
    <s v="12:45 PM to 2:30 PM"/>
    <x v="2"/>
    <s v="Dayaram Kashyap"/>
    <d v="1989-05-12T00:00:00"/>
    <s v="Bhagwandas Kashyap"/>
    <s v="Sudha"/>
    <x v="0"/>
    <x v="2"/>
    <s v="House No. - 258, Vaishali Nagar, Bhilai, Dist - Durg, Chhattisgarh, Pin - 490020"/>
    <x v="5"/>
    <n v="7586365034"/>
    <s v="dayaramkash3517@gmail.com"/>
    <s v="ITI"/>
    <s v="YES"/>
    <s v="Issue"/>
    <n v="7000"/>
    <n v="200"/>
    <n v="800"/>
    <n v="200"/>
    <n v="7800"/>
    <n v="2500"/>
    <d v="2025-08-29T00:00:00"/>
    <n v="5300"/>
    <n v="3000"/>
    <d v="2025-09-29T00:00:00"/>
    <n v="2300"/>
    <n v="1000"/>
    <d v="2025-10-29T00:00:00"/>
    <n v="1300"/>
    <n v="500"/>
    <d v="2025-11-29T00:00:00"/>
    <n v="800"/>
    <n v="500"/>
    <d v="2025-12-29T00:00:00"/>
    <n v="300"/>
    <n v="300"/>
    <d v="2026-01-29T00:00:00"/>
    <n v="0"/>
    <n v="7800"/>
    <n v="0"/>
    <s v="Paid"/>
    <s v="R"/>
    <x v="0"/>
  </r>
  <r>
    <n v="321"/>
    <n v="321"/>
    <s v="EMCE836966@emaxindia.in"/>
    <s v="akash@1992"/>
    <s v="EMCE836966"/>
    <x v="235"/>
    <x v="3"/>
    <x v="3"/>
    <x v="1"/>
    <x v="2"/>
    <x v="1"/>
    <s v="04:30 PM to 06:00 PM"/>
    <x v="0"/>
    <s v="Akash Kurre"/>
    <d v="1992-06-23T00:00:00"/>
    <s v="Hari Prasad Kurre"/>
    <s v="Sarlabai"/>
    <x v="1"/>
    <x v="1"/>
    <s v="Qrt. No. 22/B, Street No. - 22, Sector - 01, Bhilai, Dist - Durg, Chhattisgarh, Pin - 490001"/>
    <x v="17"/>
    <n v="8319478598"/>
    <s v="akashkurr1338@gmail.com"/>
    <s v="12TH PASS"/>
    <s v="YES"/>
    <s v="Issue"/>
    <n v="3000"/>
    <n v="200"/>
    <n v="300"/>
    <n v="0"/>
    <n v="3500"/>
    <n v="1000"/>
    <d v="2025-08-31T00:00:00"/>
    <n v="2500"/>
    <n v="1000"/>
    <d v="2025-09-30T00:00:00"/>
    <n v="1500"/>
    <n v="500"/>
    <d v="2025-10-30T00:00:00"/>
    <n v="1000"/>
    <n v="500"/>
    <d v="2025-11-30T00:00:00"/>
    <n v="500"/>
    <n v="500"/>
    <d v="2025-12-30T00:00:00"/>
    <n v="0"/>
    <s v=""/>
    <s v=""/>
    <s v=""/>
    <n v="3500"/>
    <n v="0"/>
    <s v="Paid"/>
    <s v="R"/>
    <x v="0"/>
  </r>
  <r>
    <n v="322"/>
    <n v="322"/>
    <s v="EMCE881211@emaxindia.in"/>
    <s v="puran@1989"/>
    <s v="EMCE881211"/>
    <x v="236"/>
    <x v="6"/>
    <x v="6"/>
    <x v="1"/>
    <x v="2"/>
    <x v="1"/>
    <s v="01:00 PM to 03:00 PM"/>
    <x v="3"/>
    <s v="Puran Sinha"/>
    <d v="1989-03-21T00:00:00"/>
    <s v="Suresh Sinha"/>
    <s v="Phulmati"/>
    <x v="0"/>
    <x v="1"/>
    <s v="House No. - 692, Ward - 10, Supela, Bhilai, Dist - Durg, Chhattisgarh, Pin - 490023"/>
    <x v="13"/>
    <n v="8123926292"/>
    <s v="puransinh8768@gmail.com"/>
    <s v="GRADUATE"/>
    <s v="YES"/>
    <s v="Issue"/>
    <n v="2000"/>
    <n v="200"/>
    <n v="300"/>
    <n v="300"/>
    <n v="2200"/>
    <n v="500"/>
    <d v="2025-09-07T00:00:00"/>
    <n v="1700"/>
    <n v="500"/>
    <d v="2025-10-07T00:00:00"/>
    <n v="1200"/>
    <n v="500"/>
    <d v="2025-11-07T00:00:00"/>
    <n v="700"/>
    <n v="500"/>
    <d v="2025-12-07T00:00:00"/>
    <n v="200"/>
    <n v="200"/>
    <d v="2026-01-07T00:00:00"/>
    <n v="0"/>
    <s v=""/>
    <s v=""/>
    <s v=""/>
    <n v="2200"/>
    <n v="0"/>
    <s v="Paid"/>
    <s v="R"/>
    <x v="0"/>
  </r>
  <r>
    <n v="323"/>
    <n v="323"/>
    <s v="EMCE859658@emaxindia.in"/>
    <s v="alok@1994"/>
    <s v="EMCE859658"/>
    <x v="237"/>
    <x v="13"/>
    <x v="13"/>
    <x v="1"/>
    <x v="2"/>
    <x v="1"/>
    <s v="01:00 PM to 03:00 PM"/>
    <x v="3"/>
    <s v="Alok Agrawal"/>
    <d v="1994-09-20T00:00:00"/>
    <s v="Ghanshyam Agrawal"/>
    <s v="Laxmi"/>
    <x v="0"/>
    <x v="0"/>
    <s v="Qrt. No. 3/F, Street No. - 04, Sector - 05, Bhilai, Dist - Durg, Chhattisgarh, Pin - 490001"/>
    <x v="4"/>
    <n v="6909439419"/>
    <s v="alokagra4624@gmail.com"/>
    <s v="B.A."/>
    <s v="YES"/>
    <s v="Issue"/>
    <n v="3500"/>
    <n v="200"/>
    <n v="500"/>
    <n v="0"/>
    <n v="4200"/>
    <n v="1000"/>
    <d v="2025-09-12T00:00:00"/>
    <n v="3200"/>
    <n v="1000"/>
    <d v="2025-10-12T00:00:00"/>
    <n v="2200"/>
    <n v="1000"/>
    <d v="2025-11-12T00:00:00"/>
    <n v="1200"/>
    <n v="500"/>
    <d v="2025-12-12T00:00:00"/>
    <n v="700"/>
    <n v="500"/>
    <d v="2026-01-12T00:00:00"/>
    <n v="200"/>
    <n v="200"/>
    <d v="2026-02-12T00:00:00"/>
    <n v="0"/>
    <n v="4200"/>
    <n v="0"/>
    <s v="Paid"/>
    <s v="R"/>
    <x v="0"/>
  </r>
  <r>
    <n v="324"/>
    <n v="324"/>
    <s v="EMCE866428@emaxindia.in"/>
    <s v="shrikant@2000"/>
    <s v="EMCE866428"/>
    <x v="238"/>
    <x v="11"/>
    <x v="11"/>
    <x v="1"/>
    <x v="2"/>
    <x v="1"/>
    <s v="11:30 AM to 12:45 PM"/>
    <x v="1"/>
    <s v="Shrikant Mahapatra"/>
    <d v="2000-07-16T00:00:00"/>
    <s v="Ramnath Mahapatra"/>
    <s v="Kavita"/>
    <x v="0"/>
    <x v="3"/>
    <s v="Qtr. No. 17/B, Street No. - 10, Sector - 02, Bhilai, Dist - Durg, Chhattisgarh, Pin - 490001"/>
    <x v="2"/>
    <n v="8933744355"/>
    <s v="shrikantmaha148@gmail.com"/>
    <s v="10TH PASS"/>
    <s v="YES"/>
    <s v="Issue"/>
    <n v="2500"/>
    <n v="200"/>
    <n v="500"/>
    <n v="500"/>
    <n v="2700"/>
    <n v="1000"/>
    <d v="2025-09-13T00:00:00"/>
    <n v="1700"/>
    <n v="500"/>
    <d v="2025-10-13T00:00:00"/>
    <n v="1200"/>
    <n v="500"/>
    <d v="2025-11-13T00:00:00"/>
    <n v="700"/>
    <n v="500"/>
    <d v="2025-12-13T00:00:00"/>
    <n v="200"/>
    <n v="200"/>
    <d v="2026-01-13T00:00:00"/>
    <n v="0"/>
    <s v=""/>
    <s v=""/>
    <s v=""/>
    <n v="2700"/>
    <n v="0"/>
    <s v="Paid"/>
    <s v="R"/>
    <x v="0"/>
  </r>
  <r>
    <n v="325"/>
    <n v="325"/>
    <s v="EMCE885341@emaxindia.in"/>
    <s v="shalini@1997"/>
    <s v="EMCE885341"/>
    <x v="238"/>
    <x v="4"/>
    <x v="4"/>
    <x v="0"/>
    <x v="3"/>
    <x v="0"/>
    <s v="04:30 PM to 06:00 PM"/>
    <x v="0"/>
    <s v="Shalini Kashyap"/>
    <d v="1997-03-11T00:00:00"/>
    <s v="Pitambar Kashyap"/>
    <s v="Sita Bai"/>
    <x v="0"/>
    <x v="0"/>
    <s v="House No. - 444, Vaishali Nagar, Bhilai, Dist - Durg, Chhattisgarh, Pin - 490020"/>
    <x v="5"/>
    <n v="8011634331"/>
    <s v="shalinikash5906@gmail.com"/>
    <s v="B.COM."/>
    <s v="YES"/>
    <s v="Issue"/>
    <n v="15000"/>
    <n v="200"/>
    <n v="1200"/>
    <n v="0"/>
    <n v="16400"/>
    <n v="5000"/>
    <d v="2025-09-13T00:00:00"/>
    <n v="11400"/>
    <n v="3000"/>
    <d v="2025-10-13T00:00:00"/>
    <n v="8400"/>
    <n v="3000"/>
    <d v="2025-11-13T00:00:00"/>
    <n v="5400"/>
    <n v="3000"/>
    <d v="2025-12-13T00:00:00"/>
    <n v="2400"/>
    <n v="2000"/>
    <d v="2026-01-13T00:00:00"/>
    <n v="400"/>
    <n v="400"/>
    <d v="2026-02-13T00:00:00"/>
    <n v="0"/>
    <n v="16400"/>
    <n v="0"/>
    <s v="Paid"/>
    <s v="R"/>
    <x v="2"/>
  </r>
  <r>
    <n v="326"/>
    <n v="326"/>
    <s v="EMCE848114@emaxindia.in"/>
    <s v="brijesh@1993"/>
    <s v="EMCE848114"/>
    <x v="239"/>
    <x v="0"/>
    <x v="0"/>
    <x v="0"/>
    <x v="3"/>
    <x v="0"/>
    <s v="01:00 PM to 03:00 PM"/>
    <x v="3"/>
    <s v="Brijesh Netam"/>
    <d v="1993-05-24T00:00:00"/>
    <s v="Balram Netam"/>
    <s v="Chandrabai"/>
    <x v="1"/>
    <x v="0"/>
    <s v="Qt. No. 9/E, Street No. - 16, Sector - 07, Bhilai, Dist - Durg, Chhattisgarh, Pin - 490006"/>
    <x v="19"/>
    <n v="8984319834"/>
    <s v="brijeshneta4741@gmail.com"/>
    <s v="10TH PASS"/>
    <s v="YES"/>
    <s v="Issue"/>
    <n v="12500"/>
    <n v="200"/>
    <n v="1200"/>
    <n v="300"/>
    <n v="13600"/>
    <n v="5000"/>
    <d v="2025-09-14T00:00:00"/>
    <n v="8600"/>
    <n v="3000"/>
    <d v="2025-10-14T00:00:00"/>
    <n v="5600"/>
    <n v="3000"/>
    <d v="2025-11-14T00:00:00"/>
    <n v="2600"/>
    <n v="1000"/>
    <d v="2025-12-14T00:00:00"/>
    <n v="1600"/>
    <n v="1000"/>
    <d v="2026-01-14T00:00:00"/>
    <n v="600"/>
    <n v="600"/>
    <d v="2026-02-14T00:00:00"/>
    <n v="0"/>
    <n v="13600"/>
    <n v="0"/>
    <s v="Paid"/>
    <s v="R"/>
    <x v="2"/>
  </r>
  <r>
    <n v="327"/>
    <n v="327"/>
    <s v="EMCE872633@emaxindia.in"/>
    <s v="vishal@2001"/>
    <s v="EMCE872633"/>
    <x v="240"/>
    <x v="5"/>
    <x v="5"/>
    <x v="1"/>
    <x v="2"/>
    <x v="1"/>
    <s v="01:00 PM to 03:00 PM"/>
    <x v="3"/>
    <s v="Vishal Pradhan"/>
    <d v="2001-07-10T00:00:00"/>
    <s v="Dayaram Pradhan"/>
    <s v="Durga Bai"/>
    <x v="0"/>
    <x v="3"/>
    <s v="Qtr. No. 19/B, Street No. - 16, Sector - 02, Bhilai, Dist - Durg, Chhattisgarh, Pin - 490001"/>
    <x v="2"/>
    <n v="8765832482"/>
    <s v="vishalprad9791@gmail.com"/>
    <s v="ITI"/>
    <s v="YES"/>
    <s v="Issue"/>
    <n v="2500"/>
    <n v="200"/>
    <n v="400"/>
    <n v="200"/>
    <n v="2900"/>
    <n v="1000"/>
    <d v="2025-09-19T00:00:00"/>
    <n v="1900"/>
    <n v="500"/>
    <d v="2025-10-19T00:00:00"/>
    <n v="1400"/>
    <n v="500"/>
    <d v="2025-11-19T00:00:00"/>
    <n v="900"/>
    <n v="500"/>
    <d v="2025-12-19T00:00:00"/>
    <n v="400"/>
    <n v="400"/>
    <d v="2026-01-19T00:00:00"/>
    <n v="0"/>
    <s v=""/>
    <s v=""/>
    <s v=""/>
    <n v="2900"/>
    <n v="0"/>
    <s v="Paid"/>
    <s v="R"/>
    <x v="0"/>
  </r>
  <r>
    <n v="328"/>
    <n v="328"/>
    <s v="EMCE875102@emaxindia.in"/>
    <s v="quratulain@1996"/>
    <s v="EMCE875102"/>
    <x v="240"/>
    <x v="6"/>
    <x v="6"/>
    <x v="1"/>
    <x v="2"/>
    <x v="1"/>
    <s v="12:45 PM to 2:30 PM"/>
    <x v="2"/>
    <s v="Quratulain Khobragade"/>
    <d v="1996-10-01T00:00:00"/>
    <s v="Kedarnath Khobragade"/>
    <s v="Sukhmati"/>
    <x v="0"/>
    <x v="0"/>
    <s v="House No. - 171, Ward - 22, Nehru Nagar, Bhilai, Dist - Durg, Chhattisgarh, Pin - 490020"/>
    <x v="3"/>
    <n v="6815031452"/>
    <s v="quratulainkhob8359@gmail.com"/>
    <s v="ITI"/>
    <s v="YES"/>
    <s v="Issue"/>
    <n v="2000"/>
    <n v="200"/>
    <n v="300"/>
    <n v="0"/>
    <n v="2500"/>
    <n v="1000"/>
    <d v="2025-09-19T00:00:00"/>
    <n v="1500"/>
    <n v="500"/>
    <d v="2025-10-19T00:00:00"/>
    <n v="1000"/>
    <n v="500"/>
    <d v="2025-11-19T00:00:00"/>
    <n v="500"/>
    <n v="500"/>
    <d v="2025-12-19T00:00:00"/>
    <n v="0"/>
    <s v=""/>
    <s v=""/>
    <s v=""/>
    <s v=""/>
    <s v=""/>
    <s v=""/>
    <n v="2500"/>
    <n v="0"/>
    <s v="Paid"/>
    <s v="R"/>
    <x v="0"/>
  </r>
  <r>
    <n v="329"/>
    <n v="329"/>
    <s v="EMCE842637@emaxindia.in"/>
    <s v="reena@1999"/>
    <s v="EMCE842637"/>
    <x v="241"/>
    <x v="4"/>
    <x v="4"/>
    <x v="0"/>
    <x v="3"/>
    <x v="0"/>
    <s v="10:30 AM to 12:00 PM"/>
    <x v="1"/>
    <s v="Reena Dewari"/>
    <d v="1999-05-14T00:00:00"/>
    <s v="Bharat Dewari"/>
    <s v="Phulmati"/>
    <x v="0"/>
    <x v="0"/>
    <s v="House No. - 372, Ward - 06, Kumhari, Bhilai, Dist - Durg, Chhattisgarh, Pin - 490042"/>
    <x v="15"/>
    <n v="6351244992"/>
    <s v="reenadewa1704@gmail.com"/>
    <s v="GRADUATE"/>
    <s v="YES"/>
    <s v="Issue"/>
    <n v="15000"/>
    <n v="200"/>
    <n v="1200"/>
    <n v="0"/>
    <n v="16400"/>
    <n v="5000"/>
    <d v="2025-09-25T00:00:00"/>
    <n v="11400"/>
    <n v="3000"/>
    <d v="2025-10-25T00:00:00"/>
    <n v="8400"/>
    <n v="3000"/>
    <d v="2025-11-25T00:00:00"/>
    <n v="5400"/>
    <n v="3000"/>
    <d v="2025-12-25T00:00:00"/>
    <n v="2400"/>
    <n v="2000"/>
    <d v="2026-01-25T00:00:00"/>
    <n v="400"/>
    <n v="400"/>
    <d v="2026-02-25T00:00:00"/>
    <n v="0"/>
    <n v="16400"/>
    <n v="0"/>
    <s v="Paid"/>
    <s v="R"/>
    <x v="0"/>
  </r>
  <r>
    <n v="330"/>
    <n v="330"/>
    <s v="EMCE885792@emaxindia.in"/>
    <s v="esha@1996"/>
    <s v="EMCE885792"/>
    <x v="242"/>
    <x v="8"/>
    <x v="8"/>
    <x v="0"/>
    <x v="2"/>
    <x v="2"/>
    <s v="11:30 AM to 12:45 PM"/>
    <x v="1"/>
    <s v="Esha Kumhar"/>
    <d v="1996-01-09T00:00:00"/>
    <s v="Hemant Kumar Kumhar"/>
    <s v="Kamla Bai"/>
    <x v="1"/>
    <x v="0"/>
    <s v="House No. - 203, Ward - 10, Nehru Nagar, Bhilai, Dist - Durg, Chhattisgarh, Pin - 490020"/>
    <x v="3"/>
    <n v="6417548943"/>
    <s v="eshakumh8248@gmail.com"/>
    <s v="B.COM."/>
    <s v="YES"/>
    <s v="Issue"/>
    <n v="6000"/>
    <n v="200"/>
    <n v="800"/>
    <n v="200"/>
    <n v="6800"/>
    <n v="2500"/>
    <d v="2025-09-28T00:00:00"/>
    <n v="4300"/>
    <n v="1000"/>
    <d v="2025-10-28T00:00:00"/>
    <n v="3300"/>
    <n v="1000"/>
    <d v="2025-11-28T00:00:00"/>
    <n v="2300"/>
    <n v="1000"/>
    <d v="2025-12-28T00:00:00"/>
    <n v="1300"/>
    <n v="1000"/>
    <d v="2026-01-28T00:00:00"/>
    <n v="300"/>
    <n v="300"/>
    <d v="2026-02-28T00:00:00"/>
    <n v="0"/>
    <n v="6800"/>
    <n v="0"/>
    <s v="Paid"/>
    <s v="R"/>
    <x v="0"/>
  </r>
  <r>
    <n v="331"/>
    <n v="331"/>
    <s v="EMCE863832@emaxindia.in"/>
    <s v="anita@1992"/>
    <s v="EMCE863832"/>
    <x v="243"/>
    <x v="2"/>
    <x v="2"/>
    <x v="0"/>
    <x v="2"/>
    <x v="2"/>
    <s v="11:30 AM to 12:45 PM"/>
    <x v="1"/>
    <s v="Anita Ekka"/>
    <d v="1992-10-27T00:00:00"/>
    <s v="Kedarnath Ekka"/>
    <s v="Yashodha"/>
    <x v="1"/>
    <x v="3"/>
    <s v="House No. - 595, Shanti Nagar, Bhilai, Dist - Durg, Chhattisgarh, Pin - 490020"/>
    <x v="8"/>
    <n v="6656728719"/>
    <s v="anitaekka4025@gmail.com"/>
    <s v="12TH PASS"/>
    <s v="YES"/>
    <s v="Issue"/>
    <n v="7000"/>
    <n v="200"/>
    <n v="800"/>
    <n v="300"/>
    <n v="7700"/>
    <n v="2500"/>
    <d v="2025-10-01T00:00:00"/>
    <n v="5200"/>
    <n v="3000"/>
    <d v="2025-11-01T00:00:00"/>
    <n v="2200"/>
    <n v="1000"/>
    <d v="2025-12-01T00:00:00"/>
    <n v="1200"/>
    <n v="500"/>
    <d v="2026-01-01T00:00:00"/>
    <n v="700"/>
    <n v="500"/>
    <d v="2026-02-01T00:00:00"/>
    <n v="200"/>
    <n v="200"/>
    <d v="2026-03-01T00:00:00"/>
    <n v="0"/>
    <n v="7700"/>
    <n v="0"/>
    <s v="Paid"/>
    <s v="R"/>
    <x v="0"/>
  </r>
  <r>
    <n v="332"/>
    <n v="332"/>
    <s v="EMCE827133@emaxindia.in"/>
    <s v="savita@1997"/>
    <s v="EMCE827133"/>
    <x v="244"/>
    <x v="9"/>
    <x v="9"/>
    <x v="1"/>
    <x v="2"/>
    <x v="1"/>
    <s v="10:30 AM to 12:00 PM"/>
    <x v="1"/>
    <s v="Savita Dhruw"/>
    <d v="1997-03-25T00:00:00"/>
    <s v="Ganesh Dhruw"/>
    <s v="Parvati"/>
    <x v="0"/>
    <x v="3"/>
    <s v="House No. - 911, Ward - 29, Kosa Nagar, Bhilai, Dist - Durg, Chhattisgarh, Pin - 490020"/>
    <x v="7"/>
    <n v="9632729518"/>
    <s v="savitadhru1538@gmail.com"/>
    <s v="DIPLOMA"/>
    <s v="YES"/>
    <s v="Issue"/>
    <n v="2000"/>
    <n v="200"/>
    <n v="300"/>
    <n v="300"/>
    <n v="2200"/>
    <n v="500"/>
    <d v="2025-10-02T00:00:00"/>
    <n v="1700"/>
    <n v="500"/>
    <d v="2025-11-02T00:00:00"/>
    <n v="1200"/>
    <n v="500"/>
    <d v="2025-12-02T00:00:00"/>
    <n v="700"/>
    <n v="500"/>
    <d v="2026-01-02T00:00:00"/>
    <n v="200"/>
    <n v="200"/>
    <d v="2026-02-02T00:00:00"/>
    <n v="0"/>
    <s v=""/>
    <s v=""/>
    <s v=""/>
    <n v="2200"/>
    <n v="0"/>
    <s v="Paid"/>
    <s v="R"/>
    <x v="0"/>
  </r>
  <r>
    <n v="333"/>
    <n v="333"/>
    <s v="EMCE829313@emaxindia.in"/>
    <s v="tulsiram@2000"/>
    <s v="EMCE829313"/>
    <x v="244"/>
    <x v="6"/>
    <x v="6"/>
    <x v="1"/>
    <x v="2"/>
    <x v="1"/>
    <s v="12:45 PM to 2:30 PM"/>
    <x v="2"/>
    <s v="Tulsiram Soni"/>
    <d v="2000-10-05T00:00:00"/>
    <s v="Rajkumar Soni"/>
    <s v="Sushila"/>
    <x v="0"/>
    <x v="3"/>
    <s v="Quarter No. - 4/F, Street - 13, Sector - 09, Bhilai, Dist - Durg, Chhattisgarh, Pin - 490001"/>
    <x v="12"/>
    <n v="9531133623"/>
    <s v="tulsiramsoni6777@gmail.com"/>
    <s v="B.A."/>
    <s v="YES"/>
    <s v="Issue"/>
    <n v="2000"/>
    <n v="200"/>
    <n v="300"/>
    <n v="0"/>
    <n v="2500"/>
    <n v="1000"/>
    <d v="2025-10-02T00:00:00"/>
    <n v="1500"/>
    <n v="500"/>
    <d v="2025-11-02T00:00:00"/>
    <n v="1000"/>
    <n v="500"/>
    <d v="2025-12-02T00:00:00"/>
    <n v="500"/>
    <n v="500"/>
    <d v="2026-01-02T00:00:00"/>
    <n v="0"/>
    <s v=""/>
    <s v=""/>
    <s v=""/>
    <s v=""/>
    <s v=""/>
    <s v=""/>
    <n v="2500"/>
    <n v="0"/>
    <s v="Paid"/>
    <s v="R"/>
    <x v="0"/>
  </r>
  <r>
    <n v="334"/>
    <n v="334"/>
    <s v="EMCE836906@emaxindia.in"/>
    <s v="suman@1996"/>
    <s v="EMCE836906"/>
    <x v="245"/>
    <x v="13"/>
    <x v="13"/>
    <x v="1"/>
    <x v="2"/>
    <x v="1"/>
    <s v="11:30 AM to 12:45 PM"/>
    <x v="1"/>
    <s v="Suman Sahu"/>
    <d v="1996-04-18T00:00:00"/>
    <s v="Shyamlal Sahu"/>
    <s v="Meena Bai"/>
    <x v="0"/>
    <x v="0"/>
    <s v="House No. - 859, Ward - 23, Camp - 02, Bhilai, Dist - Durg, Chhattisgarh, Pin - 490001"/>
    <x v="9"/>
    <n v="6555221595"/>
    <s v="sumansahu6197@gmail.com"/>
    <s v="B.A."/>
    <s v="YES"/>
    <s v="Issue"/>
    <n v="3500"/>
    <n v="200"/>
    <n v="500"/>
    <n v="0"/>
    <n v="4200"/>
    <n v="1000"/>
    <d v="2025-10-03T00:00:00"/>
    <n v="3200"/>
    <n v="1000"/>
    <d v="2025-11-03T00:00:00"/>
    <n v="2200"/>
    <n v="1000"/>
    <d v="2025-12-03T00:00:00"/>
    <n v="1200"/>
    <n v="500"/>
    <d v="2026-01-03T00:00:00"/>
    <n v="700"/>
    <n v="500"/>
    <d v="2026-02-03T00:00:00"/>
    <n v="200"/>
    <n v="200"/>
    <d v="2026-03-03T00:00:00"/>
    <n v="0"/>
    <n v="4200"/>
    <n v="0"/>
    <s v="Paid"/>
    <s v="R"/>
    <x v="0"/>
  </r>
  <r>
    <n v="335"/>
    <n v="335"/>
    <s v="EMCE829520@emaxindia.in"/>
    <s v="parvati@1991"/>
    <s v="EMCE829520"/>
    <x v="246"/>
    <x v="0"/>
    <x v="0"/>
    <x v="0"/>
    <x v="3"/>
    <x v="0"/>
    <s v="10:30 AM to 12:00 PM"/>
    <x v="1"/>
    <s v="Parvati Lohar"/>
    <d v="1991-12-07T00:00:00"/>
    <s v="Anil Kumar Lohar"/>
    <s v="Ratna"/>
    <x v="0"/>
    <x v="0"/>
    <s v="Qt. No. 25/C, Street No. - 01, Sector - 06, Bhilai, Dist - Durg, Chhattisgarh, Pin - 490006"/>
    <x v="11"/>
    <n v="7303393380"/>
    <s v="parvatiloha3113@gmail.com"/>
    <s v="12TH PASS"/>
    <s v="YES"/>
    <s v="Issue"/>
    <n v="12500"/>
    <n v="200"/>
    <n v="1200"/>
    <n v="300"/>
    <n v="13600"/>
    <n v="5000"/>
    <d v="2025-10-05T00:00:00"/>
    <n v="8600"/>
    <n v="3000"/>
    <d v="2025-11-05T00:00:00"/>
    <n v="5600"/>
    <n v="3000"/>
    <d v="2025-12-05T00:00:00"/>
    <n v="2600"/>
    <n v="1000"/>
    <d v="2026-01-05T00:00:00"/>
    <n v="1600"/>
    <n v="1000"/>
    <d v="2026-02-05T00:00:00"/>
    <n v="600"/>
    <n v="600"/>
    <d v="2026-03-05T00:00:00"/>
    <n v="0"/>
    <n v="13600"/>
    <n v="0"/>
    <s v="Paid"/>
    <s v="R"/>
    <x v="0"/>
  </r>
  <r>
    <n v="336"/>
    <n v="336"/>
    <s v="EMCE860356@emaxindia.in"/>
    <s v="sumit@2004"/>
    <s v="EMCE860356"/>
    <x v="247"/>
    <x v="3"/>
    <x v="3"/>
    <x v="1"/>
    <x v="2"/>
    <x v="1"/>
    <s v="12:45 PM to 2:30 PM"/>
    <x v="2"/>
    <s v="Sumit Sidar"/>
    <d v="2004-12-28T00:00:00"/>
    <s v="Shiv Prasad Sidar"/>
    <s v="Rukhmini"/>
    <x v="1"/>
    <x v="1"/>
    <s v="House No. - 773, Vaishali Nagar, Bhilai, Dist - Durg, Chhattisgarh, Pin - 490020"/>
    <x v="5"/>
    <n v="9246570606"/>
    <s v="sumitsida6727@gmail.com"/>
    <s v="GRADUATE"/>
    <s v="YES"/>
    <s v="Issue"/>
    <n v="3000"/>
    <n v="200"/>
    <n v="300"/>
    <n v="200"/>
    <n v="3300"/>
    <n v="1000"/>
    <d v="2025-10-06T00:00:00"/>
    <n v="2300"/>
    <n v="1000"/>
    <d v="2025-11-06T00:00:00"/>
    <n v="1300"/>
    <n v="500"/>
    <d v="2025-12-06T00:00:00"/>
    <n v="800"/>
    <n v="500"/>
    <d v="2026-01-06T00:00:00"/>
    <n v="300"/>
    <n v="300"/>
    <d v="2026-02-06T00:00:00"/>
    <n v="0"/>
    <s v=""/>
    <s v=""/>
    <s v=""/>
    <n v="3300"/>
    <n v="0"/>
    <s v="Paid"/>
    <s v="R"/>
    <x v="0"/>
  </r>
  <r>
    <n v="337"/>
    <n v="337"/>
    <s v="EMCE843691@emaxindia.in"/>
    <s v="vishal@2000"/>
    <s v="EMCE843691"/>
    <x v="248"/>
    <x v="8"/>
    <x v="8"/>
    <x v="0"/>
    <x v="2"/>
    <x v="2"/>
    <s v="12:45 PM to 2:30 PM"/>
    <x v="2"/>
    <s v="Vishal Rajput"/>
    <d v="2000-10-19T00:00:00"/>
    <s v="Ganesh Rajput"/>
    <s v="Tara Bai"/>
    <x v="0"/>
    <x v="1"/>
    <s v="Qr. No. 28/B, Street No. - 25, Sector - 04, Bhilai, Dist - Durg, Chhattisgarh, Pin - 490001"/>
    <x v="1"/>
    <n v="8979512574"/>
    <s v="vishalrajp3627@gmail.com"/>
    <s v="10TH PASS"/>
    <s v="YES"/>
    <s v="Issue"/>
    <n v="6000"/>
    <n v="200"/>
    <n v="800"/>
    <n v="200"/>
    <n v="6800"/>
    <n v="2500"/>
    <d v="2025-10-11T00:00:00"/>
    <n v="4300"/>
    <n v="1000"/>
    <d v="2025-11-11T00:00:00"/>
    <n v="3300"/>
    <n v="1000"/>
    <d v="2025-12-11T00:00:00"/>
    <n v="2300"/>
    <n v="1000"/>
    <d v="2026-01-11T00:00:00"/>
    <n v="1300"/>
    <n v="1000"/>
    <d v="2026-02-11T00:00:00"/>
    <n v="300"/>
    <n v="300"/>
    <d v="2026-03-11T00:00:00"/>
    <n v="0"/>
    <n v="6800"/>
    <n v="0"/>
    <s v="Paid"/>
    <s v="R"/>
    <x v="0"/>
  </r>
  <r>
    <n v="338"/>
    <n v="338"/>
    <s v="EMCE854115@emaxindia.in"/>
    <s v="narendra@2008"/>
    <s v="EMCE854115"/>
    <x v="249"/>
    <x v="2"/>
    <x v="2"/>
    <x v="0"/>
    <x v="2"/>
    <x v="2"/>
    <s v="10:30 AM to 12:00 PM"/>
    <x v="1"/>
    <s v="Narendra Gupta"/>
    <d v="2008-05-09T00:00:00"/>
    <s v="Devendra Kumar Gupta"/>
    <s v="Padmini"/>
    <x v="1"/>
    <x v="3"/>
    <s v="House No. - 176, Shanti Nagar, Bhilai, Dist - Durg, Chhattisgarh, Pin - 490020"/>
    <x v="8"/>
    <n v="7383837050"/>
    <s v="narendragupt9257@gmail.com"/>
    <s v="ITI"/>
    <s v="YES"/>
    <s v="Issue"/>
    <n v="7000"/>
    <n v="200"/>
    <n v="800"/>
    <n v="0"/>
    <n v="8000"/>
    <n v="2500"/>
    <d v="2025-10-17T00:00:00"/>
    <n v="5500"/>
    <n v="3000"/>
    <d v="2025-11-17T00:00:00"/>
    <n v="2500"/>
    <n v="1000"/>
    <d v="2025-12-17T00:00:00"/>
    <n v="1500"/>
    <n v="500"/>
    <d v="2026-01-17T00:00:00"/>
    <n v="1000"/>
    <n v="1000"/>
    <d v="2026-02-17T00:00:00"/>
    <n v="0"/>
    <s v=""/>
    <s v=""/>
    <s v=""/>
    <n v="8000"/>
    <n v="0"/>
    <s v="Paid"/>
    <s v="R"/>
    <x v="0"/>
  </r>
  <r>
    <n v="339"/>
    <n v="339"/>
    <s v="EMCE867955@emaxindia.in"/>
    <s v="champa@2005"/>
    <s v="EMCE867955"/>
    <x v="249"/>
    <x v="12"/>
    <x v="12"/>
    <x v="0"/>
    <x v="2"/>
    <x v="2"/>
    <s v="01:00 PM to 03:00 PM"/>
    <x v="3"/>
    <s v="Champa Thakare"/>
    <d v="2005-05-21T00:00:00"/>
    <s v="Brijlal Thakare"/>
    <s v="Indra Bai"/>
    <x v="0"/>
    <x v="0"/>
    <s v="Block - 15/C, Street - 20, Sector - 04, Bhilai, Dist - Durg, Chhattisgarh, Pin - 490001"/>
    <x v="1"/>
    <n v="8020681718"/>
    <s v="champathak464@gmail.com"/>
    <s v="12TH PASS"/>
    <s v="YES"/>
    <s v="Issue"/>
    <n v="8000"/>
    <n v="200"/>
    <n v="1000"/>
    <n v="500"/>
    <n v="8700"/>
    <n v="2500"/>
    <d v="2025-10-17T00:00:00"/>
    <n v="6200"/>
    <n v="3000"/>
    <d v="2025-11-17T00:00:00"/>
    <n v="3200"/>
    <n v="1000"/>
    <d v="2025-12-17T00:00:00"/>
    <n v="2200"/>
    <n v="1000"/>
    <d v="2026-01-17T00:00:00"/>
    <n v="1200"/>
    <n v="1000"/>
    <d v="2026-02-17T00:00:00"/>
    <n v="200"/>
    <n v="200"/>
    <d v="2026-03-17T00:00:00"/>
    <n v="0"/>
    <n v="8700"/>
    <n v="0"/>
    <s v="Paid"/>
    <s v="R"/>
    <x v="0"/>
  </r>
  <r>
    <n v="340"/>
    <n v="340"/>
    <s v="EMCE868183@emaxindia.in"/>
    <s v="karan@2007"/>
    <s v="EMCE868183"/>
    <x v="249"/>
    <x v="8"/>
    <x v="8"/>
    <x v="0"/>
    <x v="2"/>
    <x v="2"/>
    <s v="01:00 PM to 03:00 PM"/>
    <x v="3"/>
    <s v="Karan Lakra"/>
    <d v="2007-01-18T00:00:00"/>
    <s v="Santosh Kumar Lakra"/>
    <s v="Padmini"/>
    <x v="0"/>
    <x v="1"/>
    <s v="Qtr. No. 22/F, Street No. - 05, Sector - 03, Bhilai, Dist - Durg, Chhattisgarh, Pin - 490001"/>
    <x v="10"/>
    <n v="6760849105"/>
    <s v="karanlakr4086@gmail.com"/>
    <s v="10TH PASS"/>
    <s v="YES"/>
    <s v="Issue"/>
    <n v="6000"/>
    <n v="200"/>
    <n v="800"/>
    <n v="200"/>
    <n v="6800"/>
    <n v="2500"/>
    <d v="2025-10-17T00:00:00"/>
    <n v="4300"/>
    <n v="1000"/>
    <d v="2025-11-17T00:00:00"/>
    <n v="3300"/>
    <n v="1000"/>
    <d v="2025-12-17T00:00:00"/>
    <n v="2300"/>
    <n v="1000"/>
    <d v="2026-01-17T00:00:00"/>
    <n v="1300"/>
    <n v="1000"/>
    <d v="2026-02-17T00:00:00"/>
    <n v="300"/>
    <n v="300"/>
    <d v="2026-03-17T00:00:00"/>
    <n v="0"/>
    <n v="6800"/>
    <n v="0"/>
    <s v="Paid"/>
    <s v="R"/>
    <x v="0"/>
  </r>
  <r>
    <n v="341"/>
    <n v="341"/>
    <s v="EMCE861500@emaxindia.in"/>
    <s v="sanjay@2001"/>
    <s v="EMCE861500"/>
    <x v="250"/>
    <x v="11"/>
    <x v="11"/>
    <x v="1"/>
    <x v="2"/>
    <x v="1"/>
    <s v="04:30 PM to 06:00 PM"/>
    <x v="0"/>
    <s v="Sanjay Lakra"/>
    <d v="2001-03-02T00:00:00"/>
    <s v="Chaindra Lakra"/>
    <s v="Kiran"/>
    <x v="0"/>
    <x v="0"/>
    <s v="House No. - 534, Ward - 08, Kosa Nagar, Bhilai, Dist - Durg, Chhattisgarh, Pin - 490020"/>
    <x v="7"/>
    <n v="8248092657"/>
    <s v="sanjaylakr5629@gmail.com"/>
    <s v="8TH PASS"/>
    <s v="YES"/>
    <s v="Issue"/>
    <n v="2500"/>
    <n v="200"/>
    <n v="500"/>
    <n v="200"/>
    <n v="3000"/>
    <n v="1000"/>
    <d v="2025-10-23T00:00:00"/>
    <n v="2000"/>
    <n v="1000"/>
    <d v="2025-11-23T00:00:00"/>
    <n v="1000"/>
    <n v="500"/>
    <d v="2025-12-23T00:00:00"/>
    <n v="500"/>
    <n v="500"/>
    <d v="2026-01-23T00:00:00"/>
    <n v="0"/>
    <s v=""/>
    <s v=""/>
    <s v=""/>
    <s v=""/>
    <s v=""/>
    <s v=""/>
    <n v="3000"/>
    <n v="0"/>
    <s v="Paid"/>
    <s v="R"/>
    <x v="0"/>
  </r>
  <r>
    <n v="342"/>
    <n v="342"/>
    <s v="EMCE878437@emaxindia.in"/>
    <s v="hansabai@2008"/>
    <s v="EMCE878437"/>
    <x v="251"/>
    <x v="3"/>
    <x v="3"/>
    <x v="1"/>
    <x v="2"/>
    <x v="1"/>
    <s v="10:30 AM to 12:00 PM"/>
    <x v="1"/>
    <s v="Hansabai Netam"/>
    <d v="2008-06-26T00:00:00"/>
    <s v="Toran Lal Netam"/>
    <s v="Hira Bai"/>
    <x v="0"/>
    <x v="0"/>
    <s v="Qt. No. 9/D, Street No. - 08, Sector - 07, Bhilai, Dist - Durg, Chhattisgarh, Pin - 490006"/>
    <x v="19"/>
    <n v="6910278314"/>
    <s v="hansabaineta8197@gmail.com"/>
    <s v="ITI"/>
    <s v="YES"/>
    <s v="Issue"/>
    <n v="3000"/>
    <n v="200"/>
    <n v="300"/>
    <n v="500"/>
    <n v="3000"/>
    <n v="1000"/>
    <d v="2025-11-01T00:00:00"/>
    <n v="2000"/>
    <n v="1000"/>
    <d v="2025-12-01T00:00:00"/>
    <n v="1000"/>
    <n v="500"/>
    <d v="2026-01-01T00:00:00"/>
    <n v="500"/>
    <n v="500"/>
    <d v="2026-02-01T00:00:00"/>
    <n v="0"/>
    <s v=""/>
    <s v=""/>
    <s v=""/>
    <s v=""/>
    <s v=""/>
    <s v=""/>
    <n v="3000"/>
    <n v="0"/>
    <s v="Paid"/>
    <s v="R"/>
    <x v="0"/>
  </r>
  <r>
    <n v="343"/>
    <n v="343"/>
    <s v="EMCE846948@emaxindia.in"/>
    <s v="lata@1991"/>
    <s v="EMCE846948"/>
    <x v="252"/>
    <x v="2"/>
    <x v="2"/>
    <x v="0"/>
    <x v="2"/>
    <x v="2"/>
    <s v="01:00 PM to 03:00 PM"/>
    <x v="3"/>
    <s v="Lata Tirkey"/>
    <d v="1991-08-14T00:00:00"/>
    <s v="Mahesh Tirkey"/>
    <s v="Sarlabai"/>
    <x v="1"/>
    <x v="2"/>
    <s v="Qt. No. 23/E, Street No. - 08, Sector - 07, Bhilai, Dist - Durg, Chhattisgarh, Pin - 490006"/>
    <x v="19"/>
    <n v="8123315772"/>
    <s v="latatirk5175@gmail.com"/>
    <s v="ITI"/>
    <s v="YES"/>
    <s v="Issue"/>
    <n v="7000"/>
    <n v="200"/>
    <n v="800"/>
    <n v="0"/>
    <n v="8000"/>
    <n v="2500"/>
    <d v="2025-11-02T00:00:00"/>
    <n v="5500"/>
    <n v="3000"/>
    <d v="2025-12-02T00:00:00"/>
    <n v="2500"/>
    <n v="1000"/>
    <d v="2026-01-02T00:00:00"/>
    <n v="1500"/>
    <n v="500"/>
    <d v="2026-02-02T00:00:00"/>
    <n v="1000"/>
    <n v="1000"/>
    <d v="2026-03-02T00:00:00"/>
    <n v="0"/>
    <s v=""/>
    <s v=""/>
    <s v=""/>
    <n v="8000"/>
    <n v="0"/>
    <s v="Paid"/>
    <s v="R"/>
    <x v="0"/>
  </r>
  <r>
    <n v="344"/>
    <n v="344"/>
    <s v="EMCE867496@emaxindia.in"/>
    <s v="shobha@2004"/>
    <s v="EMCE867496"/>
    <x v="253"/>
    <x v="4"/>
    <x v="4"/>
    <x v="0"/>
    <x v="3"/>
    <x v="0"/>
    <s v="04:30 PM to 06:00 PM"/>
    <x v="0"/>
    <s v="Shobha Hemrom"/>
    <d v="2004-07-22T00:00:00"/>
    <s v="Naresh Hemrom"/>
    <s v="Champa"/>
    <x v="1"/>
    <x v="3"/>
    <s v="Qrt. No. 13/F, Street No. - 10, Sector - 05, Bhilai, Dist - Durg, Chhattisgarh, Pin - 490001"/>
    <x v="4"/>
    <n v="7288578001"/>
    <s v="shobhahemr5084@gmail.com"/>
    <s v="10TH PASS"/>
    <s v="YES"/>
    <s v="Issue"/>
    <n v="15000"/>
    <n v="200"/>
    <n v="1200"/>
    <n v="200"/>
    <n v="16200"/>
    <n v="5000"/>
    <d v="2025-11-04T00:00:00"/>
    <n v="11200"/>
    <n v="3000"/>
    <d v="2025-12-04T00:00:00"/>
    <n v="8200"/>
    <n v="3000"/>
    <d v="2026-01-04T00:00:00"/>
    <n v="5200"/>
    <n v="3000"/>
    <d v="2026-02-04T00:00:00"/>
    <n v="2200"/>
    <n v="2000"/>
    <d v="2026-03-04T00:00:00"/>
    <n v="200"/>
    <n v="200"/>
    <d v="2026-04-04T00:00:00"/>
    <n v="0"/>
    <n v="16200"/>
    <n v="0"/>
    <s v="Paid"/>
    <s v="R"/>
    <x v="0"/>
  </r>
  <r>
    <n v="345"/>
    <n v="345"/>
    <s v="EMCE835409@emaxindia.in"/>
    <s v="arvind@1995"/>
    <s v="EMCE835409"/>
    <x v="254"/>
    <x v="11"/>
    <x v="11"/>
    <x v="1"/>
    <x v="2"/>
    <x v="1"/>
    <s v="01:00 PM to 03:00 PM"/>
    <x v="3"/>
    <s v="Arvind Joshi"/>
    <d v="1995-12-09T00:00:00"/>
    <s v="Prem Kumar Joshi"/>
    <s v="Indra Bai"/>
    <x v="0"/>
    <x v="3"/>
    <s v="Quarter No. 24/A, Street - 07, Sector - 10, Bhilai, Dist - Durg, Chhattisgarh, Pin - 490006"/>
    <x v="6"/>
    <n v="6349077703"/>
    <s v="arvindjosh6103@gmail.com"/>
    <s v="12TH PASS"/>
    <s v="YES"/>
    <s v="Issue"/>
    <n v="2500"/>
    <n v="200"/>
    <n v="500"/>
    <n v="0"/>
    <n v="3200"/>
    <n v="1000"/>
    <d v="2025-11-06T00:00:00"/>
    <n v="2200"/>
    <n v="1000"/>
    <d v="2025-12-06T00:00:00"/>
    <n v="1200"/>
    <n v="500"/>
    <d v="2026-01-06T00:00:00"/>
    <n v="700"/>
    <n v="500"/>
    <d v="2026-02-06T00:00:00"/>
    <n v="200"/>
    <n v="200"/>
    <d v="2026-03-06T00:00:00"/>
    <n v="0"/>
    <s v=""/>
    <s v=""/>
    <s v=""/>
    <n v="3200"/>
    <n v="0"/>
    <s v="Paid"/>
    <s v="R"/>
    <x v="0"/>
  </r>
  <r>
    <n v="346"/>
    <n v="346"/>
    <s v="EMCE869594@emaxindia.in"/>
    <s v="deepak@2003"/>
    <s v="EMCE869594"/>
    <x v="254"/>
    <x v="2"/>
    <x v="2"/>
    <x v="0"/>
    <x v="2"/>
    <x v="2"/>
    <s v="04:30 PM to 06:00 PM"/>
    <x v="0"/>
    <s v="Deepak Goud"/>
    <d v="2003-09-04T00:00:00"/>
    <s v="Shyamlal Goud"/>
    <s v="Babita"/>
    <x v="1"/>
    <x v="3"/>
    <s v="Qtr. No. 10/E, Street No. - 21, Sector - 02, Bhilai, Dist - Durg, Chhattisgarh, Pin - 490001"/>
    <x v="2"/>
    <n v="9033973388"/>
    <s v="deepakgoud9861@gmail.com"/>
    <s v="DIPLOMA"/>
    <s v="YES"/>
    <s v="Issue"/>
    <n v="7000"/>
    <n v="200"/>
    <n v="800"/>
    <n v="0"/>
    <n v="8000"/>
    <n v="2500"/>
    <d v="2025-11-06T00:00:00"/>
    <n v="5500"/>
    <n v="3000"/>
    <d v="2025-12-06T00:00:00"/>
    <n v="2500"/>
    <n v="1000"/>
    <d v="2026-01-06T00:00:00"/>
    <n v="1500"/>
    <n v="500"/>
    <d v="2026-02-06T00:00:00"/>
    <n v="1000"/>
    <n v="1000"/>
    <d v="2026-03-06T00:00:00"/>
    <n v="0"/>
    <s v=""/>
    <s v=""/>
    <s v=""/>
    <n v="8000"/>
    <n v="0"/>
    <s v="Paid"/>
    <s v="R"/>
    <x v="0"/>
  </r>
  <r>
    <n v="347"/>
    <n v="347"/>
    <s v="EMCE853275@emaxindia.in"/>
    <s v="rekha@2009"/>
    <s v="EMCE853275"/>
    <x v="255"/>
    <x v="5"/>
    <x v="5"/>
    <x v="1"/>
    <x v="2"/>
    <x v="1"/>
    <s v="01:00 PM to 03:00 PM"/>
    <x v="3"/>
    <s v="Rekha Yadav"/>
    <d v="2009-02-02T00:00:00"/>
    <s v="Chaindra Yadav"/>
    <s v="Nirmala"/>
    <x v="0"/>
    <x v="2"/>
    <s v="Qrt. No. 28/A, Street No. - 01, Sector - 05, Bhilai, Dist - Durg, Chhattisgarh, Pin - 490001"/>
    <x v="4"/>
    <n v="6893251906"/>
    <s v="rekhayada4293@gmail.com"/>
    <s v="POST GRADUATE"/>
    <s v="YES"/>
    <s v="Issue"/>
    <n v="2500"/>
    <n v="200"/>
    <n v="400"/>
    <n v="500"/>
    <n v="2600"/>
    <n v="1000"/>
    <d v="2025-11-07T00:00:00"/>
    <n v="1600"/>
    <n v="500"/>
    <d v="2025-12-07T00:00:00"/>
    <n v="1100"/>
    <n v="500"/>
    <d v="2026-01-07T00:00:00"/>
    <n v="600"/>
    <n v="500"/>
    <d v="2026-02-07T00:00:00"/>
    <n v="100"/>
    <n v="100"/>
    <d v="2026-03-07T00:00:00"/>
    <n v="0"/>
    <s v=""/>
    <s v=""/>
    <s v=""/>
    <n v="2600"/>
    <n v="0"/>
    <s v="Paid"/>
    <s v="R"/>
    <x v="0"/>
  </r>
  <r>
    <n v="348"/>
    <n v="348"/>
    <s v="EMCE847495@emaxindia.in"/>
    <s v="pramod@1990"/>
    <s v="EMCE847495"/>
    <x v="256"/>
    <x v="3"/>
    <x v="3"/>
    <x v="1"/>
    <x v="2"/>
    <x v="1"/>
    <s v="11:30 AM to 12:45 PM"/>
    <x v="1"/>
    <s v="Pramod Thakur"/>
    <d v="1990-08-15T00:00:00"/>
    <s v="Mukesh Kumar Thakur"/>
    <s v="Heera"/>
    <x v="0"/>
    <x v="1"/>
    <s v="Qtr. No. 26/A, Street No. - 16, Sector - 03, Bhilai, Dist - Durg, Chhattisgarh, Pin - 490001"/>
    <x v="10"/>
    <n v="8183010222"/>
    <s v="pramodthak5366@gmail.com"/>
    <s v="ITI"/>
    <s v="YES"/>
    <s v="Issue"/>
    <n v="3000"/>
    <n v="200"/>
    <n v="300"/>
    <n v="500"/>
    <n v="3000"/>
    <n v="1000"/>
    <d v="2025-11-22T00:00:00"/>
    <n v="2000"/>
    <n v="1000"/>
    <d v="2025-12-22T00:00:00"/>
    <n v="1000"/>
    <n v="500"/>
    <d v="2026-01-22T00:00:00"/>
    <n v="500"/>
    <n v="500"/>
    <d v="2026-02-22T00:00:00"/>
    <n v="0"/>
    <s v=""/>
    <s v=""/>
    <s v=""/>
    <s v=""/>
    <s v=""/>
    <s v=""/>
    <n v="3000"/>
    <n v="0"/>
    <s v="Paid"/>
    <s v="R"/>
    <x v="0"/>
  </r>
  <r>
    <n v="349"/>
    <n v="349"/>
    <s v="EMCE843281@emaxindia.in"/>
    <s v="diksha@2002"/>
    <s v="EMCE843281"/>
    <x v="257"/>
    <x v="9"/>
    <x v="9"/>
    <x v="1"/>
    <x v="2"/>
    <x v="1"/>
    <s v="04:30 PM to 06:00 PM"/>
    <x v="0"/>
    <s v="Diksha Salame"/>
    <d v="2002-01-07T00:00:00"/>
    <s v="Shiv Prasad Salame"/>
    <s v="Basanti"/>
    <x v="0"/>
    <x v="3"/>
    <s v="House No. - 283, Vaishali Nagar, Bhilai, Dist - Durg, Chhattisgarh, Pin - 490020"/>
    <x v="5"/>
    <n v="9816214237"/>
    <s v="dikshasala309@gmail.com"/>
    <s v="GRADUATE"/>
    <s v="YES"/>
    <s v="Issue"/>
    <n v="2000"/>
    <n v="200"/>
    <n v="300"/>
    <n v="200"/>
    <n v="2300"/>
    <n v="500"/>
    <d v="2025-11-23T00:00:00"/>
    <n v="1800"/>
    <n v="500"/>
    <d v="2025-12-23T00:00:00"/>
    <n v="1300"/>
    <n v="500"/>
    <d v="2026-01-23T00:00:00"/>
    <n v="800"/>
    <n v="500"/>
    <d v="2026-02-23T00:00:00"/>
    <n v="300"/>
    <n v="300"/>
    <d v="2026-03-23T00:00:00"/>
    <n v="0"/>
    <s v=""/>
    <s v=""/>
    <s v=""/>
    <n v="2300"/>
    <n v="0"/>
    <s v="Paid"/>
    <s v="R"/>
    <x v="0"/>
  </r>
  <r>
    <n v="350"/>
    <n v="350"/>
    <s v="EMCE881676@emaxindia.in"/>
    <s v="laxmi@2009"/>
    <s v="EMCE881676"/>
    <x v="257"/>
    <x v="4"/>
    <x v="4"/>
    <x v="0"/>
    <x v="3"/>
    <x v="0"/>
    <s v="01:00 PM to 03:00 PM"/>
    <x v="3"/>
    <s v="Laxmi Joshi"/>
    <d v="2009-08-03T00:00:00"/>
    <s v="Ghanshyam Joshi"/>
    <s v="Shobha"/>
    <x v="0"/>
    <x v="1"/>
    <s v="House No. - 386, Shanti Nagar, Bhilai, Dist - Durg, Chhattisgarh, Pin - 490020"/>
    <x v="8"/>
    <n v="6157828232"/>
    <s v="laxmijosh1029@gmail.com"/>
    <s v="GRADUATE"/>
    <s v="YES"/>
    <s v="Issue"/>
    <n v="15000"/>
    <n v="200"/>
    <n v="1200"/>
    <n v="200"/>
    <n v="16200"/>
    <n v="5000"/>
    <d v="2025-11-23T00:00:00"/>
    <n v="11200"/>
    <n v="3000"/>
    <d v="2025-12-23T00:00:00"/>
    <n v="8200"/>
    <n v="3000"/>
    <d v="2026-01-23T00:00:00"/>
    <n v="5200"/>
    <n v="3000"/>
    <d v="2026-02-23T00:00:00"/>
    <n v="2200"/>
    <n v="2000"/>
    <d v="2026-03-23T00:00:00"/>
    <n v="200"/>
    <n v="200"/>
    <d v="2026-04-23T00:00:00"/>
    <n v="0"/>
    <n v="16200"/>
    <n v="0"/>
    <s v="Paid"/>
    <s v="R"/>
    <x v="0"/>
  </r>
  <r>
    <n v="351"/>
    <n v="351"/>
    <s v="EMCE885025@emaxindia.in"/>
    <s v="sarika@1994"/>
    <s v="EMCE885025"/>
    <x v="258"/>
    <x v="13"/>
    <x v="13"/>
    <x v="1"/>
    <x v="2"/>
    <x v="1"/>
    <s v="12:45 PM to 2:30 PM"/>
    <x v="2"/>
    <s v="Sarika Kurre"/>
    <d v="1994-08-27T00:00:00"/>
    <s v="Shyamlal Kurre"/>
    <s v="Phoolbai"/>
    <x v="0"/>
    <x v="0"/>
    <s v="House No. - 949, Charoda, Bhilai, Dist - Durg, Chhattisgarh, Pin - 490036"/>
    <x v="16"/>
    <n v="7244588955"/>
    <s v="sarikakurr7156@gmail.com"/>
    <s v="8TH PASS"/>
    <s v="YES"/>
    <s v="Issue"/>
    <n v="3500"/>
    <n v="200"/>
    <n v="500"/>
    <n v="200"/>
    <n v="4000"/>
    <n v="1000"/>
    <d v="2025-11-24T00:00:00"/>
    <n v="3000"/>
    <n v="1000"/>
    <d v="2025-12-24T00:00:00"/>
    <n v="2000"/>
    <n v="1000"/>
    <d v="2026-01-24T00:00:00"/>
    <n v="1000"/>
    <n v="500"/>
    <d v="2026-02-24T00:00:00"/>
    <n v="500"/>
    <n v="500"/>
    <d v="2026-03-24T00:00:00"/>
    <n v="0"/>
    <s v=""/>
    <s v=""/>
    <s v=""/>
    <n v="4000"/>
    <n v="0"/>
    <s v="Paid"/>
    <s v="R"/>
    <x v="0"/>
  </r>
  <r>
    <n v="352"/>
    <n v="352"/>
    <s v="EMCE881908@emaxindia.in"/>
    <s v="ghanshyam@1994"/>
    <s v="EMCE881908"/>
    <x v="259"/>
    <x v="11"/>
    <x v="11"/>
    <x v="1"/>
    <x v="2"/>
    <x v="1"/>
    <s v="01:00 PM to 03:00 PM"/>
    <x v="3"/>
    <s v="Ghanshyam Pandey"/>
    <d v="1994-12-12T00:00:00"/>
    <s v="Puran Lal Pandey"/>
    <s v="Padmini"/>
    <x v="0"/>
    <x v="0"/>
    <s v="House No. - 495, Ward - 05, Supela, Bhilai, Dist - Durg, Chhattisgarh, Pin - 490023"/>
    <x v="13"/>
    <n v="9620916483"/>
    <s v="ghanshyampand1673@gmail.com"/>
    <s v="12TH PASS"/>
    <s v="YES"/>
    <s v="Issue"/>
    <n v="2500"/>
    <n v="200"/>
    <n v="500"/>
    <n v="0"/>
    <n v="3200"/>
    <n v="1000"/>
    <d v="2025-11-26T00:00:00"/>
    <n v="2200"/>
    <n v="1000"/>
    <d v="2025-12-26T00:00:00"/>
    <n v="1200"/>
    <n v="500"/>
    <d v="2026-01-26T00:00:00"/>
    <n v="700"/>
    <n v="500"/>
    <d v="2026-02-26T00:00:00"/>
    <n v="200"/>
    <n v="200"/>
    <d v="2026-03-26T00:00:00"/>
    <n v="0"/>
    <s v=""/>
    <s v=""/>
    <s v=""/>
    <n v="3200"/>
    <n v="0"/>
    <s v="Paid"/>
    <s v="R"/>
    <x v="0"/>
  </r>
  <r>
    <n v="353"/>
    <n v="353"/>
    <s v="EMCE834028@emaxindia.in"/>
    <s v="manohar@1998"/>
    <s v="EMCE834028"/>
    <x v="260"/>
    <x v="4"/>
    <x v="4"/>
    <x v="0"/>
    <x v="3"/>
    <x v="0"/>
    <s v="12:45 PM to 2:30 PM"/>
    <x v="2"/>
    <s v="Manohar Soni"/>
    <d v="1998-10-14T00:00:00"/>
    <s v="Ganesh Soni"/>
    <s v="Sarlabai"/>
    <x v="0"/>
    <x v="3"/>
    <s v="House No. - 347, Vaishali Nagar, Bhilai, Bhilai, Dist - Durg, Chhattisgarh, Pin - 490020"/>
    <x v="5"/>
    <n v="6073083000"/>
    <s v="manoharsoni1799@gmail.com"/>
    <s v="12TH PASS"/>
    <s v="YES"/>
    <s v="Issue"/>
    <n v="15000"/>
    <n v="200"/>
    <n v="1200"/>
    <n v="300"/>
    <n v="16100"/>
    <n v="5000"/>
    <d v="2025-11-28T00:00:00"/>
    <n v="11100"/>
    <n v="3000"/>
    <d v="2025-12-28T00:00:00"/>
    <n v="8100"/>
    <n v="3000"/>
    <d v="2026-01-28T00:00:00"/>
    <n v="5100"/>
    <n v="3000"/>
    <d v="2026-02-28T00:00:00"/>
    <n v="2100"/>
    <n v="2000"/>
    <d v="2026-03-28T00:00:00"/>
    <n v="100"/>
    <n v="100"/>
    <d v="2026-04-28T00:00:00"/>
    <n v="0"/>
    <n v="16100"/>
    <n v="0"/>
    <s v="Paid"/>
    <s v="R"/>
    <x v="0"/>
  </r>
  <r>
    <n v="354"/>
    <n v="354"/>
    <s v="EMCE878768@emaxindia.in"/>
    <s v="bhavna@1991"/>
    <s v="EMCE878768"/>
    <x v="260"/>
    <x v="3"/>
    <x v="3"/>
    <x v="1"/>
    <x v="2"/>
    <x v="1"/>
    <s v="12:45 PM to 2:30 PM"/>
    <x v="2"/>
    <s v="Bhavna Dhiwar"/>
    <d v="1991-08-20T00:00:00"/>
    <s v="Ganesh Dhiwar"/>
    <s v="Usha"/>
    <x v="1"/>
    <x v="0"/>
    <s v="House No. - 156, Ward - 22, Smriti Nagar, Bhilai, Dist - Durg, Chhattisgarh, Pin - 490020"/>
    <x v="14"/>
    <n v="7839486984"/>
    <s v="bhavnadhiw5817@gmail.com"/>
    <s v="8TH PASS"/>
    <s v="YES"/>
    <s v="Issue"/>
    <n v="3000"/>
    <n v="200"/>
    <n v="300"/>
    <n v="500"/>
    <n v="3000"/>
    <n v="1000"/>
    <d v="2025-11-28T00:00:00"/>
    <n v="2000"/>
    <n v="1000"/>
    <d v="2025-12-28T00:00:00"/>
    <n v="1000"/>
    <n v="500"/>
    <d v="2026-01-28T00:00:00"/>
    <n v="500"/>
    <n v="500"/>
    <d v="2026-02-28T00:00:00"/>
    <n v="0"/>
    <s v=""/>
    <s v=""/>
    <s v=""/>
    <s v=""/>
    <s v=""/>
    <s v=""/>
    <n v="3000"/>
    <n v="0"/>
    <s v="Paid"/>
    <s v="R"/>
    <x v="0"/>
  </r>
  <r>
    <n v="355"/>
    <n v="355"/>
    <s v="EMCE869406@emaxindia.in"/>
    <s v="varun@1990"/>
    <s v="EMCE869406"/>
    <x v="261"/>
    <x v="11"/>
    <x v="11"/>
    <x v="1"/>
    <x v="2"/>
    <x v="1"/>
    <s v="10:30 AM to 12:00 PM"/>
    <x v="1"/>
    <s v="Varun Koram"/>
    <d v="1990-09-14T00:00:00"/>
    <s v="Dinesh Koram"/>
    <s v="Heera"/>
    <x v="0"/>
    <x v="2"/>
    <s v="House No. - 670, Charoda, Bhilai, Dist - Durg, Chhattisgarh, Pin - 490036"/>
    <x v="16"/>
    <n v="7156662806"/>
    <s v="varunkora7643@gmail.com"/>
    <s v="POST GRADUATE"/>
    <s v="YES"/>
    <s v="Issue"/>
    <n v="2500"/>
    <n v="200"/>
    <n v="500"/>
    <n v="300"/>
    <n v="2900"/>
    <n v="1000"/>
    <d v="2025-11-29T00:00:00"/>
    <n v="1900"/>
    <n v="500"/>
    <d v="2025-12-29T00:00:00"/>
    <n v="1400"/>
    <n v="500"/>
    <d v="2026-01-29T00:00:00"/>
    <n v="900"/>
    <n v="500"/>
    <d v="2026-02-28T00:00:00"/>
    <n v="400"/>
    <n v="400"/>
    <d v="2026-03-28T00:00:00"/>
    <n v="0"/>
    <s v=""/>
    <s v=""/>
    <s v=""/>
    <n v="2900"/>
    <n v="0"/>
    <s v="Paid"/>
    <s v="R"/>
    <x v="0"/>
  </r>
  <r>
    <n v="356"/>
    <n v="356"/>
    <s v="EMCE873022@emaxindia.in"/>
    <s v="surendra@2001"/>
    <s v="EMCE873022"/>
    <x v="261"/>
    <x v="1"/>
    <x v="1"/>
    <x v="1"/>
    <x v="2"/>
    <x v="1"/>
    <s v="12:45 PM to 2:30 PM"/>
    <x v="2"/>
    <s v="Surendra Bodley"/>
    <d v="2001-06-21T00:00:00"/>
    <s v="Bhagwandas Bodley"/>
    <s v="Sarlabai"/>
    <x v="0"/>
    <x v="2"/>
    <s v="House No. - 163, Ward - 07, Supela, Bhilai, Dist - Durg, Chhattisgarh, Pin - 490023"/>
    <x v="13"/>
    <n v="7176631593"/>
    <s v="surendrabodl5485@gmail.com"/>
    <s v="B.SC."/>
    <s v="YES"/>
    <s v="Issue"/>
    <n v="3000"/>
    <n v="200"/>
    <n v="500"/>
    <n v="300"/>
    <n v="3400"/>
    <n v="1000"/>
    <d v="2025-11-29T00:00:00"/>
    <n v="2400"/>
    <n v="1000"/>
    <d v="2025-12-29T00:00:00"/>
    <n v="1400"/>
    <n v="500"/>
    <d v="2026-01-29T00:00:00"/>
    <n v="900"/>
    <n v="500"/>
    <d v="2026-02-28T00:00:00"/>
    <n v="400"/>
    <n v="400"/>
    <d v="2026-03-28T00:00:00"/>
    <n v="0"/>
    <s v=""/>
    <s v=""/>
    <s v=""/>
    <n v="3400"/>
    <n v="0"/>
    <s v="Paid"/>
    <s v="R"/>
    <x v="0"/>
  </r>
  <r>
    <n v="357"/>
    <n v="357"/>
    <s v="EMCE836015@emaxindia.in"/>
    <s v="sunanda@1996"/>
    <s v="EMCE836015"/>
    <x v="262"/>
    <x v="9"/>
    <x v="9"/>
    <x v="1"/>
    <x v="2"/>
    <x v="1"/>
    <s v="11:30 AM to 12:45 PM"/>
    <x v="1"/>
    <s v="Sunanda Raut"/>
    <d v="1996-06-18T00:00:00"/>
    <s v="Hari Prasad Raut"/>
    <s v="Kavita"/>
    <x v="0"/>
    <x v="1"/>
    <s v="Qt. No. 23/A, Street No. - 11, Sector - 06, Bhilai, Dist - Durg, Chhattisgarh, Pin - 490006"/>
    <x v="11"/>
    <n v="7954941348"/>
    <s v="sunandaraut2157@gmail.com"/>
    <s v="DIPLOMA"/>
    <s v="YES"/>
    <s v="Issue"/>
    <n v="2000"/>
    <n v="200"/>
    <n v="300"/>
    <n v="200"/>
    <n v="2300"/>
    <n v="500"/>
    <d v="2025-11-30T00:00:00"/>
    <n v="1800"/>
    <n v="500"/>
    <d v="2025-12-30T00:00:00"/>
    <n v="1300"/>
    <n v="500"/>
    <d v="2026-01-30T00:00:00"/>
    <n v="800"/>
    <n v="500"/>
    <d v="2026-02-28T00:00:00"/>
    <n v="300"/>
    <n v="300"/>
    <d v="2026-03-28T00:00:00"/>
    <n v="0"/>
    <s v=""/>
    <s v=""/>
    <s v=""/>
    <n v="2300"/>
    <n v="0"/>
    <s v="Paid"/>
    <s v="R"/>
    <x v="0"/>
  </r>
  <r>
    <n v="358"/>
    <n v="358"/>
    <s v="EMCE836541@emaxindia.in"/>
    <s v="nalini@2000"/>
    <s v="EMCE836541"/>
    <x v="263"/>
    <x v="5"/>
    <x v="5"/>
    <x v="1"/>
    <x v="2"/>
    <x v="1"/>
    <s v="01:00 PM to 03:00 PM"/>
    <x v="3"/>
    <s v="Nalini Sarvam"/>
    <d v="2000-07-13T00:00:00"/>
    <s v="Chaindra Sarvam"/>
    <s v="Geeta"/>
    <x v="0"/>
    <x v="1"/>
    <s v="House No. - 393, Charoda, Bhilai, Dist - Durg, Chhattisgarh, Pin - 490036"/>
    <x v="16"/>
    <n v="6247604758"/>
    <s v="nalinisarv7932@gmail.com"/>
    <s v="GRADUATE"/>
    <s v="YES"/>
    <s v="Issue"/>
    <n v="2500"/>
    <n v="200"/>
    <n v="400"/>
    <n v="0"/>
    <n v="3100"/>
    <n v="1000"/>
    <d v="2025-12-01T00:00:00"/>
    <n v="2100"/>
    <n v="1000"/>
    <d v="2026-01-01T00:00:00"/>
    <n v="1100"/>
    <n v="500"/>
    <d v="2026-02-01T00:00:00"/>
    <n v="600"/>
    <n v="500"/>
    <d v="2026-03-01T00:00:00"/>
    <n v="100"/>
    <n v="100"/>
    <d v="2026-04-01T00:00:00"/>
    <n v="0"/>
    <s v=""/>
    <s v=""/>
    <s v=""/>
    <n v="3100"/>
    <n v="0"/>
    <s v="Paid"/>
    <s v="R"/>
    <x v="0"/>
  </r>
  <r>
    <n v="359"/>
    <n v="359"/>
    <s v="EMCE864024@emaxindia.in"/>
    <s v="mamta@1997"/>
    <s v="EMCE864024"/>
    <x v="264"/>
    <x v="6"/>
    <x v="6"/>
    <x v="1"/>
    <x v="2"/>
    <x v="1"/>
    <s v="10:30 AM to 12:00 PM"/>
    <x v="1"/>
    <s v="Mamta Pradhan"/>
    <d v="1997-03-22T00:00:00"/>
    <s v="Ganesh Pradhan"/>
    <s v="Ramkunwari"/>
    <x v="0"/>
    <x v="3"/>
    <s v="Qt. No. 2/F, Street No. - 03, Sector - 07, Bhilai, Dist - Durg, Chhattisgarh, Pin - 490006"/>
    <x v="19"/>
    <n v="6429792391"/>
    <s v="mamtaprad1493@gmail.com"/>
    <s v="12TH PASS"/>
    <s v="YES"/>
    <s v="Issue"/>
    <n v="2000"/>
    <n v="200"/>
    <n v="300"/>
    <n v="500"/>
    <n v="2000"/>
    <n v="500"/>
    <d v="2025-12-07T00:00:00"/>
    <n v="1500"/>
    <n v="500"/>
    <d v="2026-01-07T00:00:00"/>
    <n v="1000"/>
    <n v="500"/>
    <d v="2026-02-07T00:00:00"/>
    <n v="500"/>
    <n v="500"/>
    <d v="2026-03-07T00:00:00"/>
    <n v="0"/>
    <s v=""/>
    <s v=""/>
    <s v=""/>
    <s v=""/>
    <s v=""/>
    <s v=""/>
    <n v="2000"/>
    <n v="0"/>
    <s v="Paid"/>
    <s v="R"/>
    <x v="0"/>
  </r>
  <r>
    <n v="360"/>
    <n v="360"/>
    <s v="EMCE841199@emaxindia.in"/>
    <s v="fulwati@2010"/>
    <s v="EMCE841199"/>
    <x v="265"/>
    <x v="11"/>
    <x v="11"/>
    <x v="1"/>
    <x v="2"/>
    <x v="1"/>
    <s v="12:45 PM to 2:30 PM"/>
    <x v="2"/>
    <s v="Fulwati Tekam"/>
    <d v="2010-12-04T00:00:00"/>
    <s v="Naresh Tekam"/>
    <s v="Phulmati"/>
    <x v="0"/>
    <x v="0"/>
    <s v="House No. - 640, Shanti Nagar, Bhilai, Dist - Durg, Chhattisgarh, Pin - 490020"/>
    <x v="8"/>
    <n v="6303396472"/>
    <s v="fulwatiteka2073@gmail.com"/>
    <s v="10TH PASS"/>
    <s v="YES"/>
    <s v="Issue"/>
    <n v="2500"/>
    <n v="200"/>
    <n v="500"/>
    <n v="0"/>
    <n v="3200"/>
    <n v="1000"/>
    <d v="2025-12-08T00:00:00"/>
    <n v="2200"/>
    <n v="1000"/>
    <d v="2026-01-08T00:00:00"/>
    <n v="1200"/>
    <n v="500"/>
    <d v="2026-02-08T00:00:00"/>
    <n v="700"/>
    <n v="500"/>
    <d v="2026-03-08T00:00:00"/>
    <n v="200"/>
    <n v="200"/>
    <d v="2026-04-08T00:00:00"/>
    <n v="0"/>
    <s v=""/>
    <s v=""/>
    <s v=""/>
    <n v="3200"/>
    <n v="0"/>
    <s v="Paid"/>
    <s v="R"/>
    <x v="0"/>
  </r>
  <r>
    <n v="361"/>
    <n v="361"/>
    <s v="EMCE856844@emaxindia.in"/>
    <s v="arvind@2006"/>
    <s v="EMCE856844"/>
    <x v="266"/>
    <x v="9"/>
    <x v="9"/>
    <x v="1"/>
    <x v="2"/>
    <x v="1"/>
    <s v="12:45 PM to 2:30 PM"/>
    <x v="2"/>
    <s v="Arvind Raut"/>
    <d v="2006-12-23T00:00:00"/>
    <s v="Dayaram Raut"/>
    <s v="Shobha"/>
    <x v="0"/>
    <x v="3"/>
    <s v="Qr. No. 9/F, Street No. - 02, Sector - 04, Bhilai, Dist - Durg, Chhattisgarh, Pin - 490001"/>
    <x v="1"/>
    <n v="7644854718"/>
    <s v="arvindraut1412@gmail.com"/>
    <s v="GRADUATE"/>
    <s v="YES"/>
    <s v="Issue"/>
    <n v="2000"/>
    <n v="200"/>
    <n v="300"/>
    <n v="0"/>
    <n v="2500"/>
    <n v="1000"/>
    <d v="2025-12-14T00:00:00"/>
    <n v="1500"/>
    <n v="500"/>
    <d v="2026-01-14T00:00:00"/>
    <n v="1000"/>
    <n v="500"/>
    <d v="2026-02-14T00:00:00"/>
    <n v="500"/>
    <n v="500"/>
    <d v="2026-03-14T00:00:00"/>
    <n v="0"/>
    <s v=""/>
    <s v=""/>
    <s v=""/>
    <s v=""/>
    <s v=""/>
    <s v=""/>
    <n v="2500"/>
    <n v="0"/>
    <s v="Paid"/>
    <s v="R"/>
    <x v="0"/>
  </r>
  <r>
    <n v="362"/>
    <n v="362"/>
    <s v="EMCE836798@emaxindia.in"/>
    <s v="ajay@1990"/>
    <s v="EMCE836798"/>
    <x v="267"/>
    <x v="6"/>
    <x v="6"/>
    <x v="1"/>
    <x v="2"/>
    <x v="1"/>
    <s v="12:45 PM to 2:30 PM"/>
    <x v="2"/>
    <s v="Ajay Netam"/>
    <d v="1990-06-04T00:00:00"/>
    <s v="Parmanand Netam"/>
    <s v="Sarlabai"/>
    <x v="0"/>
    <x v="0"/>
    <s v="House No. - 652, Ward - 22, Nehru Nagar, Bhilai, Dist - Durg, Chhattisgarh, Pin - 490020"/>
    <x v="3"/>
    <n v="6003522675"/>
    <s v="ajayneta4559@gmail.com"/>
    <s v="B.COM."/>
    <s v="YES"/>
    <s v="Issue"/>
    <n v="2000"/>
    <n v="200"/>
    <n v="300"/>
    <n v="500"/>
    <n v="2000"/>
    <n v="500"/>
    <d v="2025-12-17T00:00:00"/>
    <n v="1500"/>
    <n v="500"/>
    <d v="2026-01-17T00:00:00"/>
    <n v="1000"/>
    <n v="500"/>
    <d v="2026-02-17T00:00:00"/>
    <n v="500"/>
    <n v="500"/>
    <d v="2026-03-17T00:00:00"/>
    <n v="0"/>
    <s v=""/>
    <s v=""/>
    <s v=""/>
    <s v=""/>
    <s v=""/>
    <s v=""/>
    <n v="2000"/>
    <n v="0"/>
    <s v="Paid"/>
    <s v="R"/>
    <x v="0"/>
  </r>
  <r>
    <n v="363"/>
    <n v="363"/>
    <s v="EMCE858433@emaxindia.in"/>
    <s v="parth@2003"/>
    <s v="EMCE858433"/>
    <x v="268"/>
    <x v="11"/>
    <x v="11"/>
    <x v="1"/>
    <x v="2"/>
    <x v="1"/>
    <s v="10:30 AM to 12:00 PM"/>
    <x v="1"/>
    <s v="Parth Sharma"/>
    <d v="2003-02-14T00:00:00"/>
    <s v="Rajesh Sharma"/>
    <s v="Padmini"/>
    <x v="0"/>
    <x v="2"/>
    <s v="Qt. No. 13/D, Street No. - 21, Sector - 06, Bhilai, Dist - Durg, Chhattisgarh, Pin - 490006"/>
    <x v="11"/>
    <n v="6304923713"/>
    <s v="parthshar1772@gmail.com"/>
    <s v="12TH PASS"/>
    <s v="YES"/>
    <s v="Issue"/>
    <n v="2500"/>
    <n v="200"/>
    <n v="500"/>
    <n v="0"/>
    <n v="3200"/>
    <n v="1000"/>
    <d v="2025-12-20T00:00:00"/>
    <n v="2200"/>
    <n v="1000"/>
    <d v="2026-01-20T00:00:00"/>
    <n v="1200"/>
    <n v="500"/>
    <d v="2026-02-20T00:00:00"/>
    <n v="700"/>
    <n v="500"/>
    <d v="2026-03-20T00:00:00"/>
    <n v="200"/>
    <n v="200"/>
    <d v="2026-04-20T00:00:00"/>
    <n v="0"/>
    <s v=""/>
    <s v=""/>
    <s v=""/>
    <n v="3200"/>
    <n v="0"/>
    <s v="Paid"/>
    <s v="R"/>
    <x v="0"/>
  </r>
  <r>
    <n v="364"/>
    <n v="364"/>
    <s v="EMCE862838@emaxindia.in"/>
    <s v="diksha@2006"/>
    <s v="EMCE862838"/>
    <x v="269"/>
    <x v="5"/>
    <x v="5"/>
    <x v="1"/>
    <x v="2"/>
    <x v="1"/>
    <s v="12:45 PM to 2:30 PM"/>
    <x v="2"/>
    <s v="Diksha Rath"/>
    <d v="2006-02-27T00:00:00"/>
    <s v="Shyam Lal Rath"/>
    <s v="Radha Bai"/>
    <x v="0"/>
    <x v="3"/>
    <s v="House No. - 147, Ward - 15, Kumhari, Bhilai, Dist - Durg, Chhattisgarh, Pin - 490042"/>
    <x v="15"/>
    <n v="9009166784"/>
    <s v="diksharath5917@gmail.com"/>
    <s v="POST GRADUATE"/>
    <s v="YES"/>
    <s v="Issue"/>
    <n v="2500"/>
    <n v="200"/>
    <n v="400"/>
    <n v="0"/>
    <n v="3100"/>
    <n v="1000"/>
    <d v="2025-12-23T00:00:00"/>
    <n v="2100"/>
    <n v="1000"/>
    <d v="2026-01-23T00:00:00"/>
    <n v="1100"/>
    <n v="500"/>
    <d v="2026-02-23T00:00:00"/>
    <n v="600"/>
    <n v="500"/>
    <d v="2026-03-23T00:00:00"/>
    <n v="100"/>
    <n v="100"/>
    <d v="2026-04-23T00:00:00"/>
    <n v="0"/>
    <s v=""/>
    <s v=""/>
    <s v=""/>
    <n v="3100"/>
    <n v="0"/>
    <s v="Paid"/>
    <s v="R"/>
    <x v="0"/>
  </r>
  <r>
    <n v="365"/>
    <n v="365"/>
    <s v="EMCE844962@emaxindia.in"/>
    <s v="jyoti@1992"/>
    <s v="EMCE844962"/>
    <x v="270"/>
    <x v="4"/>
    <x v="4"/>
    <x v="0"/>
    <x v="3"/>
    <x v="0"/>
    <s v="10:30 AM to 12:00 PM"/>
    <x v="1"/>
    <s v="Jyoti Lodhiya"/>
    <d v="1992-09-12T00:00:00"/>
    <s v="Ramnath Lodhiya"/>
    <s v="Ganga Bai"/>
    <x v="0"/>
    <x v="0"/>
    <s v="Qrt. No. 27/B, Street No. - 18, Sector - 01, Bhilai, Dist - Durg, Chhattisgarh, Pin - 490001"/>
    <x v="17"/>
    <n v="7503790902"/>
    <s v="jyotilodh6767@gmail.com"/>
    <s v="12TH PASS"/>
    <s v="YES"/>
    <s v="Issue"/>
    <n v="15000"/>
    <n v="200"/>
    <n v="1200"/>
    <n v="500"/>
    <n v="15900"/>
    <n v="5000"/>
    <d v="2025-12-24T00:00:00"/>
    <n v="10900"/>
    <n v="3000"/>
    <d v="2026-01-24T00:00:00"/>
    <n v="7900"/>
    <n v="3000"/>
    <d v="2026-02-24T00:00:00"/>
    <n v="4900"/>
    <n v="1000"/>
    <d v="2026-03-24T00:00:00"/>
    <n v="3900"/>
    <n v="2000"/>
    <d v="2026-04-24T00:00:00"/>
    <n v="1900"/>
    <n v="1900"/>
    <d v="2026-05-24T00:00:00"/>
    <n v="0"/>
    <n v="15900"/>
    <n v="0"/>
    <s v="Paid"/>
    <s v="R"/>
    <x v="0"/>
  </r>
  <r>
    <n v="366"/>
    <n v="366"/>
    <s v="EMCE871684@emaxindia.in"/>
    <s v="neeraj@1990"/>
    <s v="EMCE871684"/>
    <x v="271"/>
    <x v="8"/>
    <x v="8"/>
    <x v="0"/>
    <x v="2"/>
    <x v="2"/>
    <s v="11:30 AM to 12:45 PM"/>
    <x v="1"/>
    <s v="Neeraj Sarvam"/>
    <d v="1990-08-19T00:00:00"/>
    <s v="Vijay Kumar Sarvam"/>
    <s v="Janki Bai"/>
    <x v="0"/>
    <x v="0"/>
    <s v="Quarter No. - 4/B, Street - 02, Sector - 09, Bhilai, Dist - Durg, Chhattisgarh, Pin - 490001"/>
    <x v="12"/>
    <n v="7837586771"/>
    <s v="neerajsarv3240@gmail.com"/>
    <s v="12TH PASS"/>
    <s v="YES"/>
    <s v="Issue"/>
    <n v="6000"/>
    <n v="200"/>
    <n v="800"/>
    <n v="0"/>
    <n v="7000"/>
    <n v="2500"/>
    <d v="2025-12-25T00:00:00"/>
    <n v="4500"/>
    <n v="1000"/>
    <d v="2026-01-25T00:00:00"/>
    <n v="3500"/>
    <n v="1000"/>
    <d v="2026-02-25T00:00:00"/>
    <n v="2500"/>
    <n v="1000"/>
    <d v="2026-03-25T00:00:00"/>
    <n v="1500"/>
    <n v="1000"/>
    <d v="2026-04-25T00:00:00"/>
    <n v="500"/>
    <n v="500"/>
    <d v="2026-05-25T00:00:00"/>
    <n v="0"/>
    <n v="7000"/>
    <n v="0"/>
    <s v="Paid"/>
    <s v="R"/>
    <x v="0"/>
  </r>
  <r>
    <n v="367"/>
    <n v="367"/>
    <s v="EMCE860233@emaxindia.in"/>
    <s v="neeraj@1992"/>
    <s v="EMCE860233"/>
    <x v="272"/>
    <x v="6"/>
    <x v="6"/>
    <x v="1"/>
    <x v="2"/>
    <x v="1"/>
    <s v="01:00 PM to 03:00 PM"/>
    <x v="3"/>
    <s v="Neeraj Dhiwar"/>
    <d v="1992-01-26T00:00:00"/>
    <s v="Govind Prasad Dhiwar"/>
    <s v="Pushpa"/>
    <x v="1"/>
    <x v="1"/>
    <s v="House No. - 331, Ward - 09, Smriti Nagar, Bhilai, Dist - Durg, Chhattisgarh, Pin - 490020"/>
    <x v="14"/>
    <n v="8559322395"/>
    <s v="neerajdhiw5975@gmail.com"/>
    <s v="12TH PASS"/>
    <s v="YES"/>
    <s v="Issue"/>
    <n v="2000"/>
    <n v="200"/>
    <n v="300"/>
    <n v="500"/>
    <n v="2000"/>
    <n v="500"/>
    <d v="2025-12-26T00:00:00"/>
    <n v="1500"/>
    <n v="500"/>
    <d v="2026-01-26T00:00:00"/>
    <n v="1000"/>
    <n v="500"/>
    <d v="2026-02-26T00:00:00"/>
    <n v="500"/>
    <n v="500"/>
    <d v="2026-03-26T00:00:00"/>
    <n v="0"/>
    <s v=""/>
    <s v=""/>
    <s v=""/>
    <s v=""/>
    <s v=""/>
    <s v=""/>
    <n v="2000"/>
    <n v="0"/>
    <s v="Paid"/>
    <s v="R"/>
    <x v="0"/>
  </r>
  <r>
    <n v="368"/>
    <n v="368"/>
    <s v="EMCE855892@emaxindia.in"/>
    <s v="fulwati@2005"/>
    <s v="EMCE855892"/>
    <x v="273"/>
    <x v="5"/>
    <x v="5"/>
    <x v="1"/>
    <x v="2"/>
    <x v="1"/>
    <s v="04:30 PM to 06:00 PM"/>
    <x v="0"/>
    <s v="Fulwati Dhruw"/>
    <d v="2005-08-05T00:00:00"/>
    <s v="Nand Kishore Dhruw"/>
    <s v="Leelishwari"/>
    <x v="0"/>
    <x v="0"/>
    <s v="House No. - 823, Ward - 20, Nehru Nagar, Bhilai, Dist - Durg, Chhattisgarh, Pin - 490020"/>
    <x v="3"/>
    <n v="9050051880"/>
    <s v="fulwatidhru9761@gmail.com"/>
    <s v="DIPLOMA"/>
    <s v="YES"/>
    <s v="Issue"/>
    <n v="2500"/>
    <n v="200"/>
    <n v="400"/>
    <n v="300"/>
    <n v="2800"/>
    <n v="1000"/>
    <d v="2025-12-27T00:00:00"/>
    <n v="1800"/>
    <n v="500"/>
    <d v="2026-01-27T00:00:00"/>
    <n v="1300"/>
    <n v="500"/>
    <d v="2026-02-27T00:00:00"/>
    <n v="800"/>
    <n v="500"/>
    <d v="2026-03-27T00:00:00"/>
    <n v="300"/>
    <n v="300"/>
    <d v="2026-04-27T00:00:00"/>
    <n v="0"/>
    <s v=""/>
    <s v=""/>
    <s v=""/>
    <n v="2800"/>
    <n v="0"/>
    <s v="Paid"/>
    <s v="R"/>
    <x v="0"/>
  </r>
  <r>
    <n v="369"/>
    <n v="369"/>
    <s v="EMCE834679@emaxindia.in"/>
    <s v="shiv@1999"/>
    <s v="EMCE834679"/>
    <x v="274"/>
    <x v="11"/>
    <x v="11"/>
    <x v="1"/>
    <x v="2"/>
    <x v="1"/>
    <s v="10:30 AM to 12:00 PM"/>
    <x v="1"/>
    <s v="Shiv Banjare"/>
    <d v="1999-02-21T00:00:00"/>
    <s v="Dinesh Banjare"/>
    <s v="Champa"/>
    <x v="0"/>
    <x v="0"/>
    <s v="Qr. No. 9/F, Street No. - 15, Sector - 04, Bhilai, Dist - Durg, Chhattisgarh, Pin - 490001"/>
    <x v="1"/>
    <n v="7494202897"/>
    <s v="shivbanj9597@gmail.com"/>
    <s v="10TH PASS"/>
    <s v="YES"/>
    <s v="Issue"/>
    <n v="2500"/>
    <n v="200"/>
    <n v="500"/>
    <n v="0"/>
    <n v="3200"/>
    <n v="1000"/>
    <d v="2025-12-28T00:00:00"/>
    <n v="2200"/>
    <n v="1000"/>
    <d v="2026-01-28T00:00:00"/>
    <n v="1200"/>
    <n v="500"/>
    <d v="2026-02-28T00:00:00"/>
    <n v="700"/>
    <n v="500"/>
    <d v="2026-03-28T00:00:00"/>
    <n v="200"/>
    <n v="200"/>
    <d v="2026-04-28T00:00:00"/>
    <n v="0"/>
    <s v=""/>
    <s v=""/>
    <s v=""/>
    <n v="3200"/>
    <n v="0"/>
    <s v="Paid"/>
    <s v="R"/>
    <x v="0"/>
  </r>
  <r>
    <n v="370"/>
    <n v="370"/>
    <s v="EMCE870802@emaxindia.in"/>
    <s v="hemlata@1995"/>
    <s v="EMCE870802"/>
    <x v="274"/>
    <x v="3"/>
    <x v="3"/>
    <x v="1"/>
    <x v="2"/>
    <x v="1"/>
    <s v="11:30 AM to 12:45 PM"/>
    <x v="1"/>
    <s v="Hemlata Verma"/>
    <d v="1995-09-11T00:00:00"/>
    <s v="Naresh Verma"/>
    <s v="Nirmala"/>
    <x v="0"/>
    <x v="0"/>
    <s v="House No. - 586, Vaishali Nagar, Bhilai, Dist - Durg, Chhattisgarh, Pin - 490020"/>
    <x v="5"/>
    <n v="7860594527"/>
    <s v="hemlataverm3007@gmail.com"/>
    <s v="B.SC."/>
    <s v="YES"/>
    <s v="Issue"/>
    <n v="3000"/>
    <n v="200"/>
    <n v="300"/>
    <n v="200"/>
    <n v="3300"/>
    <n v="1000"/>
    <d v="2025-12-28T00:00:00"/>
    <n v="2300"/>
    <n v="1000"/>
    <d v="2026-01-28T00:00:00"/>
    <n v="1300"/>
    <n v="500"/>
    <d v="2026-02-28T00:00:00"/>
    <n v="800"/>
    <n v="500"/>
    <d v="2026-03-28T00:00:00"/>
    <n v="300"/>
    <n v="300"/>
    <d v="2026-04-28T00:00:00"/>
    <n v="0"/>
    <s v=""/>
    <s v=""/>
    <s v=""/>
    <n v="3300"/>
    <n v="0"/>
    <s v="Paid"/>
    <s v="R"/>
    <x v="0"/>
  </r>
  <r>
    <n v="371"/>
    <n v="371"/>
    <s v="EMCE856400@emaxindia.in"/>
    <s v="chandrakanta@1991"/>
    <s v="EMCE856400"/>
    <x v="275"/>
    <x v="8"/>
    <x v="8"/>
    <x v="0"/>
    <x v="2"/>
    <x v="2"/>
    <s v="10:30 AM to 12:00 PM"/>
    <x v="1"/>
    <s v="Chandrakanta Nirmalkar"/>
    <d v="1991-08-25T00:00:00"/>
    <s v="Hari Prasad Nirmalkar"/>
    <s v="Meena Bai"/>
    <x v="0"/>
    <x v="2"/>
    <s v="Qt. No. 16/F, Street No. - 10, Sector - 07, Bhilai, Dist - Durg, Chhattisgarh, Pin - 490006"/>
    <x v="19"/>
    <n v="8625837890"/>
    <s v="chandrakantanirm8567@gmail.com"/>
    <s v="10TH PASS"/>
    <s v="YES"/>
    <s v="Issue"/>
    <n v="6000"/>
    <n v="200"/>
    <n v="800"/>
    <n v="500"/>
    <n v="6500"/>
    <n v="2500"/>
    <d v="2025-12-29T00:00:00"/>
    <n v="4000"/>
    <n v="1000"/>
    <d v="2026-01-29T00:00:00"/>
    <n v="3000"/>
    <n v="1000"/>
    <d v="2026-02-28T00:00:00"/>
    <n v="2000"/>
    <n v="1000"/>
    <d v="2026-03-28T00:00:00"/>
    <n v="1000"/>
    <n v="1000"/>
    <d v="2026-04-28T00:00:00"/>
    <n v="0"/>
    <s v=""/>
    <s v=""/>
    <s v=""/>
    <n v="6500"/>
    <n v="0"/>
    <s v="Paid"/>
    <s v="R"/>
    <x v="0"/>
  </r>
  <r>
    <n v="372"/>
    <n v="372"/>
    <s v="EMCE868638@emaxindia.in"/>
    <s v="indira@1994"/>
    <s v="EMCE868638"/>
    <x v="276"/>
    <x v="4"/>
    <x v="4"/>
    <x v="0"/>
    <x v="3"/>
    <x v="0"/>
    <s v="04:30 PM to 06:00 PM"/>
    <x v="0"/>
    <s v="Indira Hemrom"/>
    <d v="1994-01-12T00:00:00"/>
    <s v="Tulsiram Hemrom"/>
    <s v="Ramkali"/>
    <x v="0"/>
    <x v="1"/>
    <s v="House No. - 540, Ward - 10, Kumhari, Bhilai, Dist - Durg, Chhattisgarh, Pin - 490042"/>
    <x v="15"/>
    <n v="7607493497"/>
    <s v="indirahemr755@gmail.com"/>
    <s v="10TH PASS"/>
    <s v="YES"/>
    <s v="Issue"/>
    <n v="15000"/>
    <n v="200"/>
    <n v="1200"/>
    <n v="0"/>
    <n v="16400"/>
    <n v="5000"/>
    <d v="2025-12-31T00:00:00"/>
    <n v="11400"/>
    <n v="3000"/>
    <d v="2026-01-31T00:00:00"/>
    <n v="8400"/>
    <n v="3000"/>
    <d v="2026-02-28T00:00:00"/>
    <n v="5400"/>
    <n v="3000"/>
    <d v="2026-03-28T00:00:00"/>
    <n v="2400"/>
    <n v="2000"/>
    <d v="2026-04-28T00:00:00"/>
    <n v="400"/>
    <n v="400"/>
    <d v="2026-05-28T00:00:00"/>
    <n v="0"/>
    <n v="16400"/>
    <n v="0"/>
    <s v="Paid"/>
    <s v="R"/>
    <x v="0"/>
  </r>
  <r>
    <n v="373"/>
    <n v="373"/>
    <s v="EMCE863281@emaxindia.in"/>
    <s v="hemraj@2008"/>
    <s v="EMCE863281"/>
    <x v="277"/>
    <x v="4"/>
    <x v="4"/>
    <x v="0"/>
    <x v="3"/>
    <x v="0"/>
    <s v="04:30 PM to 06:00 PM"/>
    <x v="0"/>
    <s v="Hemraj Patel"/>
    <d v="2008-02-19T00:00:00"/>
    <s v="Ram Prasad Patel"/>
    <s v="Shobha"/>
    <x v="0"/>
    <x v="3"/>
    <s v="House No. - 252, Ward - 27, Camp - 02, Bhilai, Dist - Durg, Chhattisgarh, Pin - 490001"/>
    <x v="9"/>
    <n v="7092951273"/>
    <s v="hemrajpate8807@gmail.com"/>
    <s v="B.COM."/>
    <s v="YES"/>
    <s v="Issue"/>
    <n v="15000"/>
    <n v="200"/>
    <n v="1200"/>
    <n v="200"/>
    <n v="16200"/>
    <n v="5000"/>
    <d v="2026-01-04T00:00:00"/>
    <n v="11200"/>
    <n v="3000"/>
    <d v="2026-02-04T00:00:00"/>
    <n v="8200"/>
    <n v="3000"/>
    <d v="2026-03-04T00:00:00"/>
    <n v="5200"/>
    <n v="3000"/>
    <d v="2026-04-04T00:00:00"/>
    <n v="2200"/>
    <n v="2000"/>
    <d v="2026-05-04T00:00:00"/>
    <n v="200"/>
    <n v="200"/>
    <d v="2026-06-04T00:00:00"/>
    <n v="0"/>
    <n v="16200"/>
    <n v="0"/>
    <s v="Paid"/>
    <s v="R"/>
    <x v="0"/>
  </r>
  <r>
    <n v="374"/>
    <n v="374"/>
    <s v="EMCE854621@emaxindia.in"/>
    <s v="prashant@2001"/>
    <s v="EMCE854621"/>
    <x v="278"/>
    <x v="8"/>
    <x v="8"/>
    <x v="0"/>
    <x v="2"/>
    <x v="2"/>
    <s v="10:30 AM to 12:00 PM"/>
    <x v="1"/>
    <s v="Prashant Ahirwar"/>
    <d v="2001-09-05T00:00:00"/>
    <s v="Santosh Kumar Ahirwar"/>
    <s v="Ganga Bai"/>
    <x v="0"/>
    <x v="1"/>
    <s v="Qrt. No. 8/A, Street No. - 16, Sector - 05, Bhilai, Dist - Durg, Chhattisgarh, Pin - 490001"/>
    <x v="4"/>
    <n v="8578601105"/>
    <s v="prashantahir218@gmail.com"/>
    <s v="12TH PASS"/>
    <s v="YES"/>
    <s v="Issue"/>
    <n v="6000"/>
    <n v="200"/>
    <n v="800"/>
    <n v="500"/>
    <n v="6500"/>
    <n v="2500"/>
    <d v="2026-01-06T00:00:00"/>
    <n v="4000"/>
    <n v="1000"/>
    <d v="2026-02-06T00:00:00"/>
    <n v="3000"/>
    <n v="1000"/>
    <d v="2026-03-06T00:00:00"/>
    <n v="2000"/>
    <n v="1000"/>
    <d v="2026-04-06T00:00:00"/>
    <n v="1000"/>
    <n v="1000"/>
    <d v="2026-05-06T00:00:00"/>
    <n v="0"/>
    <s v=""/>
    <s v=""/>
    <s v=""/>
    <n v="6500"/>
    <n v="0"/>
    <s v="Paid"/>
    <s v="R"/>
    <x v="0"/>
  </r>
  <r>
    <n v="375"/>
    <n v="375"/>
    <s v="EMCE857103@emaxindia.in"/>
    <s v="mahesh@1991"/>
    <s v="EMCE857103"/>
    <x v="278"/>
    <x v="2"/>
    <x v="2"/>
    <x v="0"/>
    <x v="2"/>
    <x v="2"/>
    <s v="10:30 AM to 12:00 PM"/>
    <x v="1"/>
    <s v="Mahesh Pradhan"/>
    <d v="1991-02-11T00:00:00"/>
    <s v="Sunil Kumar Pradhan"/>
    <s v="Shantibai"/>
    <x v="0"/>
    <x v="0"/>
    <s v="Quarter No. 13/D, Street - 11, Sector - 10, Bhilai, Dist - Durg, Chhattisgarh, Pin - 490006"/>
    <x v="6"/>
    <n v="9855526213"/>
    <s v="maheshprad4252@gmail.com"/>
    <s v="POST GRADUATE"/>
    <s v="YES"/>
    <s v="Issue"/>
    <n v="7000"/>
    <n v="200"/>
    <n v="800"/>
    <n v="0"/>
    <n v="8000"/>
    <n v="2500"/>
    <d v="2026-01-06T00:00:00"/>
    <n v="5500"/>
    <n v="3000"/>
    <d v="2026-02-06T00:00:00"/>
    <n v="2500"/>
    <n v="1000"/>
    <d v="2026-03-06T00:00:00"/>
    <n v="1500"/>
    <n v="500"/>
    <d v="2026-04-06T00:00:00"/>
    <n v="1000"/>
    <n v="1000"/>
    <d v="2026-05-06T00:00:00"/>
    <n v="0"/>
    <s v=""/>
    <s v=""/>
    <s v=""/>
    <n v="8000"/>
    <n v="0"/>
    <s v="Paid"/>
    <s v="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CEEFEF-CEDC-414C-A607-DA1AB088B02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4:A15" firstHeaderRow="1" firstDataRow="1" firstDataCol="0"/>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showAll="0" defaultSubtotal="0">
      <items count="4">
        <item x="1"/>
        <item x="0"/>
        <item x="2"/>
        <item x="3"/>
      </items>
    </pivotField>
    <pivotField showAll="0" defaultSubtotal="0">
      <items count="3">
        <item x="0"/>
        <item x="1"/>
        <item x="2"/>
      </items>
    </pivotField>
    <pivotField showAll="0" defaultSubtotal="0"/>
    <pivotField showAll="0" sortType="descending" defaultSubtotal="0">
      <items count="4">
        <item x="1"/>
        <item x="0"/>
        <item x="3"/>
        <item x="2"/>
      </items>
    </pivotField>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Items count="1">
    <i/>
  </rowItems>
  <colItems count="1">
    <i/>
  </colItems>
  <dataFields count="1">
    <dataField name="Count of S. No"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D64B69-997C-4B97-AADB-1CED72911FF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W6:X9" firstHeaderRow="1" firstDataRow="1" firstDataCol="1"/>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showAll="0" defaultSubtotal="0">
      <items count="4">
        <item x="1"/>
        <item x="0"/>
        <item x="2"/>
        <item x="3"/>
      </items>
    </pivotField>
    <pivotField showAll="0" defaultSubtotal="0">
      <items count="3">
        <item x="0"/>
        <item x="1"/>
        <item x="2"/>
      </items>
    </pivotField>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sortType="descending" defaultSubtotal="0">
      <items count="21">
        <item x="5"/>
        <item x="13"/>
        <item x="14"/>
        <item x="8"/>
        <item x="6"/>
        <item x="12"/>
        <item x="18"/>
        <item x="19"/>
        <item x="11"/>
        <item x="4"/>
        <item x="1"/>
        <item x="10"/>
        <item x="2"/>
        <item x="17"/>
        <item x="0"/>
        <item x="3"/>
        <item x="15"/>
        <item x="7"/>
        <item x="16"/>
        <item x="9"/>
        <item x="20"/>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howAll="0" defaultSubtotal="0">
      <items count="3">
        <item x="0"/>
        <item x="1"/>
        <item x="2"/>
      </items>
    </pivotField>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Fields count="1">
    <field x="53"/>
  </rowFields>
  <rowItems count="3">
    <i>
      <x/>
    </i>
    <i>
      <x v="1"/>
    </i>
    <i>
      <x v="2"/>
    </i>
  </rowItems>
  <colItems count="1">
    <i/>
  </colItems>
  <dataFields count="1">
    <dataField name="Count of S. No"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4C5CCC-1ABC-4B23-BD14-E22FFB31B7C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T6:U16" firstHeaderRow="1" firstDataRow="1" firstDataCol="1"/>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showAll="0" defaultSubtotal="0">
      <items count="4">
        <item x="1"/>
        <item x="0"/>
        <item x="2"/>
        <item x="3"/>
      </items>
    </pivotField>
    <pivotField showAll="0" defaultSubtotal="0">
      <items count="3">
        <item x="0"/>
        <item x="1"/>
        <item x="2"/>
      </items>
    </pivotField>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axis="axisRow" showAll="0" measureFilter="1" sortType="descending" defaultSubtotal="0">
      <items count="21">
        <item x="5"/>
        <item x="13"/>
        <item x="14"/>
        <item x="8"/>
        <item x="6"/>
        <item x="12"/>
        <item x="18"/>
        <item x="19"/>
        <item x="11"/>
        <item x="4"/>
        <item x="1"/>
        <item x="10"/>
        <item x="2"/>
        <item x="17"/>
        <item x="0"/>
        <item x="3"/>
        <item x="15"/>
        <item x="7"/>
        <item x="16"/>
        <item x="9"/>
        <item x="2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Fields count="1">
    <field x="20"/>
  </rowFields>
  <rowItems count="10">
    <i>
      <x v="10"/>
    </i>
    <i>
      <x/>
    </i>
    <i>
      <x v="5"/>
    </i>
    <i>
      <x v="4"/>
    </i>
    <i>
      <x v="13"/>
    </i>
    <i>
      <x v="15"/>
    </i>
    <i>
      <x v="7"/>
    </i>
    <i>
      <x v="14"/>
    </i>
    <i>
      <x v="17"/>
    </i>
    <i>
      <x v="1"/>
    </i>
  </rowItems>
  <colItems count="1">
    <i/>
  </colItems>
  <dataFields count="1">
    <dataField name="Count of S. No" fld="0" subtotal="count" baseField="7" baseItem="0"/>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20" count="1" selected="0">
            <x v="10"/>
          </reference>
        </references>
      </pivotArea>
    </chartFormat>
  </chart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BB96CC-C0AD-4FC9-9ED6-2706CCE09BFD}"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6:E20" firstHeaderRow="1" firstDataRow="1" firstDataCol="1"/>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axis="axisRow" showAll="0" sortType="descending" defaultSubtotal="0">
      <items count="14">
        <item x="2"/>
        <item x="13"/>
        <item x="4"/>
        <item x="11"/>
        <item x="1"/>
        <item x="6"/>
        <item x="12"/>
        <item x="9"/>
        <item x="7"/>
        <item x="8"/>
        <item x="0"/>
        <item x="3"/>
        <item x="5"/>
        <item x="10"/>
      </items>
      <autoSortScope>
        <pivotArea dataOnly="0" outline="0" fieldPosition="0">
          <references count="1">
            <reference field="4294967294" count="1" selected="0">
              <x v="0"/>
            </reference>
          </references>
        </pivotArea>
      </autoSortScope>
    </pivotField>
    <pivotField showAll="0" defaultSubtotal="0">
      <items count="2">
        <item x="1"/>
        <item x="0"/>
      </items>
    </pivotField>
    <pivotField showAll="0" defaultSubtotal="0">
      <items count="4">
        <item x="1"/>
        <item x="0"/>
        <item x="2"/>
        <item x="3"/>
      </items>
    </pivotField>
    <pivotField showAll="0" defaultSubtotal="0">
      <items count="3">
        <item x="0"/>
        <item x="1"/>
        <item x="2"/>
      </items>
    </pivotField>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Fields count="1">
    <field x="7"/>
  </rowFields>
  <rowItems count="14">
    <i>
      <x v="11"/>
    </i>
    <i>
      <x v="7"/>
    </i>
    <i>
      <x v="2"/>
    </i>
    <i>
      <x v="3"/>
    </i>
    <i>
      <x v="10"/>
    </i>
    <i>
      <x/>
    </i>
    <i>
      <x v="5"/>
    </i>
    <i>
      <x v="8"/>
    </i>
    <i>
      <x v="12"/>
    </i>
    <i>
      <x v="1"/>
    </i>
    <i>
      <x v="13"/>
    </i>
    <i>
      <x v="9"/>
    </i>
    <i>
      <x v="4"/>
    </i>
    <i>
      <x v="6"/>
    </i>
  </rowItems>
  <colItems count="1">
    <i/>
  </colItems>
  <dataFields count="1">
    <dataField name="Count of S. No" fld="0" subtotal="count" baseField="7"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799C37-D019-4869-8FE7-0DA7E7F73EB7}"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8:A9" firstHeaderRow="1" firstDataRow="1" firstDataCol="0"/>
  <pivotFields count="57">
    <pivotField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showAll="0" defaultSubtotal="0">
      <items count="4">
        <item x="1"/>
        <item x="0"/>
        <item x="2"/>
        <item x="3"/>
      </items>
    </pivotField>
    <pivotField showAll="0" defaultSubtotal="0">
      <items count="3">
        <item x="0"/>
        <item x="1"/>
        <item x="2"/>
      </items>
    </pivotField>
    <pivotField showAll="0" defaultSubtotal="0"/>
    <pivotField showAll="0" sortType="descending" defaultSubtotal="0">
      <items count="4">
        <item x="1"/>
        <item x="0"/>
        <item x="3"/>
        <item x="2"/>
      </items>
    </pivotField>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Items count="1">
    <i/>
  </rowItems>
  <colItems count="1">
    <i/>
  </colItems>
  <dataFields count="1">
    <dataField name="Sum of Paid Amount" fld="4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435906-045D-45FB-B383-8C4A61DC6FF4}"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6:P10" firstHeaderRow="1" firstDataRow="1" firstDataCol="1"/>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axis="axisRow" showAll="0" sortType="ascending" defaultSubtotal="0">
      <items count="4">
        <item x="1"/>
        <item x="0"/>
        <item x="2"/>
        <item x="3"/>
      </items>
    </pivotField>
    <pivotField showAll="0" defaultSubtotal="0">
      <items count="3">
        <item x="0"/>
        <item x="1"/>
        <item x="2"/>
      </items>
    </pivotField>
    <pivotField showAll="0" defaultSubtotal="0"/>
    <pivotField showAll="0" sortType="descending" defaultSubtotal="0">
      <items count="4">
        <item x="1"/>
        <item x="0"/>
        <item x="3"/>
        <item x="2"/>
      </items>
    </pivotField>
    <pivotField showAll="0" defaultSubtotal="0"/>
    <pivotField numFmtId="14" showAll="0" defaultSubtotal="0"/>
    <pivotField showAll="0" defaultSubtotal="0"/>
    <pivotField showAll="0" defaultSubtotal="0"/>
    <pivotField showAll="0" defaultSubtotal="0">
      <items count="2">
        <item x="1"/>
        <item x="0"/>
      </items>
    </pivotField>
    <pivotField showAll="0" defaultSubtotal="0">
      <items count="4">
        <item x="3"/>
        <item x="0"/>
        <item x="1"/>
        <item x="2"/>
      </items>
    </pivotField>
    <pivotField showAll="0" defaultSubtotal="0"/>
    <pivotField showAll="0" defaultSubtotal="0">
      <items count="21">
        <item x="20"/>
        <item x="9"/>
        <item x="16"/>
        <item x="7"/>
        <item x="15"/>
        <item x="3"/>
        <item x="0"/>
        <item x="17"/>
        <item x="2"/>
        <item x="10"/>
        <item x="1"/>
        <item x="4"/>
        <item x="11"/>
        <item x="19"/>
        <item x="18"/>
        <item x="12"/>
        <item x="6"/>
        <item x="8"/>
        <item x="14"/>
        <item x="13"/>
        <item x="5"/>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Fields count="1">
    <field x="9"/>
  </rowFields>
  <rowItems count="4">
    <i>
      <x/>
    </i>
    <i>
      <x v="1"/>
    </i>
    <i>
      <x v="2"/>
    </i>
    <i>
      <x v="3"/>
    </i>
  </rowItems>
  <colItems count="1">
    <i/>
  </colItems>
  <dataFields count="1">
    <dataField name="Count of S. No" fld="0" subtotal="count" baseField="7"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93FBD1-9AAB-4D0A-BA46-9289F2CBCBF6}"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Z6:AA18" firstHeaderRow="1" firstDataRow="1" firstDataCol="1"/>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showAll="0" defaultSubtotal="0">
      <items count="4">
        <item x="1"/>
        <item x="0"/>
        <item x="2"/>
        <item x="3"/>
      </items>
    </pivotField>
    <pivotField showAll="0" defaultSubtotal="0">
      <items count="3">
        <item x="0"/>
        <item x="1"/>
        <item x="2"/>
      </items>
    </pivotField>
    <pivotField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sortType="descending" defaultSubtotal="0">
      <items count="21">
        <item x="5"/>
        <item x="13"/>
        <item x="14"/>
        <item x="8"/>
        <item x="6"/>
        <item x="12"/>
        <item x="18"/>
        <item x="19"/>
        <item x="11"/>
        <item x="4"/>
        <item x="1"/>
        <item x="10"/>
        <item x="2"/>
        <item x="17"/>
        <item x="0"/>
        <item x="3"/>
        <item x="15"/>
        <item x="7"/>
        <item x="16"/>
        <item x="9"/>
        <item x="20"/>
      </items>
      <autoSortScope>
        <pivotArea dataOnly="0" outline="0" fieldPosition="0">
          <references count="1">
            <reference field="4294967294" count="1" selected="0">
              <x v="0"/>
            </reference>
          </references>
        </pivotArea>
      </autoSortScope>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axis="axisRow" subtotalTop="0" showAll="0" defaultSubtotal="0">
      <items count="14">
        <item sd="0" x="0"/>
        <item sd="0" x="1"/>
        <item sd="0" x="2"/>
        <item sd="0" x="3"/>
        <item sd="0" x="4"/>
        <item sd="0" x="5"/>
        <item sd="0" x="6"/>
        <item sd="0" x="7"/>
        <item sd="0" x="8"/>
        <item sd="0" x="9"/>
        <item sd="0" x="10"/>
        <item sd="0" x="11"/>
        <item sd="0" x="12"/>
        <item sd="0" x="13"/>
      </items>
    </pivotField>
    <pivotField subtotalTop="0" showAll="0" defaultSubtotal="0">
      <items count="6">
        <item sd="0" x="0"/>
        <item sd="0" x="1"/>
        <item sd="0" x="2"/>
        <item sd="0" x="3"/>
        <item sd="0" x="4"/>
        <item sd="0" x="5"/>
      </items>
    </pivotField>
    <pivotField subtotalTop="0" showAll="0" defaultSubtotal="0">
      <items count="4">
        <item sd="0" x="0"/>
        <item sd="0" x="1"/>
        <item sd="0" x="2"/>
        <item sd="0" x="3"/>
      </items>
    </pivotField>
  </pivotFields>
  <rowFields count="1">
    <field x="54"/>
  </rowFields>
  <rowItems count="12">
    <i>
      <x v="1"/>
    </i>
    <i>
      <x v="2"/>
    </i>
    <i>
      <x v="3"/>
    </i>
    <i>
      <x v="4"/>
    </i>
    <i>
      <x v="5"/>
    </i>
    <i>
      <x v="6"/>
    </i>
    <i>
      <x v="7"/>
    </i>
    <i>
      <x v="8"/>
    </i>
    <i>
      <x v="9"/>
    </i>
    <i>
      <x v="10"/>
    </i>
    <i>
      <x v="11"/>
    </i>
    <i>
      <x v="12"/>
    </i>
  </rowItems>
  <colItems count="1">
    <i/>
  </colItems>
  <dataFields count="1">
    <dataField name="Count of S. No" fld="0" subtotal="count" baseField="7" baseItem="0"/>
  </dataField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67C7C6-95C4-480A-87CC-E35C8037E7D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6:M9" firstHeaderRow="0" firstDataRow="1" firstDataCol="1"/>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showAll="0" defaultSubtotal="0">
      <items count="4">
        <item x="1"/>
        <item x="0"/>
        <item x="2"/>
        <item x="3"/>
      </items>
    </pivotField>
    <pivotField axis="axisRow" showAll="0" sortType="descending" defaultSubtotal="0">
      <items count="3">
        <item x="2"/>
        <item x="1"/>
        <item x="0"/>
      </items>
      <autoSortScope>
        <pivotArea dataOnly="0" outline="0" fieldPosition="0">
          <references count="1">
            <reference field="4294967294" count="1" selected="0">
              <x v="0"/>
            </reference>
          </references>
        </pivotArea>
      </autoSortScope>
    </pivotField>
    <pivotField showAll="0" defaultSubtotal="0"/>
    <pivotField showAll="0" sortType="descending" defaultSubtotal="0">
      <items count="4">
        <item x="1"/>
        <item x="0"/>
        <item x="3"/>
        <item x="2"/>
      </items>
    </pivotField>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Fields count="1">
    <field x="10"/>
  </rowFields>
  <rowItems count="3">
    <i>
      <x v="1"/>
    </i>
    <i>
      <x/>
    </i>
    <i>
      <x v="2"/>
    </i>
  </rowItems>
  <colFields count="1">
    <field x="-2"/>
  </colFields>
  <colItems count="2">
    <i>
      <x/>
    </i>
    <i i="1">
      <x v="1"/>
    </i>
  </colItems>
  <dataFields count="2">
    <dataField name="Count of S. No" fld="0" subtotal="count" baseField="7" baseItem="0"/>
    <dataField name="Count of S. No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6B2D10F-53A3-44C4-BEDB-E57D937AC7E0}"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6:I10" firstHeaderRow="0" firstDataRow="1" firstDataCol="1"/>
  <pivotFields count="57">
    <pivotField dataField="1" showAll="0" defaultSubtotal="0"/>
    <pivotField showAll="0" defaultSubtotal="0"/>
    <pivotField showAll="0" defaultSubtotal="0"/>
    <pivotField showAll="0" defaultSubtotal="0"/>
    <pivotField showAll="0" defaultSubtotal="0"/>
    <pivotField numFmtId="14" showAll="0" defaultSubtotal="0">
      <items count="2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s>
    </pivotField>
    <pivotField showAll="0" defaultSubtotal="0"/>
    <pivotField showAll="0" sortType="descending" defaultSubtotal="0">
      <items count="14">
        <item x="2"/>
        <item x="13"/>
        <item x="4"/>
        <item x="11"/>
        <item x="1"/>
        <item x="6"/>
        <item x="12"/>
        <item x="9"/>
        <item x="7"/>
        <item x="8"/>
        <item x="0"/>
        <item x="3"/>
        <item x="5"/>
        <item x="10"/>
      </items>
    </pivotField>
    <pivotField showAll="0" defaultSubtotal="0">
      <items count="2">
        <item x="1"/>
        <item x="0"/>
      </items>
    </pivotField>
    <pivotField showAll="0" defaultSubtotal="0">
      <items count="4">
        <item x="1"/>
        <item x="0"/>
        <item x="2"/>
        <item x="3"/>
      </items>
    </pivotField>
    <pivotField showAll="0" defaultSubtotal="0">
      <items count="3">
        <item x="0"/>
        <item x="1"/>
        <item x="2"/>
      </items>
    </pivotField>
    <pivotField showAll="0" defaultSubtotal="0"/>
    <pivotField axis="axisRow" showAll="0" sortType="descending" defaultSubtotal="0">
      <items count="4">
        <item x="1"/>
        <item x="0"/>
        <item x="3"/>
        <item x="2"/>
      </items>
      <autoSortScope>
        <pivotArea dataOnly="0" outline="0" fieldPosition="0">
          <references count="1">
            <reference field="4294967294" count="1" selected="0">
              <x v="0"/>
            </reference>
          </references>
        </pivotArea>
      </autoSortScope>
    </pivotField>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numFmtId="14"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ubtotalTop="0" showAll="0" defaultSubtotal="0">
      <items count="14">
        <item x="0"/>
        <item x="1"/>
        <item x="2"/>
        <item x="3"/>
        <item x="4"/>
        <item x="5"/>
        <item x="6"/>
        <item x="7"/>
        <item x="8"/>
        <item x="9"/>
        <item x="10"/>
        <item x="11"/>
        <item x="12"/>
        <item x="13"/>
      </items>
    </pivotField>
    <pivotField subtotalTop="0" showAll="0" defaultSubtotal="0">
      <items count="6">
        <item x="0"/>
        <item x="1"/>
        <item x="2"/>
        <item x="3"/>
        <item x="4"/>
        <item x="5"/>
      </items>
    </pivotField>
    <pivotField subtotalTop="0" showAll="0" defaultSubtotal="0">
      <items count="4">
        <item x="0"/>
        <item x="1"/>
        <item x="2"/>
        <item x="3"/>
      </items>
    </pivotField>
  </pivotFields>
  <rowFields count="1">
    <field x="12"/>
  </rowFields>
  <rowItems count="4">
    <i>
      <x/>
    </i>
    <i>
      <x v="1"/>
    </i>
    <i>
      <x v="2"/>
    </i>
    <i>
      <x v="3"/>
    </i>
  </rowItems>
  <colFields count="1">
    <field x="-2"/>
  </colFields>
  <colItems count="2">
    <i>
      <x/>
    </i>
    <i i="1">
      <x v="1"/>
    </i>
  </colItems>
  <dataFields count="2">
    <dataField name="Count of S. No" fld="0" subtotal="count" baseField="7" baseItem="0"/>
    <dataField name="Count of S. No2" fld="0" subtotal="count"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CODE" xr10:uid="{9FF2B011-01FE-4A7B-A9D2-1B04500C92B1}" sourceName="COURSE CODE">
  <pivotTables>
    <pivotTable tabId="3" name="PivotTable3"/>
    <pivotTable tabId="3" name="PivotTable1"/>
    <pivotTable tabId="3" name="PivotTable10"/>
    <pivotTable tabId="3" name="PivotTable11"/>
    <pivotTable tabId="3" name="PivotTable2"/>
    <pivotTable tabId="3" name="PivotTable6"/>
    <pivotTable tabId="3" name="PivotTable7"/>
    <pivotTable tabId="3" name="PivotTable8"/>
    <pivotTable tabId="3" name="PivotTable9"/>
  </pivotTables>
  <data>
    <tabular pivotCacheId="422055668">
      <items count="14">
        <i x="10" s="1"/>
        <i x="5" s="1"/>
        <i x="3" s="1"/>
        <i x="0" s="1"/>
        <i x="8" s="1"/>
        <i x="7" s="1"/>
        <i x="9" s="1"/>
        <i x="12" s="1"/>
        <i x="6" s="1"/>
        <i x="1" s="1"/>
        <i x="11" s="1"/>
        <i x="4" s="1"/>
        <i x="1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ERTIFICATION_TYPE" xr10:uid="{0ECADE1E-042E-4ECB-B51D-F07CD8A4C4D1}" sourceName="CERTIFICATION TYPE">
  <pivotTables>
    <pivotTable tabId="3" name="PivotTable3"/>
    <pivotTable tabId="3" name="PivotTable1"/>
    <pivotTable tabId="3" name="PivotTable10"/>
    <pivotTable tabId="3" name="PivotTable11"/>
    <pivotTable tabId="3" name="PivotTable2"/>
    <pivotTable tabId="3" name="PivotTable6"/>
    <pivotTable tabId="3" name="PivotTable7"/>
    <pivotTable tabId="3" name="PivotTable8"/>
    <pivotTable tabId="3" name="PivotTable9"/>
  </pivotTables>
  <data>
    <tabular pivotCacheId="42205566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ssion" xr10:uid="{37F847B7-F894-471D-8D85-8FBA5028895D}" sourceName="Session">
  <pivotTables>
    <pivotTable tabId="3" name="PivotTable3"/>
    <pivotTable tabId="3" name="PivotTable1"/>
    <pivotTable tabId="3" name="PivotTable10"/>
    <pivotTable tabId="3" name="PivotTable11"/>
    <pivotTable tabId="3" name="PivotTable2"/>
    <pivotTable tabId="3" name="PivotTable6"/>
    <pivotTable tabId="3" name="PivotTable7"/>
    <pivotTable tabId="3" name="PivotTable8"/>
    <pivotTable tabId="3" name="PivotTable9"/>
  </pivotTables>
  <data>
    <tabular pivotCacheId="422055668">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rse_Duration" xr10:uid="{55075997-2C2C-4B88-9841-48E5219B4B1F}" sourceName="Course Duration">
  <pivotTables>
    <pivotTable tabId="3" name="PivotTable3"/>
    <pivotTable tabId="3" name="PivotTable1"/>
    <pivotTable tabId="3" name="PivotTable10"/>
    <pivotTable tabId="3" name="PivotTable11"/>
    <pivotTable tabId="3" name="PivotTable2"/>
    <pivotTable tabId="3" name="PivotTable6"/>
    <pivotTable tabId="3" name="PivotTable7"/>
    <pivotTable tabId="3" name="PivotTable8"/>
    <pivotTable tabId="3" name="PivotTable9"/>
  </pivotTables>
  <data>
    <tabular pivotCacheId="422055668">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RSE CODE" xr10:uid="{B9CC0A05-A13F-4F53-998A-DF23666CFB3A}" cache="Slicer_COURSE_CODE" caption="COURSE CODE" style="Slicer Style 1" rowHeight="241300"/>
  <slicer name="CERTIFICATION TYPE" xr10:uid="{519935AB-43C4-443B-8CE0-391CBF8949A1}" cache="Slicer_CERTIFICATION_TYPE" caption="CERTIFICATION TYPE" style="Slicer Style 1" rowHeight="241300"/>
  <slicer name="Session" xr10:uid="{35BE3549-861E-415A-A926-BAE863BF3D69}" cache="Slicer_Session" caption="Session" columnCount="2" style="Slicer Style 1" rowHeight="241300"/>
  <slicer name="Course Duration" xr10:uid="{DB7B3713-77AE-4578-817A-B6FF2636E20C}" cache="Slicer_Course_Duration" caption="Course Duration"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A43931-30A0-408B-BF66-4C049641B074}" name="tbl_mainsheet" displayName="tbl_mainsheet" ref="A1:BB376" totalsRowShown="0" headerRowDxfId="65" tableBorderDxfId="64">
  <autoFilter ref="A1:BB376" xr:uid="{00000000-0001-0000-0000-000000000000}"/>
  <tableColumns count="54">
    <tableColumn id="1" xr3:uid="{B53C7550-D3EA-49E1-A3A4-2E7336C00836}" name="S. No" dataDxfId="63"/>
    <tableColumn id="2" xr3:uid="{FA0023ED-4C5F-46F9-8651-69612A3EE764}" name="Form No." dataDxfId="62"/>
    <tableColumn id="3" xr3:uid="{392EFE8E-F2B1-4F46-A1BE-E028A45F1EBB}" name="User ID" dataDxfId="61"/>
    <tableColumn id="4" xr3:uid="{0D09893F-F620-49B3-AE44-94BAA07512E7}" name="Password" dataDxfId="60"/>
    <tableColumn id="5" xr3:uid="{A36BAA37-A6F8-4855-A761-CAA54940009C}" name="Student Roll No." dataDxfId="59"/>
    <tableColumn id="6" xr3:uid="{A56CC133-BF8F-4194-B248-9491E9C66397}" name="DATE OF ADMISSION" dataDxfId="58"/>
    <tableColumn id="7" xr3:uid="{30709F72-246A-42BD-8107-67108C4558B9}" name="COURSE NAME" dataDxfId="57"/>
    <tableColumn id="8" xr3:uid="{C380F597-46F4-4B1F-9763-46849356FB86}" name="COURSE CODE" dataDxfId="56"/>
    <tableColumn id="9" xr3:uid="{58310E01-0DA8-4B46-8981-878F7CEC8048}" name="CERTIFICATION TYPE" dataDxfId="55"/>
    <tableColumn id="10" xr3:uid="{44C36E35-ED1B-4DA7-9D42-E16188DF8A74}" name="Session" dataDxfId="54"/>
    <tableColumn id="11" xr3:uid="{EC68BABE-7B32-4078-8C8D-10A70362F8F8}" name="Course Duration" dataDxfId="53"/>
    <tableColumn id="12" xr3:uid="{8CB411C3-ED9D-4196-8624-5C5807C4F817}" name="BATCH DATE &amp; TIMING" dataDxfId="52"/>
    <tableColumn id="13" xr3:uid="{F8638769-F181-4DF2-9491-B5021E51E8E4}" name="Batch Name" dataDxfId="51"/>
    <tableColumn id="14" xr3:uid="{0168BEAB-8006-4580-939C-FA228939F2B1}" name="STUDENT NAME" dataDxfId="50"/>
    <tableColumn id="15" xr3:uid="{CAF929C2-CA5F-4802-9D62-C1BFE86C845A}" name="DATE OF BIRTH" dataDxfId="49"/>
    <tableColumn id="16" xr3:uid="{960F94B1-8BDF-4778-B270-EB7DE809AD39}" name="FATHER'S NAME" dataDxfId="48"/>
    <tableColumn id="17" xr3:uid="{B79550C6-094C-4B03-B0CC-5E54BCA6B959}" name="MOTHER'S NAME" dataDxfId="47"/>
    <tableColumn id="18" xr3:uid="{0724B485-50DC-4C48-BE08-54889A8FBA24}" name="MEDIUM" dataDxfId="46"/>
    <tableColumn id="19" xr3:uid="{63480574-A884-4C30-8A37-77C124F9A6BB}" name="CASTE" dataDxfId="45"/>
    <tableColumn id="20" xr3:uid="{FA802338-AB2C-432E-AF3F-37D659DC34F4}" name="STUDENT FULL ADDRESS" dataDxfId="44"/>
    <tableColumn id="21" xr3:uid="{D9F32942-16F0-40E3-B355-66578FC8DA05}" name="Area" dataDxfId="43"/>
    <tableColumn id="22" xr3:uid="{3E5645E8-C508-486E-B05C-A5D3FA1EB6F6}" name="CONTACT NO." dataDxfId="42"/>
    <tableColumn id="23" xr3:uid="{C8998757-94FB-48F8-B40F-944836D7B811}" name="STUDENT GMAIL ID" dataDxfId="41"/>
    <tableColumn id="24" xr3:uid="{EA1D0183-3D79-4968-89C7-91FCAD827FB2}" name="HIGHEST QUALIFICATION" dataDxfId="40"/>
    <tableColumn id="25" xr3:uid="{DC3FA96A-00DA-4EC8-8D56-72EFAE68D47A}" name="DOCUMENT SUBMITTED" dataDxfId="39"/>
    <tableColumn id="26" xr3:uid="{18D28A37-BF37-4831-A619-5CFBF78F1557}" name="ID CARD STATUS" dataDxfId="38"/>
    <tableColumn id="27" xr3:uid="{94CA1284-16A2-42DA-866F-AFA60EFF6362}" name="COURSE FESS" dataDxfId="37"/>
    <tableColumn id="28" xr3:uid="{CF08A35D-C1A4-472D-98DC-D324EFF1252F}" name="ADMISSION AMOUNT" dataDxfId="36"/>
    <tableColumn id="29" xr3:uid="{E5484A76-D500-4969-8289-7526BEF00DE1}" name="EXAM FESS" dataDxfId="35"/>
    <tableColumn id="30" xr3:uid="{60DC2739-023C-4D17-A568-C82A1CEBABBD}" name="DISCOUNT AMOUNT" dataDxfId="34"/>
    <tableColumn id="31" xr3:uid="{D84AD2FC-5504-49E7-B61E-09CDF3C8A62E}" name="TOTAL PAYBLE AMOUNT" dataDxfId="33">
      <calculatedColumnFormula>SUM(AA2:AC2) -AD2</calculatedColumnFormula>
    </tableColumn>
    <tableColumn id="32" xr3:uid="{0460DB62-AB4D-486F-803E-28F354682EC6}" name="1ST PAYMENT" dataDxfId="32"/>
    <tableColumn id="33" xr3:uid="{07FF2554-ECAC-4176-ACBB-ED9D3CD69AA5}" name="DATE" dataDxfId="31"/>
    <tableColumn id="34" xr3:uid="{920C6A95-6875-4CA6-98A7-0069EBA1B8C7}" name="REMAINING" dataDxfId="30">
      <calculatedColumnFormula>AE2-AF2</calculatedColumnFormula>
    </tableColumn>
    <tableColumn id="35" xr3:uid="{E530EEE4-40DC-4766-87AD-1A806CFA0B0F}" name="2ND PAYMENT" dataDxfId="29"/>
    <tableColumn id="36" xr3:uid="{B97B02A8-C247-4ACD-8786-F0FDC10A355C}" name="DATE2" dataDxfId="28"/>
    <tableColumn id="37" xr3:uid="{A11A9202-DAF2-42E2-9E51-88C194497589}" name="REMAINING2" dataDxfId="27">
      <calculatedColumnFormula>AH2-AI2</calculatedColumnFormula>
    </tableColumn>
    <tableColumn id="38" xr3:uid="{0813B9EE-8902-468F-B1DD-5ADEC6EEEF00}" name="3RD PAYMENT" dataDxfId="26"/>
    <tableColumn id="39" xr3:uid="{D7BC5BE3-D4C7-4EBA-B9A0-9025F16976DD}" name="DATE3" dataDxfId="25"/>
    <tableColumn id="40" xr3:uid="{23AD9E8B-C4F1-4E4B-92CA-7D0134D089F2}" name="REMAINING3" dataDxfId="24">
      <calculatedColumnFormula>AK2-AL2</calculatedColumnFormula>
    </tableColumn>
    <tableColumn id="41" xr3:uid="{35F41760-93C6-4848-84AF-735401800832}" name="4TH PAYMENT" dataDxfId="23">
      <calculatedColumnFormula array="1">_xlfn.IFS(AN2&gt;=5000,3000,AN2&gt;=2000,1000,AN2&gt;=500,500,AN2&lt;500,AN2)</calculatedColumnFormula>
    </tableColumn>
    <tableColumn id="42" xr3:uid="{36B4DF54-3539-45BC-BE77-4F9A8EE96E97}" name="DATE4" dataDxfId="22"/>
    <tableColumn id="43" xr3:uid="{A25E53E0-0BA4-449A-A089-78DA916D9AEA}" name="REMAINING4" dataDxfId="21">
      <calculatedColumnFormula>AN2-AO2</calculatedColumnFormula>
    </tableColumn>
    <tableColumn id="44" xr3:uid="{95F337EA-F190-4DC9-A8C4-E84AFBFF2CB6}" name="5TH PAYMENT" dataDxfId="20"/>
    <tableColumn id="45" xr3:uid="{19EC6D9E-9463-42ED-B85C-6E91AA6E31EE}" name="DATE5" dataDxfId="19"/>
    <tableColumn id="46" xr3:uid="{DC6106CD-D4A0-4DAE-BB3B-58279FD58B42}" name="REMAINING5" dataDxfId="18">
      <calculatedColumnFormula>IFERROR(AQ2-AR2,"")</calculatedColumnFormula>
    </tableColumn>
    <tableColumn id="47" xr3:uid="{CF42051B-964E-42C3-A706-A2DABA6A18A8}" name="6TH PAYMENT" dataDxfId="17"/>
    <tableColumn id="48" xr3:uid="{BC3FAB93-8ADF-4B4B-9E04-6A96EE58E2FC}" name="DATE6" dataDxfId="16"/>
    <tableColumn id="49" xr3:uid="{68387117-9B04-481E-904E-86271BC8D138}" name="REMAINING6" dataDxfId="15"/>
    <tableColumn id="50" xr3:uid="{074453E0-2ECF-4C7E-8C51-EBA664EFC222}" name="Paid Amount" dataDxfId="14">
      <calculatedColumnFormula>SUM(AF2,AI2,AL2,AO2,AR2,AU2)</calculatedColumnFormula>
    </tableColumn>
    <tableColumn id="51" xr3:uid="{FA020851-408B-48E2-81EA-1CA3CA6DCE71}" name="Remaining Amount" dataDxfId="13">
      <calculatedColumnFormula>AE2-AX2</calculatedColumnFormula>
    </tableColumn>
    <tableColumn id="52" xr3:uid="{C3DDDB85-5D31-4543-B3CA-492870A6926D}" name="PAYMENT STATUS" dataDxfId="12">
      <calculatedColumnFormula>IF(AY2=0,"Paid","Unpaid")</calculatedColumnFormula>
    </tableColumn>
    <tableColumn id="53" xr3:uid="{52B1D941-EF97-4375-8C8F-AD11C36D99EC}" name="PAYMENT" dataDxfId="11">
      <calculatedColumnFormula array="1">_xlfn.IFS(AZ2="Paid","R",AZ2="Unpaid","Q")</calculatedColumnFormula>
    </tableColumn>
    <tableColumn id="54" xr3:uid="{19F144BD-8325-4F97-B1DF-08BD8475968D}" name="Course Completion" dataDxfId="10"/>
  </tableColumns>
  <tableStyleInfo showFirstColumn="0" showLastColumn="0" showRowStripes="1" showColumnStripes="0"/>
</table>
</file>

<file path=xl/theme/theme1.xml><?xml version="1.0" encoding="utf-8"?>
<a:theme xmlns:a="http://schemas.openxmlformats.org/drawingml/2006/main" name="Office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4.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0A77F-0146-44F3-843D-21B09C3DF55F}">
  <sheetPr>
    <tabColor rgb="FF002060"/>
  </sheetPr>
  <dimension ref="A1:U25"/>
  <sheetViews>
    <sheetView showGridLines="0" tabSelected="1" zoomScaleNormal="100" workbookViewId="0">
      <pane ySplit="4" topLeftCell="A5" activePane="bottomLeft" state="frozen"/>
      <selection pane="bottomLeft" activeCell="U11" sqref="U11"/>
    </sheetView>
  </sheetViews>
  <sheetFormatPr defaultRowHeight="15" x14ac:dyDescent="0.25"/>
  <cols>
    <col min="1" max="1" width="2" style="65" customWidth="1"/>
    <col min="2" max="2" width="4.42578125" customWidth="1"/>
    <col min="3" max="3" width="15.42578125" customWidth="1"/>
    <col min="19" max="19" width="4.42578125" customWidth="1"/>
  </cols>
  <sheetData>
    <row r="1" spans="1:20" x14ac:dyDescent="0.25">
      <c r="B1" s="64"/>
      <c r="C1" s="64"/>
      <c r="D1" s="64"/>
      <c r="E1" s="64"/>
      <c r="F1" s="64"/>
      <c r="G1" s="64"/>
      <c r="H1" s="64"/>
      <c r="I1" s="64"/>
      <c r="J1" s="64"/>
      <c r="K1" s="64"/>
      <c r="L1" s="64"/>
      <c r="M1" s="64"/>
      <c r="N1" s="64"/>
      <c r="O1" s="64"/>
      <c r="P1" s="64"/>
      <c r="Q1" s="64"/>
      <c r="R1" s="64"/>
      <c r="S1" s="64"/>
    </row>
    <row r="2" spans="1:20" ht="56.25" customHeight="1" x14ac:dyDescent="0.25">
      <c r="B2" s="99" t="s">
        <v>2847</v>
      </c>
      <c r="C2" s="100"/>
      <c r="D2" s="100"/>
      <c r="E2" s="100"/>
      <c r="F2" s="100"/>
      <c r="G2" s="100"/>
      <c r="H2" s="100"/>
      <c r="I2" s="100"/>
      <c r="J2" s="100"/>
      <c r="K2" s="100"/>
      <c r="L2" s="100"/>
      <c r="M2" s="100"/>
      <c r="N2" s="100"/>
      <c r="O2" s="100"/>
      <c r="P2" s="100"/>
      <c r="Q2" s="100"/>
      <c r="R2" s="100"/>
      <c r="S2" s="64"/>
    </row>
    <row r="3" spans="1:20" x14ac:dyDescent="0.25">
      <c r="B3" s="103" t="s">
        <v>2848</v>
      </c>
      <c r="C3" s="104"/>
      <c r="D3" s="104"/>
      <c r="E3" s="104"/>
      <c r="F3" s="104"/>
      <c r="G3" s="104"/>
      <c r="H3" s="104"/>
      <c r="I3" s="104"/>
      <c r="J3" s="104"/>
      <c r="K3" s="104"/>
      <c r="L3" s="104"/>
      <c r="M3" s="104"/>
      <c r="N3" s="104"/>
      <c r="O3" s="104"/>
      <c r="P3" s="104"/>
      <c r="Q3" s="104"/>
      <c r="R3" s="104"/>
      <c r="S3" s="64"/>
    </row>
    <row r="4" spans="1:20" x14ac:dyDescent="0.25">
      <c r="B4" s="101"/>
      <c r="C4" s="102"/>
      <c r="D4" s="102"/>
      <c r="E4" s="102"/>
      <c r="F4" s="102"/>
      <c r="G4" s="102"/>
      <c r="H4" s="102"/>
      <c r="I4" s="102"/>
      <c r="J4" s="102"/>
      <c r="K4" s="102"/>
      <c r="L4" s="102"/>
      <c r="M4" s="102"/>
      <c r="N4" s="102"/>
      <c r="O4" s="102"/>
      <c r="P4" s="102"/>
      <c r="Q4" s="102"/>
      <c r="R4" s="102"/>
      <c r="S4" s="64"/>
    </row>
    <row r="5" spans="1:20" x14ac:dyDescent="0.25">
      <c r="B5" s="64"/>
      <c r="C5" s="64"/>
      <c r="D5" s="64"/>
      <c r="E5" s="64"/>
      <c r="F5" s="64"/>
      <c r="G5" s="64"/>
      <c r="H5" s="64"/>
      <c r="I5" s="64"/>
      <c r="J5" s="64"/>
      <c r="K5" s="64"/>
      <c r="L5" s="64"/>
      <c r="M5" s="64"/>
      <c r="N5" s="64"/>
      <c r="O5" s="64"/>
      <c r="P5" s="64"/>
      <c r="Q5" s="64"/>
      <c r="R5" s="64"/>
      <c r="S5" s="64"/>
    </row>
    <row r="6" spans="1:20" ht="21.75" thickBot="1" x14ac:dyDescent="0.4">
      <c r="B6" s="105" t="s">
        <v>2849</v>
      </c>
      <c r="C6" s="106"/>
      <c r="D6" s="106"/>
      <c r="E6" s="106"/>
      <c r="F6" s="106"/>
      <c r="G6" s="106"/>
      <c r="H6" s="106"/>
      <c r="I6" s="106"/>
      <c r="J6" s="106"/>
      <c r="K6" s="106"/>
      <c r="L6" s="106"/>
      <c r="M6" s="106"/>
      <c r="N6" s="106"/>
      <c r="O6" s="106"/>
      <c r="P6" s="106"/>
      <c r="Q6" s="106"/>
      <c r="R6" s="106"/>
      <c r="S6" s="106"/>
    </row>
    <row r="7" spans="1:20" x14ac:dyDescent="0.25">
      <c r="A7" s="66"/>
      <c r="B7" s="73"/>
      <c r="C7" s="76"/>
      <c r="D7" s="68"/>
      <c r="E7" s="68"/>
      <c r="F7" s="77"/>
      <c r="G7" s="68"/>
      <c r="H7" s="68"/>
      <c r="I7" s="68"/>
      <c r="J7" s="77"/>
      <c r="K7" s="68"/>
      <c r="L7" s="68"/>
      <c r="M7" s="68"/>
      <c r="N7" s="77"/>
      <c r="O7" s="68"/>
      <c r="P7" s="68"/>
      <c r="Q7" s="68"/>
      <c r="R7" s="77"/>
      <c r="S7" s="74"/>
    </row>
    <row r="8" spans="1:20" x14ac:dyDescent="0.25">
      <c r="A8" s="66"/>
      <c r="B8" s="73"/>
      <c r="C8" s="74"/>
      <c r="D8" s="67"/>
      <c r="E8" s="67"/>
      <c r="F8" s="73"/>
      <c r="G8" s="67"/>
      <c r="H8" s="67"/>
      <c r="I8" s="67"/>
      <c r="J8" s="73"/>
      <c r="K8" s="67"/>
      <c r="L8" s="67"/>
      <c r="M8" s="67"/>
      <c r="N8" s="73"/>
      <c r="O8" s="67"/>
      <c r="P8" s="67"/>
      <c r="Q8" s="67"/>
      <c r="R8" s="73"/>
      <c r="S8" s="74"/>
    </row>
    <row r="9" spans="1:20" ht="26.25" x14ac:dyDescent="0.4">
      <c r="A9" s="66"/>
      <c r="B9" s="73"/>
      <c r="C9" s="107" t="s">
        <v>2850</v>
      </c>
      <c r="D9" s="108"/>
      <c r="E9" s="108"/>
      <c r="F9" s="109"/>
      <c r="G9" s="107" t="s">
        <v>2851</v>
      </c>
      <c r="H9" s="108"/>
      <c r="I9" s="108"/>
      <c r="J9" s="109"/>
      <c r="K9" s="107" t="s">
        <v>2852</v>
      </c>
      <c r="L9" s="108"/>
      <c r="M9" s="108"/>
      <c r="N9" s="109"/>
      <c r="O9" s="107" t="s">
        <v>2853</v>
      </c>
      <c r="P9" s="108"/>
      <c r="Q9" s="108"/>
      <c r="R9" s="109"/>
      <c r="S9" s="64"/>
    </row>
    <row r="10" spans="1:20" x14ac:dyDescent="0.25">
      <c r="A10" s="66"/>
      <c r="B10" s="64"/>
      <c r="C10" s="74"/>
      <c r="D10" s="67"/>
      <c r="E10" s="67"/>
      <c r="F10" s="73"/>
      <c r="G10" s="67"/>
      <c r="H10" s="67"/>
      <c r="I10" s="67"/>
      <c r="J10" s="73"/>
      <c r="K10" s="67"/>
      <c r="L10" s="67"/>
      <c r="M10" s="67"/>
      <c r="N10" s="73"/>
      <c r="O10" s="67"/>
      <c r="P10" s="67"/>
      <c r="Q10" s="67"/>
      <c r="R10" s="73"/>
      <c r="S10" s="74"/>
    </row>
    <row r="11" spans="1:20" ht="18.75" x14ac:dyDescent="0.3">
      <c r="A11" s="66"/>
      <c r="B11" s="64"/>
      <c r="C11" s="122" t="s">
        <v>2855</v>
      </c>
      <c r="D11" s="123"/>
      <c r="E11" s="123"/>
      <c r="F11" s="124"/>
      <c r="G11" s="122" t="s">
        <v>2854</v>
      </c>
      <c r="H11" s="123"/>
      <c r="I11" s="123"/>
      <c r="J11" s="124"/>
      <c r="K11" s="122" t="s">
        <v>2816</v>
      </c>
      <c r="L11" s="123"/>
      <c r="M11" s="123"/>
      <c r="N11" s="124"/>
      <c r="O11" s="122" t="s">
        <v>2817</v>
      </c>
      <c r="P11" s="123"/>
      <c r="Q11" s="123"/>
      <c r="R11" s="124"/>
      <c r="S11" s="64"/>
    </row>
    <row r="12" spans="1:20" ht="18.75" x14ac:dyDescent="0.3">
      <c r="A12" s="66"/>
      <c r="B12" s="64"/>
      <c r="C12" s="74"/>
      <c r="D12" s="67"/>
      <c r="E12" s="67"/>
      <c r="F12" s="79" t="s">
        <v>2860</v>
      </c>
      <c r="G12" s="67"/>
      <c r="H12" s="67"/>
      <c r="I12" s="67"/>
      <c r="J12" s="79" t="s">
        <v>2860</v>
      </c>
      <c r="K12" s="67"/>
      <c r="L12" s="67"/>
      <c r="M12" s="67"/>
      <c r="N12" s="79" t="s">
        <v>2860</v>
      </c>
      <c r="O12" s="67"/>
      <c r="P12" s="67"/>
      <c r="Q12" s="67"/>
      <c r="R12" s="79" t="s">
        <v>2860</v>
      </c>
      <c r="S12" s="74"/>
      <c r="T12" s="70"/>
    </row>
    <row r="13" spans="1:20" x14ac:dyDescent="0.25">
      <c r="A13" s="66"/>
      <c r="B13" s="73"/>
      <c r="C13" s="78"/>
      <c r="D13" s="72"/>
      <c r="E13" s="72"/>
      <c r="F13" s="75"/>
      <c r="G13" s="72"/>
      <c r="H13" s="72"/>
      <c r="I13" s="72"/>
      <c r="J13" s="75"/>
      <c r="K13" s="72"/>
      <c r="L13" s="72"/>
      <c r="M13" s="72"/>
      <c r="N13" s="75"/>
      <c r="O13" s="72"/>
      <c r="P13" s="72"/>
      <c r="Q13" s="72"/>
      <c r="R13" s="75"/>
      <c r="S13" s="74"/>
    </row>
    <row r="14" spans="1:20" x14ac:dyDescent="0.25">
      <c r="B14" s="64"/>
      <c r="C14" s="71"/>
      <c r="D14" s="71"/>
      <c r="E14" s="71"/>
      <c r="F14" s="71"/>
      <c r="G14" s="71"/>
      <c r="H14" s="71"/>
      <c r="I14" s="71"/>
      <c r="J14" s="71"/>
      <c r="K14" s="71"/>
      <c r="L14" s="71"/>
      <c r="M14" s="71"/>
      <c r="N14" s="71"/>
      <c r="O14" s="71"/>
      <c r="P14" s="64"/>
      <c r="Q14" s="71"/>
      <c r="R14" s="64"/>
      <c r="S14" s="64"/>
    </row>
    <row r="15" spans="1:20" ht="21" x14ac:dyDescent="0.35">
      <c r="B15" s="105" t="s">
        <v>2859</v>
      </c>
      <c r="C15" s="106"/>
      <c r="D15" s="106"/>
      <c r="E15" s="106"/>
      <c r="F15" s="106"/>
      <c r="G15" s="106"/>
      <c r="H15" s="106"/>
      <c r="I15" s="106"/>
      <c r="J15" s="106"/>
      <c r="K15" s="106"/>
      <c r="L15" s="106"/>
      <c r="M15" s="106"/>
      <c r="N15" s="106"/>
      <c r="O15" s="106"/>
      <c r="P15" s="106"/>
      <c r="Q15" s="106"/>
      <c r="R15" s="106"/>
      <c r="S15" s="106"/>
    </row>
    <row r="16" spans="1:20" x14ac:dyDescent="0.25">
      <c r="A16" s="66"/>
      <c r="B16" s="67"/>
      <c r="C16" s="88"/>
      <c r="D16" s="89"/>
      <c r="E16" s="89"/>
      <c r="F16" s="89"/>
      <c r="G16" s="89"/>
      <c r="H16" s="89"/>
      <c r="I16" s="89"/>
      <c r="J16" s="90"/>
      <c r="K16" s="81"/>
      <c r="L16" s="81"/>
      <c r="M16" s="81"/>
      <c r="N16" s="81"/>
      <c r="O16" s="81"/>
      <c r="P16" s="81"/>
      <c r="Q16" s="81"/>
      <c r="R16" s="82"/>
      <c r="S16" s="64"/>
    </row>
    <row r="17" spans="2:21" x14ac:dyDescent="0.25">
      <c r="B17" s="64"/>
      <c r="C17" s="91"/>
      <c r="D17" s="92"/>
      <c r="E17" s="92"/>
      <c r="F17" s="92"/>
      <c r="G17" s="92"/>
      <c r="H17" s="92"/>
      <c r="I17" s="92"/>
      <c r="J17" s="93"/>
      <c r="K17" s="83"/>
      <c r="L17" s="83"/>
      <c r="M17" s="83"/>
      <c r="N17" s="83"/>
      <c r="O17" s="83"/>
      <c r="P17" s="83"/>
      <c r="Q17" s="83"/>
      <c r="R17" s="84"/>
      <c r="S17" s="64"/>
    </row>
    <row r="18" spans="2:21" ht="26.25" x14ac:dyDescent="0.4">
      <c r="B18" s="64"/>
      <c r="C18" s="116" t="s">
        <v>2861</v>
      </c>
      <c r="D18" s="117"/>
      <c r="E18" s="117"/>
      <c r="F18" s="117"/>
      <c r="G18" s="117"/>
      <c r="H18" s="117"/>
      <c r="I18" s="117"/>
      <c r="J18" s="118"/>
      <c r="K18" s="110" t="s">
        <v>2856</v>
      </c>
      <c r="L18" s="111"/>
      <c r="M18" s="111"/>
      <c r="N18" s="111"/>
      <c r="O18" s="111"/>
      <c r="P18" s="111"/>
      <c r="Q18" s="111"/>
      <c r="R18" s="112"/>
      <c r="S18" s="64"/>
    </row>
    <row r="19" spans="2:21" ht="18.75" x14ac:dyDescent="0.3">
      <c r="B19" s="64"/>
      <c r="C19" s="119" t="s">
        <v>2857</v>
      </c>
      <c r="D19" s="120"/>
      <c r="E19" s="120"/>
      <c r="F19" s="120"/>
      <c r="G19" s="120"/>
      <c r="H19" s="120"/>
      <c r="I19" s="120"/>
      <c r="J19" s="121"/>
      <c r="K19" s="113" t="s">
        <v>2858</v>
      </c>
      <c r="L19" s="114"/>
      <c r="M19" s="114"/>
      <c r="N19" s="114"/>
      <c r="O19" s="114"/>
      <c r="P19" s="114"/>
      <c r="Q19" s="114"/>
      <c r="R19" s="115"/>
      <c r="S19" s="64"/>
    </row>
    <row r="20" spans="2:21" ht="18.75" x14ac:dyDescent="0.3">
      <c r="B20" s="80"/>
      <c r="C20" s="92"/>
      <c r="D20" s="92"/>
      <c r="E20" s="92"/>
      <c r="F20" s="92"/>
      <c r="G20" s="92"/>
      <c r="H20" s="92"/>
      <c r="I20" s="92"/>
      <c r="J20" s="97" t="s">
        <v>2860</v>
      </c>
      <c r="K20" s="83"/>
      <c r="L20" s="83"/>
      <c r="M20" s="83"/>
      <c r="N20" s="83"/>
      <c r="O20" s="83"/>
      <c r="P20" s="83"/>
      <c r="Q20" s="83"/>
      <c r="R20" s="98" t="s">
        <v>2860</v>
      </c>
      <c r="S20" s="64"/>
      <c r="U20" s="69"/>
    </row>
    <row r="21" spans="2:21" x14ac:dyDescent="0.25">
      <c r="B21" s="64"/>
      <c r="C21" s="94"/>
      <c r="D21" s="95"/>
      <c r="E21" s="95"/>
      <c r="F21" s="95"/>
      <c r="G21" s="95"/>
      <c r="H21" s="95"/>
      <c r="I21" s="95"/>
      <c r="J21" s="96"/>
      <c r="K21" s="85"/>
      <c r="L21" s="86"/>
      <c r="M21" s="86"/>
      <c r="N21" s="86"/>
      <c r="O21" s="86"/>
      <c r="P21" s="86"/>
      <c r="Q21" s="86"/>
      <c r="R21" s="87"/>
      <c r="S21" s="64"/>
    </row>
    <row r="22" spans="2:21" x14ac:dyDescent="0.25">
      <c r="B22" s="64"/>
      <c r="C22" s="64"/>
      <c r="D22" s="64"/>
      <c r="E22" s="64"/>
      <c r="F22" s="64"/>
      <c r="G22" s="64"/>
      <c r="H22" s="64"/>
      <c r="I22" s="64"/>
      <c r="J22" s="64"/>
      <c r="K22" s="64"/>
      <c r="L22" s="64"/>
      <c r="M22" s="64"/>
      <c r="N22" s="64"/>
      <c r="O22" s="64"/>
      <c r="P22" s="64"/>
      <c r="Q22" s="64"/>
      <c r="R22" s="64"/>
      <c r="S22" s="64"/>
    </row>
    <row r="23" spans="2:21" x14ac:dyDescent="0.25">
      <c r="B23" s="64"/>
      <c r="C23" s="64"/>
      <c r="D23" s="64"/>
      <c r="E23" s="64"/>
      <c r="F23" s="64"/>
      <c r="G23" s="64"/>
      <c r="H23" s="64"/>
      <c r="I23" s="64"/>
      <c r="J23" s="64"/>
      <c r="K23" s="64"/>
      <c r="L23" s="64"/>
      <c r="M23" s="64"/>
      <c r="N23" s="64"/>
      <c r="O23" s="64"/>
      <c r="P23" s="64"/>
      <c r="Q23" s="64"/>
      <c r="R23" s="64"/>
      <c r="S23" s="64"/>
    </row>
    <row r="24" spans="2:21" x14ac:dyDescent="0.25">
      <c r="B24" s="64"/>
      <c r="C24" s="64"/>
      <c r="D24" s="64"/>
      <c r="E24" s="64"/>
      <c r="F24" s="64"/>
      <c r="G24" s="64"/>
      <c r="H24" s="64"/>
      <c r="I24" s="64"/>
      <c r="J24" s="64"/>
      <c r="K24" s="64"/>
      <c r="L24" s="64"/>
      <c r="M24" s="64"/>
      <c r="N24" s="64"/>
      <c r="O24" s="64"/>
      <c r="P24" s="64"/>
      <c r="Q24" s="64"/>
      <c r="R24" s="64"/>
      <c r="S24" s="64"/>
    </row>
    <row r="25" spans="2:21" x14ac:dyDescent="0.25">
      <c r="B25" s="64"/>
      <c r="C25" s="64"/>
      <c r="D25" s="64"/>
      <c r="E25" s="64"/>
      <c r="F25" s="64"/>
      <c r="G25" s="64"/>
      <c r="H25" s="64"/>
      <c r="I25" s="64"/>
      <c r="J25" s="64"/>
      <c r="K25" s="64"/>
      <c r="L25" s="64"/>
      <c r="M25" s="64"/>
      <c r="N25" s="64"/>
      <c r="O25" s="64"/>
      <c r="P25" s="64"/>
      <c r="Q25" s="64"/>
      <c r="R25" s="64"/>
      <c r="S25" s="64"/>
    </row>
  </sheetData>
  <mergeCells count="17">
    <mergeCell ref="K18:R18"/>
    <mergeCell ref="K19:R19"/>
    <mergeCell ref="C18:J18"/>
    <mergeCell ref="C19:J19"/>
    <mergeCell ref="C11:F11"/>
    <mergeCell ref="G11:J11"/>
    <mergeCell ref="K11:N11"/>
    <mergeCell ref="O11:R11"/>
    <mergeCell ref="B15:S15"/>
    <mergeCell ref="B2:R2"/>
    <mergeCell ref="B4:R4"/>
    <mergeCell ref="B3:R3"/>
    <mergeCell ref="B6:S6"/>
    <mergeCell ref="C9:F9"/>
    <mergeCell ref="G9:J9"/>
    <mergeCell ref="K9:N9"/>
    <mergeCell ref="O9:R9"/>
  </mergeCells>
  <hyperlinks>
    <hyperlink ref="C9:F9" location="'Main Sheet'!A1" display="Main Sheet" xr:uid="{2364CC8E-8772-4728-A210-0C14E1C09B0A}"/>
    <hyperlink ref="G9:J9" location="'Admission Slip'!A1" display="Admission" xr:uid="{4C473297-4B9A-4DE0-B095-0F1225439F67}"/>
    <hyperlink ref="K9:N9" location="'Course Discontinued'!A1" display="Discountinued" xr:uid="{C9359D25-D637-414E-811A-CD7176C9A5AF}"/>
    <hyperlink ref="O9:R9" location="'Course Ongoing'!A1" display="Ongoing" xr:uid="{7256A997-246E-4460-8594-3B00D63D3287}"/>
    <hyperlink ref="C18:J18" location="'Pivot Table'!A1" display="Pivot Tables" xr:uid="{AC260545-F3C5-4007-BC94-6B14962CD782}"/>
    <hyperlink ref="K18:R18" location="Dashboard!A1" display="Dashboard" xr:uid="{A6A3909D-CDC6-4C4B-BABA-5C9D30B2830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377"/>
  <sheetViews>
    <sheetView topLeftCell="Q1" workbookViewId="0">
      <pane ySplit="1" topLeftCell="A95" activePane="bottomLeft" state="frozen"/>
      <selection activeCell="G43" sqref="G43"/>
      <selection pane="bottomLeft" activeCell="U97" sqref="U97"/>
    </sheetView>
  </sheetViews>
  <sheetFormatPr defaultRowHeight="15" x14ac:dyDescent="0.25"/>
  <cols>
    <col min="1" max="1" width="10.140625" bestFit="1" customWidth="1"/>
    <col min="2" max="2" width="13.7109375" bestFit="1" customWidth="1"/>
    <col min="3" max="3" width="25.85546875" bestFit="1" customWidth="1"/>
    <col min="4" max="4" width="19.28515625" bestFit="1" customWidth="1"/>
    <col min="5" max="5" width="20.140625" bestFit="1" customWidth="1"/>
    <col min="6" max="6" width="24.140625" style="5" bestFit="1" customWidth="1"/>
    <col min="7" max="7" width="54.5703125" bestFit="1" customWidth="1"/>
    <col min="8" max="8" width="18.140625" bestFit="1" customWidth="1"/>
    <col min="9" max="9" width="23.85546875" bestFit="1" customWidth="1"/>
    <col min="10" max="10" width="12.28515625" bestFit="1" customWidth="1"/>
    <col min="11" max="11" width="20" bestFit="1" customWidth="1"/>
    <col min="12" max="12" width="26.140625" bestFit="1" customWidth="1"/>
    <col min="13" max="13" width="20" customWidth="1"/>
    <col min="14" max="14" width="27.5703125" style="5" bestFit="1" customWidth="1"/>
    <col min="15" max="15" width="18.7109375" bestFit="1" customWidth="1"/>
    <col min="16" max="16" width="29.28515625" bestFit="1" customWidth="1"/>
    <col min="17" max="17" width="21" bestFit="1" customWidth="1"/>
    <col min="18" max="18" width="13.5703125" bestFit="1" customWidth="1"/>
    <col min="19" max="19" width="11" bestFit="1" customWidth="1"/>
    <col min="20" max="20" width="93.5703125" bestFit="1" customWidth="1"/>
    <col min="21" max="21" width="13.7109375" bestFit="1" customWidth="1"/>
    <col min="22" max="22" width="18" bestFit="1" customWidth="1"/>
    <col min="23" max="23" width="32.7109375" bestFit="1" customWidth="1"/>
    <col min="24" max="24" width="28" bestFit="1" customWidth="1"/>
    <col min="25" max="25" width="27.28515625" bestFit="1" customWidth="1"/>
    <col min="26" max="26" width="20" bestFit="1" customWidth="1"/>
    <col min="27" max="27" width="17.140625" bestFit="1" customWidth="1"/>
    <col min="28" max="28" width="25.140625" bestFit="1" customWidth="1"/>
    <col min="29" max="29" width="15.28515625" bestFit="1" customWidth="1"/>
    <col min="30" max="30" width="24" bestFit="1" customWidth="1"/>
    <col min="31" max="31" width="27.42578125" bestFit="1" customWidth="1"/>
    <col min="32" max="32" width="18" style="5" bestFit="1" customWidth="1"/>
    <col min="33" max="33" width="10.42578125" bestFit="1" customWidth="1"/>
    <col min="34" max="34" width="16.28515625" bestFit="1" customWidth="1"/>
    <col min="35" max="35" width="18.7109375" style="5" bestFit="1" customWidth="1"/>
    <col min="36" max="36" width="11.140625" bestFit="1" customWidth="1"/>
    <col min="37" max="37" width="17.28515625" bestFit="1" customWidth="1"/>
    <col min="38" max="38" width="18.42578125" bestFit="1" customWidth="1"/>
    <col min="39" max="39" width="11.140625" bestFit="1" customWidth="1"/>
    <col min="40" max="40" width="17.28515625" bestFit="1" customWidth="1"/>
    <col min="41" max="41" width="18.28515625" style="5" bestFit="1" customWidth="1"/>
    <col min="42" max="42" width="11.140625" bestFit="1" customWidth="1"/>
    <col min="43" max="43" width="17.28515625" bestFit="1" customWidth="1"/>
    <col min="44" max="44" width="18.28515625" bestFit="1" customWidth="1"/>
    <col min="45" max="45" width="11.140625" bestFit="1" customWidth="1"/>
    <col min="46" max="46" width="17.28515625" bestFit="1" customWidth="1"/>
    <col min="47" max="47" width="18.28515625" style="5" bestFit="1" customWidth="1"/>
    <col min="48" max="48" width="12.140625" bestFit="1" customWidth="1"/>
    <col min="49" max="49" width="18.42578125" bestFit="1" customWidth="1"/>
    <col min="50" max="50" width="17" bestFit="1" customWidth="1"/>
    <col min="51" max="51" width="22.85546875" bestFit="1" customWidth="1"/>
    <col min="52" max="52" width="21.85546875" style="10" bestFit="1" customWidth="1"/>
    <col min="53" max="53" width="14.42578125" bestFit="1" customWidth="1"/>
    <col min="54" max="54" width="41.7109375" bestFit="1" customWidth="1"/>
  </cols>
  <sheetData>
    <row r="1" spans="1:54" x14ac:dyDescent="0.25">
      <c r="A1" s="1" t="s">
        <v>0</v>
      </c>
      <c r="B1" s="1" t="s">
        <v>1</v>
      </c>
      <c r="C1" s="1" t="s">
        <v>2</v>
      </c>
      <c r="D1" s="1" t="s">
        <v>3</v>
      </c>
      <c r="E1" s="1" t="s">
        <v>4</v>
      </c>
      <c r="F1" s="3" t="s">
        <v>5</v>
      </c>
      <c r="G1" s="1" t="s">
        <v>776</v>
      </c>
      <c r="H1" s="1" t="s">
        <v>1255</v>
      </c>
      <c r="I1" s="6" t="s">
        <v>777</v>
      </c>
      <c r="J1" s="6" t="s">
        <v>778</v>
      </c>
      <c r="K1" s="6" t="s">
        <v>779</v>
      </c>
      <c r="L1" s="6" t="s">
        <v>780</v>
      </c>
      <c r="M1" s="6" t="s">
        <v>1265</v>
      </c>
      <c r="N1" s="6" t="s">
        <v>781</v>
      </c>
      <c r="O1" s="6" t="s">
        <v>782</v>
      </c>
      <c r="P1" s="6" t="s">
        <v>783</v>
      </c>
      <c r="Q1" s="6" t="s">
        <v>784</v>
      </c>
      <c r="R1" s="6" t="s">
        <v>785</v>
      </c>
      <c r="S1" s="6" t="s">
        <v>786</v>
      </c>
      <c r="T1" s="6" t="s">
        <v>1179</v>
      </c>
      <c r="U1" s="6" t="s">
        <v>1266</v>
      </c>
      <c r="V1" s="6" t="s">
        <v>1180</v>
      </c>
      <c r="W1" s="6" t="s">
        <v>1181</v>
      </c>
      <c r="X1" s="6" t="s">
        <v>1182</v>
      </c>
      <c r="Y1" s="6" t="s">
        <v>1186</v>
      </c>
      <c r="Z1" s="6" t="s">
        <v>1187</v>
      </c>
      <c r="AA1" s="6" t="s">
        <v>1188</v>
      </c>
      <c r="AB1" s="6" t="s">
        <v>1189</v>
      </c>
      <c r="AC1" s="6" t="s">
        <v>1190</v>
      </c>
      <c r="AD1" s="6" t="s">
        <v>1191</v>
      </c>
      <c r="AE1" s="6" t="s">
        <v>1192</v>
      </c>
      <c r="AF1" s="6" t="s">
        <v>1195</v>
      </c>
      <c r="AG1" s="6" t="s">
        <v>1193</v>
      </c>
      <c r="AH1" s="6" t="s">
        <v>1194</v>
      </c>
      <c r="AI1" s="6" t="s">
        <v>1196</v>
      </c>
      <c r="AJ1" s="7" t="s">
        <v>1206</v>
      </c>
      <c r="AK1" s="6" t="s">
        <v>2805</v>
      </c>
      <c r="AL1" s="6" t="s">
        <v>1197</v>
      </c>
      <c r="AM1" s="7" t="s">
        <v>2806</v>
      </c>
      <c r="AN1" s="6" t="s">
        <v>1207</v>
      </c>
      <c r="AO1" s="6" t="s">
        <v>1198</v>
      </c>
      <c r="AP1" s="7" t="s">
        <v>1208</v>
      </c>
      <c r="AQ1" s="6" t="s">
        <v>2808</v>
      </c>
      <c r="AR1" s="6" t="s">
        <v>1199</v>
      </c>
      <c r="AS1" s="7" t="s">
        <v>2807</v>
      </c>
      <c r="AT1" s="6" t="s">
        <v>1209</v>
      </c>
      <c r="AU1" s="6" t="s">
        <v>1205</v>
      </c>
      <c r="AV1" s="7" t="s">
        <v>1210</v>
      </c>
      <c r="AW1" s="6" t="s">
        <v>2809</v>
      </c>
      <c r="AX1" s="6" t="s">
        <v>1201</v>
      </c>
      <c r="AY1" s="6" t="s">
        <v>1202</v>
      </c>
      <c r="AZ1" s="6" t="s">
        <v>1203</v>
      </c>
      <c r="BA1" s="6" t="s">
        <v>1204</v>
      </c>
      <c r="BB1" s="11" t="s">
        <v>2815</v>
      </c>
    </row>
    <row r="2" spans="1:54" x14ac:dyDescent="0.25">
      <c r="A2" s="2">
        <v>1</v>
      </c>
      <c r="B2" s="2">
        <v>1</v>
      </c>
      <c r="C2" s="2" t="s">
        <v>6</v>
      </c>
      <c r="D2" s="2" t="s">
        <v>1662</v>
      </c>
      <c r="E2" s="2" t="s">
        <v>7</v>
      </c>
      <c r="F2" s="4">
        <v>45295</v>
      </c>
      <c r="G2" s="8" t="s">
        <v>8</v>
      </c>
      <c r="H2" s="8" t="s">
        <v>1242</v>
      </c>
      <c r="I2" s="2" t="s">
        <v>9</v>
      </c>
      <c r="J2" s="2" t="s">
        <v>10</v>
      </c>
      <c r="K2" s="2" t="s">
        <v>787</v>
      </c>
      <c r="L2" s="2" t="s">
        <v>1256</v>
      </c>
      <c r="M2" s="2" t="s">
        <v>1263</v>
      </c>
      <c r="N2" s="2" t="s">
        <v>2016</v>
      </c>
      <c r="O2" s="4">
        <v>40130</v>
      </c>
      <c r="P2" s="2" t="s">
        <v>2391</v>
      </c>
      <c r="Q2" s="2" t="s">
        <v>2392</v>
      </c>
      <c r="R2" s="2" t="s">
        <v>2393</v>
      </c>
      <c r="S2" s="2" t="s">
        <v>788</v>
      </c>
      <c r="T2" s="2" t="s">
        <v>1288</v>
      </c>
      <c r="U2" s="2" t="s">
        <v>1267</v>
      </c>
      <c r="V2" s="2">
        <v>8721700429</v>
      </c>
      <c r="W2" s="2" t="s">
        <v>789</v>
      </c>
      <c r="X2" s="2" t="s">
        <v>790</v>
      </c>
      <c r="Y2" s="2" t="s">
        <v>1184</v>
      </c>
      <c r="Z2" s="2" t="s">
        <v>1185</v>
      </c>
      <c r="AA2" s="2">
        <v>12500</v>
      </c>
      <c r="AB2" s="2">
        <v>200</v>
      </c>
      <c r="AC2" s="2">
        <v>1200</v>
      </c>
      <c r="AD2" s="2">
        <v>500</v>
      </c>
      <c r="AE2" s="2">
        <f>SUM(AA2:AC2) -AD2</f>
        <v>13400</v>
      </c>
      <c r="AF2" s="2">
        <v>5000</v>
      </c>
      <c r="AG2" s="4">
        <v>45305</v>
      </c>
      <c r="AH2" s="2">
        <f>AE2-AF2</f>
        <v>8400</v>
      </c>
      <c r="AI2" s="2">
        <v>3000</v>
      </c>
      <c r="AJ2" s="4">
        <v>45336</v>
      </c>
      <c r="AK2" s="2">
        <f>AH2-AI2</f>
        <v>5400</v>
      </c>
      <c r="AL2" s="2">
        <v>3000</v>
      </c>
      <c r="AM2" s="4">
        <v>45365</v>
      </c>
      <c r="AN2" s="2">
        <f>AK2-AL2</f>
        <v>2400</v>
      </c>
      <c r="AO2" s="2" cm="1">
        <f t="array" ref="AO2">_xlfn.IFS(AN2&gt;=5000,3000,AN2&gt;=2000,1000,AN2&gt;=500,500,AN2&lt;500,AN2)</f>
        <v>1000</v>
      </c>
      <c r="AP2" s="4">
        <v>45396</v>
      </c>
      <c r="AQ2" s="2">
        <f>AN2-AO2</f>
        <v>1400</v>
      </c>
      <c r="AR2" s="2">
        <v>1000</v>
      </c>
      <c r="AS2" s="4">
        <v>45426</v>
      </c>
      <c r="AT2" s="2">
        <f>IFERROR(AQ2-AR2,"")</f>
        <v>400</v>
      </c>
      <c r="AU2" s="2">
        <v>400</v>
      </c>
      <c r="AV2" s="4">
        <v>45457</v>
      </c>
      <c r="AW2" s="2">
        <v>0</v>
      </c>
      <c r="AX2" s="2">
        <f>SUM(AF2,AI2,AL2,AO2,AR2,AU2)</f>
        <v>13400</v>
      </c>
      <c r="AY2" s="2">
        <f>AE2-AX2</f>
        <v>0</v>
      </c>
      <c r="AZ2" s="2" t="str">
        <f>IF(AY2=0,"Paid","Unpaid")</f>
        <v>Paid</v>
      </c>
      <c r="BA2" s="9" t="str" cm="1">
        <f t="array" ref="BA2">_xlfn.IFS(AZ2="Paid","R",AZ2="Unpaid","Q")</f>
        <v>R</v>
      </c>
      <c r="BB2" s="8" t="s">
        <v>2815</v>
      </c>
    </row>
    <row r="3" spans="1:54" x14ac:dyDescent="0.25">
      <c r="A3" s="2">
        <v>2</v>
      </c>
      <c r="B3" s="2">
        <v>2</v>
      </c>
      <c r="C3" s="2" t="s">
        <v>11</v>
      </c>
      <c r="D3" s="2" t="s">
        <v>1663</v>
      </c>
      <c r="E3" s="2" t="s">
        <v>12</v>
      </c>
      <c r="F3" s="4">
        <v>45295</v>
      </c>
      <c r="G3" s="8" t="s">
        <v>13</v>
      </c>
      <c r="H3" s="8" t="s">
        <v>1254</v>
      </c>
      <c r="I3" s="2" t="s">
        <v>14</v>
      </c>
      <c r="J3" s="2" t="s">
        <v>15</v>
      </c>
      <c r="K3" s="2" t="s">
        <v>791</v>
      </c>
      <c r="L3" s="2" t="s">
        <v>1257</v>
      </c>
      <c r="M3" s="2" t="s">
        <v>1261</v>
      </c>
      <c r="N3" s="2" t="s">
        <v>2017</v>
      </c>
      <c r="O3" s="4">
        <v>35292</v>
      </c>
      <c r="P3" s="2" t="s">
        <v>2394</v>
      </c>
      <c r="Q3" s="2" t="s">
        <v>2395</v>
      </c>
      <c r="R3" s="2" t="s">
        <v>2396</v>
      </c>
      <c r="S3" s="2" t="s">
        <v>792</v>
      </c>
      <c r="T3" s="2" t="s">
        <v>1289</v>
      </c>
      <c r="U3" s="2" t="s">
        <v>1268</v>
      </c>
      <c r="V3" s="2">
        <v>6064038841</v>
      </c>
      <c r="W3" s="2" t="s">
        <v>793</v>
      </c>
      <c r="X3" s="2" t="s">
        <v>794</v>
      </c>
      <c r="Y3" s="2" t="s">
        <v>1184</v>
      </c>
      <c r="Z3" s="2" t="s">
        <v>1185</v>
      </c>
      <c r="AA3" s="2">
        <v>3000</v>
      </c>
      <c r="AB3" s="2">
        <v>200</v>
      </c>
      <c r="AC3" s="2">
        <v>500</v>
      </c>
      <c r="AD3" s="2">
        <v>0</v>
      </c>
      <c r="AE3" s="2">
        <f t="shared" ref="AE3:AE66" si="0">SUM(AA3:AC3) -AD3</f>
        <v>3700</v>
      </c>
      <c r="AF3" s="2">
        <v>1000</v>
      </c>
      <c r="AG3" s="4">
        <v>45305</v>
      </c>
      <c r="AH3" s="2">
        <f t="shared" ref="AH3:AH66" si="1">AE3-AF3</f>
        <v>2700</v>
      </c>
      <c r="AI3" s="2"/>
      <c r="AJ3" s="4">
        <v>45336</v>
      </c>
      <c r="AK3" s="2">
        <f t="shared" ref="AK3:AK66" si="2">AH3-AI3</f>
        <v>2700</v>
      </c>
      <c r="AL3" s="2"/>
      <c r="AM3" s="4">
        <v>45365</v>
      </c>
      <c r="AN3" s="2">
        <f t="shared" ref="AN3:AN66" si="3">AK3-AL3</f>
        <v>2700</v>
      </c>
      <c r="AO3" s="2"/>
      <c r="AP3" s="4">
        <v>45396</v>
      </c>
      <c r="AQ3" s="2">
        <f t="shared" ref="AQ3:AQ66" si="4">AN3-AO3</f>
        <v>2700</v>
      </c>
      <c r="AR3" s="2"/>
      <c r="AS3" s="4">
        <v>45426</v>
      </c>
      <c r="AT3" s="2">
        <f t="shared" ref="AT3:AT66" si="5">IFERROR(AQ3-AR3,"")</f>
        <v>2700</v>
      </c>
      <c r="AU3" s="2"/>
      <c r="AV3" s="4">
        <v>45457</v>
      </c>
      <c r="AW3" s="2">
        <v>0</v>
      </c>
      <c r="AX3" s="2">
        <f t="shared" ref="AX3:AX66" si="6">SUM(AF3,AI3,AL3,AO3,AR3,AU3)</f>
        <v>1000</v>
      </c>
      <c r="AY3" s="2">
        <f t="shared" ref="AY3:AY66" si="7">AE3-AX3</f>
        <v>2700</v>
      </c>
      <c r="AZ3" s="2" t="str">
        <f t="shared" ref="AZ3:AZ66" si="8">IF(AY3=0,"Paid","Unpaid")</f>
        <v>Unpaid</v>
      </c>
      <c r="BA3" s="9" t="str" cm="1">
        <f t="array" ref="BA3">_xlfn.IFS(AZ3="Paid","R",AZ3="Unpaid","Q")</f>
        <v>Q</v>
      </c>
      <c r="BB3" s="8" t="s">
        <v>2816</v>
      </c>
    </row>
    <row r="4" spans="1:54" x14ac:dyDescent="0.25">
      <c r="A4" s="2">
        <v>3</v>
      </c>
      <c r="B4" s="2">
        <v>3</v>
      </c>
      <c r="C4" s="2" t="s">
        <v>16</v>
      </c>
      <c r="D4" s="2" t="s">
        <v>1664</v>
      </c>
      <c r="E4" s="2" t="s">
        <v>17</v>
      </c>
      <c r="F4" s="4">
        <v>45295</v>
      </c>
      <c r="G4" s="8" t="s">
        <v>18</v>
      </c>
      <c r="H4" s="8" t="s">
        <v>1253</v>
      </c>
      <c r="I4" s="2" t="s">
        <v>9</v>
      </c>
      <c r="J4" s="2" t="s">
        <v>15</v>
      </c>
      <c r="K4" s="2" t="s">
        <v>795</v>
      </c>
      <c r="L4" s="2" t="s">
        <v>1258</v>
      </c>
      <c r="M4" s="2" t="s">
        <v>1264</v>
      </c>
      <c r="N4" s="2" t="s">
        <v>2018</v>
      </c>
      <c r="O4" s="4">
        <v>35606</v>
      </c>
      <c r="P4" s="2" t="s">
        <v>2397</v>
      </c>
      <c r="Q4" s="2" t="s">
        <v>2398</v>
      </c>
      <c r="R4" s="2" t="s">
        <v>2393</v>
      </c>
      <c r="S4" s="2" t="s">
        <v>796</v>
      </c>
      <c r="T4" s="2" t="s">
        <v>1290</v>
      </c>
      <c r="U4" s="2" t="s">
        <v>1268</v>
      </c>
      <c r="V4" s="2">
        <v>6237246976</v>
      </c>
      <c r="W4" s="2" t="s">
        <v>797</v>
      </c>
      <c r="X4" s="2" t="s">
        <v>798</v>
      </c>
      <c r="Y4" s="2" t="s">
        <v>1184</v>
      </c>
      <c r="Z4" s="2" t="s">
        <v>1185</v>
      </c>
      <c r="AA4" s="2">
        <v>7000</v>
      </c>
      <c r="AB4" s="2">
        <v>200</v>
      </c>
      <c r="AC4" s="2">
        <v>800</v>
      </c>
      <c r="AD4" s="2">
        <v>500</v>
      </c>
      <c r="AE4" s="2">
        <f t="shared" si="0"/>
        <v>7500</v>
      </c>
      <c r="AF4" s="2">
        <v>2500</v>
      </c>
      <c r="AG4" s="4">
        <v>45305</v>
      </c>
      <c r="AH4" s="2">
        <f t="shared" si="1"/>
        <v>5000</v>
      </c>
      <c r="AI4" s="2">
        <v>3000</v>
      </c>
      <c r="AJ4" s="4">
        <v>45336</v>
      </c>
      <c r="AK4" s="2">
        <f t="shared" si="2"/>
        <v>2000</v>
      </c>
      <c r="AL4" s="2">
        <v>1000</v>
      </c>
      <c r="AM4" s="4">
        <v>45365</v>
      </c>
      <c r="AN4" s="2">
        <f t="shared" si="3"/>
        <v>1000</v>
      </c>
      <c r="AO4" s="2" cm="1">
        <f t="array" ref="AO4">_xlfn.IFS(AN4&gt;=5000,3000,AN4&gt;=2000,1000,AN4&gt;=500,500,AN4&lt;500,AN4)</f>
        <v>500</v>
      </c>
      <c r="AP4" s="4">
        <v>45396</v>
      </c>
      <c r="AQ4" s="2">
        <f t="shared" si="4"/>
        <v>500</v>
      </c>
      <c r="AR4" s="2">
        <v>500</v>
      </c>
      <c r="AS4" s="4">
        <v>45426</v>
      </c>
      <c r="AT4" s="2">
        <f t="shared" si="5"/>
        <v>0</v>
      </c>
      <c r="AU4" s="2" t="s">
        <v>1200</v>
      </c>
      <c r="AV4" s="4" t="s">
        <v>1200</v>
      </c>
      <c r="AW4" s="2" t="s">
        <v>1200</v>
      </c>
      <c r="AX4" s="2">
        <f t="shared" si="6"/>
        <v>7500</v>
      </c>
      <c r="AY4" s="2">
        <f t="shared" si="7"/>
        <v>0</v>
      </c>
      <c r="AZ4" s="2" t="str">
        <f t="shared" si="8"/>
        <v>Paid</v>
      </c>
      <c r="BA4" s="9" t="str" cm="1">
        <f t="array" ref="BA4">_xlfn.IFS(AZ4="Paid","R",AZ4="Unpaid","Q")</f>
        <v>R</v>
      </c>
      <c r="BB4" s="8" t="s">
        <v>2815</v>
      </c>
    </row>
    <row r="5" spans="1:54" x14ac:dyDescent="0.25">
      <c r="A5" s="2">
        <v>4</v>
      </c>
      <c r="B5" s="2">
        <v>4</v>
      </c>
      <c r="C5" s="2" t="s">
        <v>19</v>
      </c>
      <c r="D5" s="2" t="s">
        <v>1665</v>
      </c>
      <c r="E5" s="2" t="s">
        <v>20</v>
      </c>
      <c r="F5" s="4">
        <v>45296</v>
      </c>
      <c r="G5" s="8" t="s">
        <v>21</v>
      </c>
      <c r="H5" s="8" t="s">
        <v>1252</v>
      </c>
      <c r="I5" s="2" t="s">
        <v>14</v>
      </c>
      <c r="J5" s="2" t="s">
        <v>15</v>
      </c>
      <c r="K5" s="2" t="s">
        <v>791</v>
      </c>
      <c r="L5" s="2" t="s">
        <v>1256</v>
      </c>
      <c r="M5" s="2" t="s">
        <v>1263</v>
      </c>
      <c r="N5" s="2" t="s">
        <v>2019</v>
      </c>
      <c r="O5" s="4">
        <v>39001</v>
      </c>
      <c r="P5" s="2" t="s">
        <v>2399</v>
      </c>
      <c r="Q5" s="2" t="s">
        <v>2398</v>
      </c>
      <c r="R5" s="2" t="s">
        <v>2393</v>
      </c>
      <c r="S5" s="2" t="s">
        <v>788</v>
      </c>
      <c r="T5" s="2" t="s">
        <v>1291</v>
      </c>
      <c r="U5" s="2" t="s">
        <v>1269</v>
      </c>
      <c r="V5" s="2">
        <v>9383478028</v>
      </c>
      <c r="W5" s="2" t="s">
        <v>799</v>
      </c>
      <c r="X5" s="2" t="s">
        <v>1183</v>
      </c>
      <c r="Y5" s="2" t="s">
        <v>1184</v>
      </c>
      <c r="Z5" s="2" t="s">
        <v>1185</v>
      </c>
      <c r="AA5" s="2">
        <v>3000</v>
      </c>
      <c r="AB5" s="2">
        <v>200</v>
      </c>
      <c r="AC5" s="2">
        <v>300</v>
      </c>
      <c r="AD5" s="2">
        <v>300</v>
      </c>
      <c r="AE5" s="2">
        <f t="shared" si="0"/>
        <v>3200</v>
      </c>
      <c r="AF5" s="2">
        <v>1000</v>
      </c>
      <c r="AG5" s="4">
        <v>45306</v>
      </c>
      <c r="AH5" s="2">
        <f t="shared" si="1"/>
        <v>2200</v>
      </c>
      <c r="AI5" s="2">
        <v>1000</v>
      </c>
      <c r="AJ5" s="4">
        <v>45337</v>
      </c>
      <c r="AK5" s="2">
        <f t="shared" si="2"/>
        <v>1200</v>
      </c>
      <c r="AL5" s="2">
        <v>500</v>
      </c>
      <c r="AM5" s="4">
        <v>45366</v>
      </c>
      <c r="AN5" s="2">
        <f t="shared" si="3"/>
        <v>700</v>
      </c>
      <c r="AO5" s="2" cm="1">
        <f t="array" ref="AO5">_xlfn.IFS(AN5&gt;=5000,3000,AN5&gt;=2000,1000,AN5&gt;=500,500,AN5&lt;500,AN5)</f>
        <v>500</v>
      </c>
      <c r="AP5" s="4">
        <v>45397</v>
      </c>
      <c r="AQ5" s="2">
        <f t="shared" si="4"/>
        <v>200</v>
      </c>
      <c r="AR5" s="2">
        <v>200</v>
      </c>
      <c r="AS5" s="4">
        <v>45427</v>
      </c>
      <c r="AT5" s="2">
        <f t="shared" si="5"/>
        <v>0</v>
      </c>
      <c r="AU5" s="2" t="s">
        <v>1200</v>
      </c>
      <c r="AV5" s="4" t="s">
        <v>1200</v>
      </c>
      <c r="AW5" s="2" t="s">
        <v>1200</v>
      </c>
      <c r="AX5" s="2">
        <f t="shared" si="6"/>
        <v>3200</v>
      </c>
      <c r="AY5" s="2">
        <f t="shared" si="7"/>
        <v>0</v>
      </c>
      <c r="AZ5" s="2" t="str">
        <f t="shared" si="8"/>
        <v>Paid</v>
      </c>
      <c r="BA5" s="9" t="str" cm="1">
        <f t="array" ref="BA5">_xlfn.IFS(AZ5="Paid","R",AZ5="Unpaid","Q")</f>
        <v>R</v>
      </c>
      <c r="BB5" s="8" t="s">
        <v>2815</v>
      </c>
    </row>
    <row r="6" spans="1:54" x14ac:dyDescent="0.25">
      <c r="A6" s="2">
        <v>5</v>
      </c>
      <c r="B6" s="2">
        <v>5</v>
      </c>
      <c r="C6" s="2" t="s">
        <v>22</v>
      </c>
      <c r="D6" s="2" t="s">
        <v>1666</v>
      </c>
      <c r="E6" s="2" t="s">
        <v>23</v>
      </c>
      <c r="F6" s="4">
        <v>45297</v>
      </c>
      <c r="G6" s="8" t="s">
        <v>18</v>
      </c>
      <c r="H6" s="8" t="s">
        <v>1253</v>
      </c>
      <c r="I6" s="2" t="s">
        <v>9</v>
      </c>
      <c r="J6" s="2" t="s">
        <v>15</v>
      </c>
      <c r="K6" s="2" t="s">
        <v>795</v>
      </c>
      <c r="L6" s="2" t="s">
        <v>1259</v>
      </c>
      <c r="M6" s="2" t="s">
        <v>1262</v>
      </c>
      <c r="N6" s="2" t="s">
        <v>2020</v>
      </c>
      <c r="O6" s="4">
        <v>36826</v>
      </c>
      <c r="P6" s="2" t="s">
        <v>2400</v>
      </c>
      <c r="Q6" s="2" t="s">
        <v>2401</v>
      </c>
      <c r="R6" s="2" t="s">
        <v>2393</v>
      </c>
      <c r="S6" s="2" t="s">
        <v>788</v>
      </c>
      <c r="T6" s="2" t="s">
        <v>1292</v>
      </c>
      <c r="U6" s="2" t="s">
        <v>1270</v>
      </c>
      <c r="V6" s="2">
        <v>7528455706</v>
      </c>
      <c r="W6" s="2" t="s">
        <v>800</v>
      </c>
      <c r="X6" s="2" t="s">
        <v>801</v>
      </c>
      <c r="Y6" s="2" t="s">
        <v>1184</v>
      </c>
      <c r="Z6" s="2" t="s">
        <v>1185</v>
      </c>
      <c r="AA6" s="2">
        <v>7000</v>
      </c>
      <c r="AB6" s="2">
        <v>200</v>
      </c>
      <c r="AC6" s="2">
        <v>800</v>
      </c>
      <c r="AD6" s="2">
        <v>0</v>
      </c>
      <c r="AE6" s="2">
        <f t="shared" si="0"/>
        <v>8000</v>
      </c>
      <c r="AF6" s="2">
        <v>2500</v>
      </c>
      <c r="AG6" s="4">
        <v>45307</v>
      </c>
      <c r="AH6" s="2">
        <f t="shared" si="1"/>
        <v>5500</v>
      </c>
      <c r="AI6" s="2">
        <v>3000</v>
      </c>
      <c r="AJ6" s="4">
        <v>45338</v>
      </c>
      <c r="AK6" s="2">
        <f t="shared" si="2"/>
        <v>2500</v>
      </c>
      <c r="AL6" s="2">
        <v>1000</v>
      </c>
      <c r="AM6" s="4">
        <v>45367</v>
      </c>
      <c r="AN6" s="2">
        <f t="shared" si="3"/>
        <v>1500</v>
      </c>
      <c r="AO6" s="2" cm="1">
        <f t="array" ref="AO6">_xlfn.IFS(AN6&gt;=5000,3000,AN6&gt;=2000,1000,AN6&gt;=500,500,AN6&lt;500,AN6)</f>
        <v>500</v>
      </c>
      <c r="AP6" s="4">
        <v>45398</v>
      </c>
      <c r="AQ6" s="2">
        <f t="shared" si="4"/>
        <v>1000</v>
      </c>
      <c r="AR6" s="2">
        <v>1000</v>
      </c>
      <c r="AS6" s="4">
        <v>45428</v>
      </c>
      <c r="AT6" s="2">
        <f t="shared" si="5"/>
        <v>0</v>
      </c>
      <c r="AU6" s="2" t="s">
        <v>1200</v>
      </c>
      <c r="AV6" s="4" t="s">
        <v>1200</v>
      </c>
      <c r="AW6" s="2" t="s">
        <v>1200</v>
      </c>
      <c r="AX6" s="2">
        <f t="shared" si="6"/>
        <v>8000</v>
      </c>
      <c r="AY6" s="2">
        <f t="shared" si="7"/>
        <v>0</v>
      </c>
      <c r="AZ6" s="2" t="str">
        <f t="shared" si="8"/>
        <v>Paid</v>
      </c>
      <c r="BA6" s="9" t="str" cm="1">
        <f t="array" ref="BA6">_xlfn.IFS(AZ6="Paid","R",AZ6="Unpaid","Q")</f>
        <v>R</v>
      </c>
      <c r="BB6" s="8" t="s">
        <v>2815</v>
      </c>
    </row>
    <row r="7" spans="1:54" x14ac:dyDescent="0.25">
      <c r="A7" s="2">
        <v>6</v>
      </c>
      <c r="B7" s="2">
        <v>6</v>
      </c>
      <c r="C7" s="2" t="s">
        <v>24</v>
      </c>
      <c r="D7" s="2" t="s">
        <v>1667</v>
      </c>
      <c r="E7" s="2" t="s">
        <v>25</v>
      </c>
      <c r="F7" s="4">
        <v>45297</v>
      </c>
      <c r="G7" s="8" t="s">
        <v>26</v>
      </c>
      <c r="H7" s="8" t="s">
        <v>1243</v>
      </c>
      <c r="I7" s="2" t="s">
        <v>9</v>
      </c>
      <c r="J7" s="2" t="s">
        <v>10</v>
      </c>
      <c r="K7" s="2" t="s">
        <v>787</v>
      </c>
      <c r="L7" s="2" t="s">
        <v>1258</v>
      </c>
      <c r="M7" s="2" t="s">
        <v>1264</v>
      </c>
      <c r="N7" s="2" t="s">
        <v>2021</v>
      </c>
      <c r="O7" s="4">
        <v>36974</v>
      </c>
      <c r="P7" s="2" t="s">
        <v>2402</v>
      </c>
      <c r="Q7" s="2" t="s">
        <v>2403</v>
      </c>
      <c r="R7" s="2" t="s">
        <v>2393</v>
      </c>
      <c r="S7" s="2" t="s">
        <v>796</v>
      </c>
      <c r="T7" s="2" t="s">
        <v>1293</v>
      </c>
      <c r="U7" s="2" t="s">
        <v>1271</v>
      </c>
      <c r="V7" s="2">
        <v>6492525061</v>
      </c>
      <c r="W7" s="2" t="s">
        <v>802</v>
      </c>
      <c r="X7" s="2" t="s">
        <v>798</v>
      </c>
      <c r="Y7" s="2" t="s">
        <v>1184</v>
      </c>
      <c r="Z7" s="2" t="s">
        <v>1185</v>
      </c>
      <c r="AA7" s="2">
        <v>15000</v>
      </c>
      <c r="AB7" s="2">
        <v>200</v>
      </c>
      <c r="AC7" s="2">
        <v>1200</v>
      </c>
      <c r="AD7" s="2">
        <v>500</v>
      </c>
      <c r="AE7" s="2">
        <f t="shared" si="0"/>
        <v>15900</v>
      </c>
      <c r="AF7" s="2">
        <v>5000</v>
      </c>
      <c r="AG7" s="4">
        <v>45307</v>
      </c>
      <c r="AH7" s="2">
        <f t="shared" si="1"/>
        <v>10900</v>
      </c>
      <c r="AI7" s="2">
        <v>3000</v>
      </c>
      <c r="AJ7" s="4">
        <v>45338</v>
      </c>
      <c r="AK7" s="2">
        <f t="shared" si="2"/>
        <v>7900</v>
      </c>
      <c r="AL7" s="2">
        <v>3000</v>
      </c>
      <c r="AM7" s="4">
        <v>45367</v>
      </c>
      <c r="AN7" s="2">
        <f t="shared" si="3"/>
        <v>4900</v>
      </c>
      <c r="AO7" s="2" cm="1">
        <f t="array" ref="AO7">_xlfn.IFS(AN7&gt;=5000,3000,AN7&gt;=2000,1000,AN7&gt;=500,500,AN7&lt;500,AN7)</f>
        <v>1000</v>
      </c>
      <c r="AP7" s="4">
        <v>45398</v>
      </c>
      <c r="AQ7" s="2">
        <f t="shared" si="4"/>
        <v>3900</v>
      </c>
      <c r="AR7" s="2">
        <v>2000</v>
      </c>
      <c r="AS7" s="4">
        <v>45428</v>
      </c>
      <c r="AT7" s="2">
        <f t="shared" si="5"/>
        <v>1900</v>
      </c>
      <c r="AU7" s="2">
        <v>1900</v>
      </c>
      <c r="AV7" s="4">
        <v>45459</v>
      </c>
      <c r="AW7" s="2">
        <v>0</v>
      </c>
      <c r="AX7" s="2">
        <f t="shared" si="6"/>
        <v>15900</v>
      </c>
      <c r="AY7" s="2">
        <f t="shared" si="7"/>
        <v>0</v>
      </c>
      <c r="AZ7" s="2" t="str">
        <f t="shared" si="8"/>
        <v>Paid</v>
      </c>
      <c r="BA7" s="9" t="str" cm="1">
        <f t="array" ref="BA7">_xlfn.IFS(AZ7="Paid","R",AZ7="Unpaid","Q")</f>
        <v>R</v>
      </c>
      <c r="BB7" s="8" t="s">
        <v>2815</v>
      </c>
    </row>
    <row r="8" spans="1:54" x14ac:dyDescent="0.25">
      <c r="A8" s="2">
        <v>7</v>
      </c>
      <c r="B8" s="2">
        <v>7</v>
      </c>
      <c r="C8" s="2" t="s">
        <v>27</v>
      </c>
      <c r="D8" s="2" t="s">
        <v>1668</v>
      </c>
      <c r="E8" s="2" t="s">
        <v>28</v>
      </c>
      <c r="F8" s="4">
        <v>45298</v>
      </c>
      <c r="G8" s="8" t="s">
        <v>29</v>
      </c>
      <c r="H8" s="8" t="s">
        <v>1248</v>
      </c>
      <c r="I8" s="2" t="s">
        <v>14</v>
      </c>
      <c r="J8" s="2" t="s">
        <v>15</v>
      </c>
      <c r="K8" s="2" t="s">
        <v>791</v>
      </c>
      <c r="L8" s="2" t="s">
        <v>1256</v>
      </c>
      <c r="M8" s="2" t="s">
        <v>1263</v>
      </c>
      <c r="N8" s="2" t="s">
        <v>2022</v>
      </c>
      <c r="O8" s="4">
        <v>33986</v>
      </c>
      <c r="P8" s="2" t="s">
        <v>2404</v>
      </c>
      <c r="Q8" s="2" t="s">
        <v>2405</v>
      </c>
      <c r="R8" s="2" t="s">
        <v>2393</v>
      </c>
      <c r="S8" s="2" t="s">
        <v>788</v>
      </c>
      <c r="T8" s="2" t="s">
        <v>1294</v>
      </c>
      <c r="U8" s="2" t="s">
        <v>1268</v>
      </c>
      <c r="V8" s="2">
        <v>9629603968</v>
      </c>
      <c r="W8" s="2" t="s">
        <v>803</v>
      </c>
      <c r="X8" s="2" t="s">
        <v>1183</v>
      </c>
      <c r="Y8" s="2" t="s">
        <v>1184</v>
      </c>
      <c r="Z8" s="2" t="s">
        <v>1185</v>
      </c>
      <c r="AA8" s="2">
        <v>2500</v>
      </c>
      <c r="AB8" s="2">
        <v>200</v>
      </c>
      <c r="AC8" s="2">
        <v>400</v>
      </c>
      <c r="AD8" s="2">
        <v>300</v>
      </c>
      <c r="AE8" s="2">
        <f t="shared" si="0"/>
        <v>2800</v>
      </c>
      <c r="AF8" s="2">
        <v>1000</v>
      </c>
      <c r="AG8" s="4">
        <v>45308</v>
      </c>
      <c r="AH8" s="2">
        <f t="shared" si="1"/>
        <v>1800</v>
      </c>
      <c r="AI8" s="2">
        <v>500</v>
      </c>
      <c r="AJ8" s="4">
        <v>45339</v>
      </c>
      <c r="AK8" s="2">
        <f t="shared" si="2"/>
        <v>1300</v>
      </c>
      <c r="AL8" s="2">
        <v>500</v>
      </c>
      <c r="AM8" s="4">
        <v>45368</v>
      </c>
      <c r="AN8" s="2">
        <f t="shared" si="3"/>
        <v>800</v>
      </c>
      <c r="AO8" s="2" cm="1">
        <f t="array" ref="AO8">_xlfn.IFS(AN8&gt;=5000,3000,AN8&gt;=2000,1000,AN8&gt;=500,500,AN8&lt;500,AN8)</f>
        <v>500</v>
      </c>
      <c r="AP8" s="4">
        <v>45399</v>
      </c>
      <c r="AQ8" s="2">
        <f t="shared" si="4"/>
        <v>300</v>
      </c>
      <c r="AR8" s="2">
        <v>300</v>
      </c>
      <c r="AS8" s="4">
        <v>45429</v>
      </c>
      <c r="AT8" s="2">
        <f t="shared" si="5"/>
        <v>0</v>
      </c>
      <c r="AU8" s="2" t="s">
        <v>1200</v>
      </c>
      <c r="AV8" s="4" t="s">
        <v>1200</v>
      </c>
      <c r="AW8" s="2" t="s">
        <v>1200</v>
      </c>
      <c r="AX8" s="2">
        <f t="shared" si="6"/>
        <v>2800</v>
      </c>
      <c r="AY8" s="2">
        <f t="shared" si="7"/>
        <v>0</v>
      </c>
      <c r="AZ8" s="2" t="str">
        <f t="shared" si="8"/>
        <v>Paid</v>
      </c>
      <c r="BA8" s="9" t="str" cm="1">
        <f t="array" ref="BA8">_xlfn.IFS(AZ8="Paid","R",AZ8="Unpaid","Q")</f>
        <v>R</v>
      </c>
      <c r="BB8" s="8" t="s">
        <v>2815</v>
      </c>
    </row>
    <row r="9" spans="1:54" x14ac:dyDescent="0.25">
      <c r="A9" s="2">
        <v>8</v>
      </c>
      <c r="B9" s="2">
        <v>8</v>
      </c>
      <c r="C9" s="2" t="s">
        <v>30</v>
      </c>
      <c r="D9" s="2" t="s">
        <v>1669</v>
      </c>
      <c r="E9" s="2" t="s">
        <v>31</v>
      </c>
      <c r="F9" s="4">
        <v>45299</v>
      </c>
      <c r="G9" s="8" t="s">
        <v>32</v>
      </c>
      <c r="H9" s="8" t="s">
        <v>1249</v>
      </c>
      <c r="I9" s="2" t="s">
        <v>14</v>
      </c>
      <c r="J9" s="2" t="s">
        <v>15</v>
      </c>
      <c r="K9" s="2" t="s">
        <v>791</v>
      </c>
      <c r="L9" s="2" t="s">
        <v>1260</v>
      </c>
      <c r="M9" s="2" t="s">
        <v>1261</v>
      </c>
      <c r="N9" s="2" t="s">
        <v>2023</v>
      </c>
      <c r="O9" s="4">
        <v>37614</v>
      </c>
      <c r="P9" s="2" t="s">
        <v>2406</v>
      </c>
      <c r="Q9" s="2" t="s">
        <v>2407</v>
      </c>
      <c r="R9" s="2" t="s">
        <v>2393</v>
      </c>
      <c r="S9" s="2" t="s">
        <v>788</v>
      </c>
      <c r="T9" s="2" t="s">
        <v>1295</v>
      </c>
      <c r="U9" s="2" t="s">
        <v>1268</v>
      </c>
      <c r="V9" s="2">
        <v>6201931172</v>
      </c>
      <c r="W9" s="2" t="s">
        <v>804</v>
      </c>
      <c r="X9" s="2" t="s">
        <v>1183</v>
      </c>
      <c r="Y9" s="2" t="s">
        <v>1184</v>
      </c>
      <c r="Z9" s="2" t="s">
        <v>1185</v>
      </c>
      <c r="AA9" s="2">
        <v>2000</v>
      </c>
      <c r="AB9" s="2">
        <v>200</v>
      </c>
      <c r="AC9" s="2">
        <v>300</v>
      </c>
      <c r="AD9" s="2">
        <v>300</v>
      </c>
      <c r="AE9" s="2">
        <f t="shared" si="0"/>
        <v>2200</v>
      </c>
      <c r="AF9" s="2">
        <v>500</v>
      </c>
      <c r="AG9" s="4">
        <v>45309</v>
      </c>
      <c r="AH9" s="2">
        <f t="shared" si="1"/>
        <v>1700</v>
      </c>
      <c r="AI9" s="2">
        <v>500</v>
      </c>
      <c r="AJ9" s="4">
        <v>45340</v>
      </c>
      <c r="AK9" s="2">
        <f t="shared" si="2"/>
        <v>1200</v>
      </c>
      <c r="AL9" s="2">
        <v>500</v>
      </c>
      <c r="AM9" s="4">
        <v>45369</v>
      </c>
      <c r="AN9" s="2">
        <f t="shared" si="3"/>
        <v>700</v>
      </c>
      <c r="AO9" s="2" cm="1">
        <f t="array" ref="AO9">_xlfn.IFS(AN9&gt;=5000,3000,AN9&gt;=2000,1000,AN9&gt;=500,500,AN9&lt;500,AN9)</f>
        <v>500</v>
      </c>
      <c r="AP9" s="4">
        <v>45400</v>
      </c>
      <c r="AQ9" s="2">
        <f t="shared" si="4"/>
        <v>200</v>
      </c>
      <c r="AR9" s="2">
        <v>200</v>
      </c>
      <c r="AS9" s="4">
        <v>45430</v>
      </c>
      <c r="AT9" s="2">
        <f t="shared" si="5"/>
        <v>0</v>
      </c>
      <c r="AU9" s="2" t="s">
        <v>1200</v>
      </c>
      <c r="AV9" s="4" t="s">
        <v>1200</v>
      </c>
      <c r="AW9" s="2" t="s">
        <v>1200</v>
      </c>
      <c r="AX9" s="2">
        <f t="shared" si="6"/>
        <v>2200</v>
      </c>
      <c r="AY9" s="2">
        <f t="shared" si="7"/>
        <v>0</v>
      </c>
      <c r="AZ9" s="2" t="str">
        <f t="shared" si="8"/>
        <v>Paid</v>
      </c>
      <c r="BA9" s="9" t="str" cm="1">
        <f t="array" ref="BA9">_xlfn.IFS(AZ9="Paid","R",AZ9="Unpaid","Q")</f>
        <v>R</v>
      </c>
      <c r="BB9" s="8" t="s">
        <v>2815</v>
      </c>
    </row>
    <row r="10" spans="1:54" x14ac:dyDescent="0.25">
      <c r="A10" s="2">
        <v>9</v>
      </c>
      <c r="B10" s="2">
        <v>9</v>
      </c>
      <c r="C10" s="2" t="s">
        <v>33</v>
      </c>
      <c r="D10" s="2" t="s">
        <v>1670</v>
      </c>
      <c r="E10" s="2" t="s">
        <v>34</v>
      </c>
      <c r="F10" s="4">
        <v>45301</v>
      </c>
      <c r="G10" s="8" t="s">
        <v>35</v>
      </c>
      <c r="H10" s="8" t="s">
        <v>1244</v>
      </c>
      <c r="I10" s="2" t="s">
        <v>14</v>
      </c>
      <c r="J10" s="2" t="s">
        <v>15</v>
      </c>
      <c r="K10" s="2" t="s">
        <v>791</v>
      </c>
      <c r="L10" s="2" t="s">
        <v>1257</v>
      </c>
      <c r="M10" s="2" t="s">
        <v>1261</v>
      </c>
      <c r="N10" s="2" t="s">
        <v>2024</v>
      </c>
      <c r="O10" s="4">
        <v>40445</v>
      </c>
      <c r="P10" s="2" t="s">
        <v>2408</v>
      </c>
      <c r="Q10" s="2" t="s">
        <v>2409</v>
      </c>
      <c r="R10" s="2" t="s">
        <v>2393</v>
      </c>
      <c r="S10" s="2" t="s">
        <v>788</v>
      </c>
      <c r="T10" s="2" t="s">
        <v>1296</v>
      </c>
      <c r="U10" s="2" t="s">
        <v>1272</v>
      </c>
      <c r="V10" s="2">
        <v>7156364258</v>
      </c>
      <c r="W10" s="2" t="s">
        <v>805</v>
      </c>
      <c r="X10" s="2" t="s">
        <v>1183</v>
      </c>
      <c r="Y10" s="2" t="s">
        <v>1184</v>
      </c>
      <c r="Z10" s="2" t="s">
        <v>1185</v>
      </c>
      <c r="AA10" s="2">
        <v>3000</v>
      </c>
      <c r="AB10" s="2">
        <v>200</v>
      </c>
      <c r="AC10" s="2">
        <v>500</v>
      </c>
      <c r="AD10" s="2">
        <v>0</v>
      </c>
      <c r="AE10" s="2">
        <f t="shared" si="0"/>
        <v>3700</v>
      </c>
      <c r="AF10" s="2">
        <v>1000</v>
      </c>
      <c r="AG10" s="4">
        <v>45311</v>
      </c>
      <c r="AH10" s="2">
        <f t="shared" si="1"/>
        <v>2700</v>
      </c>
      <c r="AI10" s="2">
        <v>1000</v>
      </c>
      <c r="AJ10" s="4">
        <v>45342</v>
      </c>
      <c r="AK10" s="2">
        <f t="shared" si="2"/>
        <v>1700</v>
      </c>
      <c r="AL10" s="2">
        <v>500</v>
      </c>
      <c r="AM10" s="4">
        <v>45371</v>
      </c>
      <c r="AN10" s="2">
        <f t="shared" si="3"/>
        <v>1200</v>
      </c>
      <c r="AO10" s="2" cm="1">
        <f t="array" ref="AO10">_xlfn.IFS(AN10&gt;=5000,3000,AN10&gt;=2000,1000,AN10&gt;=500,500,AN10&lt;500,AN10)</f>
        <v>500</v>
      </c>
      <c r="AP10" s="4">
        <v>45402</v>
      </c>
      <c r="AQ10" s="2">
        <f t="shared" si="4"/>
        <v>700</v>
      </c>
      <c r="AR10" s="2">
        <v>500</v>
      </c>
      <c r="AS10" s="4">
        <v>45432</v>
      </c>
      <c r="AT10" s="2">
        <f t="shared" si="5"/>
        <v>200</v>
      </c>
      <c r="AU10" s="2">
        <v>200</v>
      </c>
      <c r="AV10" s="4">
        <v>45463</v>
      </c>
      <c r="AW10" s="2">
        <v>0</v>
      </c>
      <c r="AX10" s="2">
        <f t="shared" si="6"/>
        <v>3700</v>
      </c>
      <c r="AY10" s="2">
        <f t="shared" si="7"/>
        <v>0</v>
      </c>
      <c r="AZ10" s="2" t="str">
        <f t="shared" si="8"/>
        <v>Paid</v>
      </c>
      <c r="BA10" s="9" t="str" cm="1">
        <f t="array" ref="BA10">_xlfn.IFS(AZ10="Paid","R",AZ10="Unpaid","Q")</f>
        <v>R</v>
      </c>
      <c r="BB10" s="8" t="s">
        <v>2815</v>
      </c>
    </row>
    <row r="11" spans="1:54" x14ac:dyDescent="0.25">
      <c r="A11" s="2">
        <v>10</v>
      </c>
      <c r="B11" s="2">
        <v>10</v>
      </c>
      <c r="C11" s="2" t="s">
        <v>36</v>
      </c>
      <c r="D11" s="2" t="s">
        <v>1671</v>
      </c>
      <c r="E11" s="2" t="s">
        <v>37</v>
      </c>
      <c r="F11" s="4">
        <v>45302</v>
      </c>
      <c r="G11" s="8" t="s">
        <v>38</v>
      </c>
      <c r="H11" s="8" t="s">
        <v>1246</v>
      </c>
      <c r="I11" s="2" t="s">
        <v>9</v>
      </c>
      <c r="J11" s="2" t="s">
        <v>15</v>
      </c>
      <c r="K11" s="2" t="s">
        <v>795</v>
      </c>
      <c r="L11" s="2" t="s">
        <v>1258</v>
      </c>
      <c r="M11" s="2" t="s">
        <v>1264</v>
      </c>
      <c r="N11" s="2" t="s">
        <v>2025</v>
      </c>
      <c r="O11" s="4">
        <v>34398</v>
      </c>
      <c r="P11" s="2" t="s">
        <v>2410</v>
      </c>
      <c r="Q11" s="2" t="s">
        <v>2407</v>
      </c>
      <c r="R11" s="2" t="s">
        <v>2393</v>
      </c>
      <c r="S11" s="2" t="s">
        <v>788</v>
      </c>
      <c r="T11" s="2" t="s">
        <v>1297</v>
      </c>
      <c r="U11" s="2" t="s">
        <v>1273</v>
      </c>
      <c r="V11" s="2">
        <v>7509262670</v>
      </c>
      <c r="W11" s="2" t="s">
        <v>806</v>
      </c>
      <c r="X11" s="2" t="s">
        <v>807</v>
      </c>
      <c r="Y11" s="2" t="s">
        <v>1184</v>
      </c>
      <c r="Z11" s="2" t="s">
        <v>1185</v>
      </c>
      <c r="AA11" s="2">
        <v>6000</v>
      </c>
      <c r="AB11" s="2">
        <v>200</v>
      </c>
      <c r="AC11" s="2">
        <v>800</v>
      </c>
      <c r="AD11" s="2">
        <v>300</v>
      </c>
      <c r="AE11" s="2">
        <f t="shared" si="0"/>
        <v>6700</v>
      </c>
      <c r="AF11" s="2">
        <v>2500</v>
      </c>
      <c r="AG11" s="4">
        <v>45312</v>
      </c>
      <c r="AH11" s="2">
        <f t="shared" si="1"/>
        <v>4200</v>
      </c>
      <c r="AI11" s="2">
        <v>1000</v>
      </c>
      <c r="AJ11" s="4">
        <v>45343</v>
      </c>
      <c r="AK11" s="2">
        <f t="shared" si="2"/>
        <v>3200</v>
      </c>
      <c r="AL11" s="2">
        <v>1000</v>
      </c>
      <c r="AM11" s="4">
        <v>45372</v>
      </c>
      <c r="AN11" s="2">
        <f t="shared" si="3"/>
        <v>2200</v>
      </c>
      <c r="AO11" s="2" cm="1">
        <f t="array" ref="AO11">_xlfn.IFS(AN11&gt;=5000,3000,AN11&gt;=2000,1000,AN11&gt;=500,500,AN11&lt;500,AN11)</f>
        <v>1000</v>
      </c>
      <c r="AP11" s="4">
        <v>45403</v>
      </c>
      <c r="AQ11" s="2">
        <f t="shared" si="4"/>
        <v>1200</v>
      </c>
      <c r="AR11" s="2">
        <v>1000</v>
      </c>
      <c r="AS11" s="4">
        <v>45433</v>
      </c>
      <c r="AT11" s="2">
        <f t="shared" si="5"/>
        <v>200</v>
      </c>
      <c r="AU11" s="2">
        <v>200</v>
      </c>
      <c r="AV11" s="4">
        <v>45464</v>
      </c>
      <c r="AW11" s="2">
        <v>0</v>
      </c>
      <c r="AX11" s="2">
        <f t="shared" si="6"/>
        <v>6700</v>
      </c>
      <c r="AY11" s="2">
        <f t="shared" si="7"/>
        <v>0</v>
      </c>
      <c r="AZ11" s="2" t="str">
        <f t="shared" si="8"/>
        <v>Paid</v>
      </c>
      <c r="BA11" s="9" t="str" cm="1">
        <f t="array" ref="BA11">_xlfn.IFS(AZ11="Paid","R",AZ11="Unpaid","Q")</f>
        <v>R</v>
      </c>
      <c r="BB11" s="8" t="s">
        <v>2815</v>
      </c>
    </row>
    <row r="12" spans="1:54" x14ac:dyDescent="0.25">
      <c r="A12" s="2">
        <v>11</v>
      </c>
      <c r="B12" s="2">
        <v>11</v>
      </c>
      <c r="C12" s="2" t="s">
        <v>39</v>
      </c>
      <c r="D12" s="2" t="s">
        <v>1672</v>
      </c>
      <c r="E12" s="2" t="s">
        <v>40</v>
      </c>
      <c r="F12" s="4">
        <v>45302</v>
      </c>
      <c r="G12" s="8" t="s">
        <v>35</v>
      </c>
      <c r="H12" s="8" t="s">
        <v>1244</v>
      </c>
      <c r="I12" s="2" t="s">
        <v>14</v>
      </c>
      <c r="J12" s="2" t="s">
        <v>15</v>
      </c>
      <c r="K12" s="2" t="s">
        <v>791</v>
      </c>
      <c r="L12" s="2" t="s">
        <v>1260</v>
      </c>
      <c r="M12" s="2" t="s">
        <v>1261</v>
      </c>
      <c r="N12" s="2" t="s">
        <v>2026</v>
      </c>
      <c r="O12" s="4">
        <v>33249</v>
      </c>
      <c r="P12" s="2" t="s">
        <v>2411</v>
      </c>
      <c r="Q12" s="2" t="s">
        <v>2403</v>
      </c>
      <c r="R12" s="2" t="s">
        <v>2396</v>
      </c>
      <c r="S12" s="2" t="s">
        <v>788</v>
      </c>
      <c r="T12" s="2" t="s">
        <v>1298</v>
      </c>
      <c r="U12" s="2" t="s">
        <v>1274</v>
      </c>
      <c r="V12" s="2">
        <v>6169035173</v>
      </c>
      <c r="W12" s="2" t="s">
        <v>808</v>
      </c>
      <c r="X12" s="2" t="s">
        <v>809</v>
      </c>
      <c r="Y12" s="2" t="s">
        <v>1184</v>
      </c>
      <c r="Z12" s="2" t="s">
        <v>1185</v>
      </c>
      <c r="AA12" s="2">
        <v>3000</v>
      </c>
      <c r="AB12" s="2">
        <v>200</v>
      </c>
      <c r="AC12" s="2">
        <v>500</v>
      </c>
      <c r="AD12" s="2">
        <v>500</v>
      </c>
      <c r="AE12" s="2">
        <f t="shared" si="0"/>
        <v>3200</v>
      </c>
      <c r="AF12" s="2">
        <v>1000</v>
      </c>
      <c r="AG12" s="4">
        <v>45312</v>
      </c>
      <c r="AH12" s="2">
        <f t="shared" si="1"/>
        <v>2200</v>
      </c>
      <c r="AI12" s="2">
        <v>1000</v>
      </c>
      <c r="AJ12" s="4">
        <v>45343</v>
      </c>
      <c r="AK12" s="2">
        <f t="shared" si="2"/>
        <v>1200</v>
      </c>
      <c r="AL12" s="2">
        <v>500</v>
      </c>
      <c r="AM12" s="4">
        <v>45372</v>
      </c>
      <c r="AN12" s="2">
        <f t="shared" si="3"/>
        <v>700</v>
      </c>
      <c r="AO12" s="2" cm="1">
        <f t="array" ref="AO12">_xlfn.IFS(AN12&gt;=5000,3000,AN12&gt;=2000,1000,AN12&gt;=500,500,AN12&lt;500,AN12)</f>
        <v>500</v>
      </c>
      <c r="AP12" s="4">
        <v>45403</v>
      </c>
      <c r="AQ12" s="2">
        <f t="shared" si="4"/>
        <v>200</v>
      </c>
      <c r="AR12" s="2">
        <v>200</v>
      </c>
      <c r="AS12" s="4">
        <v>45433</v>
      </c>
      <c r="AT12" s="2">
        <f t="shared" si="5"/>
        <v>0</v>
      </c>
      <c r="AU12" s="2" t="s">
        <v>1200</v>
      </c>
      <c r="AV12" s="4" t="s">
        <v>1200</v>
      </c>
      <c r="AW12" s="2" t="s">
        <v>1200</v>
      </c>
      <c r="AX12" s="2">
        <f t="shared" si="6"/>
        <v>3200</v>
      </c>
      <c r="AY12" s="2">
        <f t="shared" si="7"/>
        <v>0</v>
      </c>
      <c r="AZ12" s="2" t="str">
        <f t="shared" si="8"/>
        <v>Paid</v>
      </c>
      <c r="BA12" s="9" t="str" cm="1">
        <f t="array" ref="BA12">_xlfn.IFS(AZ12="Paid","R",AZ12="Unpaid","Q")</f>
        <v>R</v>
      </c>
      <c r="BB12" s="8" t="s">
        <v>2815</v>
      </c>
    </row>
    <row r="13" spans="1:54" x14ac:dyDescent="0.25">
      <c r="A13" s="2">
        <v>12</v>
      </c>
      <c r="B13" s="2">
        <v>12</v>
      </c>
      <c r="C13" s="2" t="s">
        <v>41</v>
      </c>
      <c r="D13" s="2" t="s">
        <v>1673</v>
      </c>
      <c r="E13" s="2" t="s">
        <v>42</v>
      </c>
      <c r="F13" s="4">
        <v>45304</v>
      </c>
      <c r="G13" s="8" t="s">
        <v>32</v>
      </c>
      <c r="H13" s="8" t="s">
        <v>1249</v>
      </c>
      <c r="I13" s="2" t="s">
        <v>14</v>
      </c>
      <c r="J13" s="2" t="s">
        <v>15</v>
      </c>
      <c r="K13" s="2" t="s">
        <v>791</v>
      </c>
      <c r="L13" s="2" t="s">
        <v>1257</v>
      </c>
      <c r="M13" s="2" t="s">
        <v>1261</v>
      </c>
      <c r="N13" s="2" t="s">
        <v>2027</v>
      </c>
      <c r="O13" s="4">
        <v>40290</v>
      </c>
      <c r="P13" s="2" t="s">
        <v>2412</v>
      </c>
      <c r="Q13" s="2" t="s">
        <v>2409</v>
      </c>
      <c r="R13" s="2" t="s">
        <v>2393</v>
      </c>
      <c r="S13" s="2" t="s">
        <v>796</v>
      </c>
      <c r="T13" s="2" t="s">
        <v>1299</v>
      </c>
      <c r="U13" s="2" t="s">
        <v>1272</v>
      </c>
      <c r="V13" s="2">
        <v>9295613039</v>
      </c>
      <c r="W13" s="2" t="s">
        <v>810</v>
      </c>
      <c r="X13" s="2" t="s">
        <v>811</v>
      </c>
      <c r="Y13" s="2" t="s">
        <v>1184</v>
      </c>
      <c r="Z13" s="2" t="s">
        <v>1185</v>
      </c>
      <c r="AA13" s="2">
        <v>2000</v>
      </c>
      <c r="AB13" s="2">
        <v>200</v>
      </c>
      <c r="AC13" s="2">
        <v>300</v>
      </c>
      <c r="AD13" s="2">
        <v>0</v>
      </c>
      <c r="AE13" s="2">
        <f t="shared" si="0"/>
        <v>2500</v>
      </c>
      <c r="AF13" s="2">
        <v>1000</v>
      </c>
      <c r="AG13" s="4">
        <v>45314</v>
      </c>
      <c r="AH13" s="2">
        <f t="shared" si="1"/>
        <v>1500</v>
      </c>
      <c r="AI13" s="2">
        <v>500</v>
      </c>
      <c r="AJ13" s="4">
        <v>45345</v>
      </c>
      <c r="AK13" s="2">
        <f t="shared" si="2"/>
        <v>1000</v>
      </c>
      <c r="AL13" s="2">
        <v>500</v>
      </c>
      <c r="AM13" s="4">
        <v>45374</v>
      </c>
      <c r="AN13" s="2">
        <f t="shared" si="3"/>
        <v>500</v>
      </c>
      <c r="AO13" s="2" cm="1">
        <f t="array" ref="AO13">_xlfn.IFS(AN13&gt;=5000,3000,AN13&gt;=2000,1000,AN13&gt;=500,500,AN13&lt;500,AN13)</f>
        <v>500</v>
      </c>
      <c r="AP13" s="4">
        <v>45405</v>
      </c>
      <c r="AQ13" s="2">
        <f t="shared" si="4"/>
        <v>0</v>
      </c>
      <c r="AR13" s="2" t="s">
        <v>1200</v>
      </c>
      <c r="AS13" s="4" t="s">
        <v>1200</v>
      </c>
      <c r="AT13" s="2" t="str">
        <f t="shared" si="5"/>
        <v/>
      </c>
      <c r="AU13" s="2" t="s">
        <v>1200</v>
      </c>
      <c r="AV13" s="4" t="s">
        <v>1200</v>
      </c>
      <c r="AW13" s="2" t="s">
        <v>1200</v>
      </c>
      <c r="AX13" s="2">
        <f t="shared" si="6"/>
        <v>2500</v>
      </c>
      <c r="AY13" s="2">
        <f t="shared" si="7"/>
        <v>0</v>
      </c>
      <c r="AZ13" s="2" t="str">
        <f t="shared" si="8"/>
        <v>Paid</v>
      </c>
      <c r="BA13" s="9" t="str" cm="1">
        <f t="array" ref="BA13">_xlfn.IFS(AZ13="Paid","R",AZ13="Unpaid","Q")</f>
        <v>R</v>
      </c>
      <c r="BB13" s="8" t="s">
        <v>2815</v>
      </c>
    </row>
    <row r="14" spans="1:54" x14ac:dyDescent="0.25">
      <c r="A14" s="2">
        <v>13</v>
      </c>
      <c r="B14" s="2">
        <v>13</v>
      </c>
      <c r="C14" s="2" t="s">
        <v>43</v>
      </c>
      <c r="D14" s="2" t="s">
        <v>1674</v>
      </c>
      <c r="E14" s="2" t="s">
        <v>44</v>
      </c>
      <c r="F14" s="4">
        <v>45305</v>
      </c>
      <c r="G14" s="8" t="s">
        <v>45</v>
      </c>
      <c r="H14" s="8" t="s">
        <v>1250</v>
      </c>
      <c r="I14" s="2" t="s">
        <v>14</v>
      </c>
      <c r="J14" s="2" t="s">
        <v>15</v>
      </c>
      <c r="K14" s="2" t="s">
        <v>791</v>
      </c>
      <c r="L14" s="2" t="s">
        <v>1258</v>
      </c>
      <c r="M14" s="2" t="s">
        <v>1264</v>
      </c>
      <c r="N14" s="2" t="s">
        <v>2028</v>
      </c>
      <c r="O14" s="4">
        <v>39611</v>
      </c>
      <c r="P14" s="2" t="s">
        <v>2413</v>
      </c>
      <c r="Q14" s="2" t="s">
        <v>2414</v>
      </c>
      <c r="R14" s="2" t="s">
        <v>2393</v>
      </c>
      <c r="S14" s="2" t="s">
        <v>788</v>
      </c>
      <c r="T14" s="2" t="s">
        <v>1300</v>
      </c>
      <c r="U14" s="2" t="s">
        <v>1268</v>
      </c>
      <c r="V14" s="2">
        <v>6058567855</v>
      </c>
      <c r="W14" s="2" t="s">
        <v>812</v>
      </c>
      <c r="X14" s="2" t="s">
        <v>813</v>
      </c>
      <c r="Y14" s="2" t="s">
        <v>1184</v>
      </c>
      <c r="Z14" s="2" t="s">
        <v>1185</v>
      </c>
      <c r="AA14" s="2">
        <v>2000</v>
      </c>
      <c r="AB14" s="2">
        <v>200</v>
      </c>
      <c r="AC14" s="2">
        <v>300</v>
      </c>
      <c r="AD14" s="2">
        <v>0</v>
      </c>
      <c r="AE14" s="2">
        <f t="shared" si="0"/>
        <v>2500</v>
      </c>
      <c r="AF14" s="2">
        <v>1000</v>
      </c>
      <c r="AG14" s="4">
        <v>45315</v>
      </c>
      <c r="AH14" s="2">
        <f t="shared" si="1"/>
        <v>1500</v>
      </c>
      <c r="AI14" s="2">
        <v>500</v>
      </c>
      <c r="AJ14" s="4">
        <v>45346</v>
      </c>
      <c r="AK14" s="2">
        <f t="shared" si="2"/>
        <v>1000</v>
      </c>
      <c r="AL14" s="2">
        <v>500</v>
      </c>
      <c r="AM14" s="4">
        <v>45375</v>
      </c>
      <c r="AN14" s="2">
        <f t="shared" si="3"/>
        <v>500</v>
      </c>
      <c r="AO14" s="2" cm="1">
        <f t="array" ref="AO14">_xlfn.IFS(AN14&gt;=5000,3000,AN14&gt;=2000,1000,AN14&gt;=500,500,AN14&lt;500,AN14)</f>
        <v>500</v>
      </c>
      <c r="AP14" s="4">
        <v>45406</v>
      </c>
      <c r="AQ14" s="2">
        <f t="shared" si="4"/>
        <v>0</v>
      </c>
      <c r="AR14" s="2" t="s">
        <v>1200</v>
      </c>
      <c r="AS14" s="4" t="s">
        <v>1200</v>
      </c>
      <c r="AT14" s="2" t="str">
        <f t="shared" si="5"/>
        <v/>
      </c>
      <c r="AU14" s="2" t="s">
        <v>1200</v>
      </c>
      <c r="AV14" s="4" t="s">
        <v>1200</v>
      </c>
      <c r="AW14" s="2" t="s">
        <v>1200</v>
      </c>
      <c r="AX14" s="2">
        <f t="shared" si="6"/>
        <v>2500</v>
      </c>
      <c r="AY14" s="2">
        <f t="shared" si="7"/>
        <v>0</v>
      </c>
      <c r="AZ14" s="2" t="str">
        <f t="shared" si="8"/>
        <v>Paid</v>
      </c>
      <c r="BA14" s="9" t="str" cm="1">
        <f t="array" ref="BA14">_xlfn.IFS(AZ14="Paid","R",AZ14="Unpaid","Q")</f>
        <v>R</v>
      </c>
      <c r="BB14" s="8" t="s">
        <v>2815</v>
      </c>
    </row>
    <row r="15" spans="1:54" x14ac:dyDescent="0.25">
      <c r="A15" s="2">
        <v>14</v>
      </c>
      <c r="B15" s="2">
        <v>14</v>
      </c>
      <c r="C15" s="2" t="s">
        <v>46</v>
      </c>
      <c r="D15" s="2" t="s">
        <v>1675</v>
      </c>
      <c r="E15" s="2" t="s">
        <v>47</v>
      </c>
      <c r="F15" s="4">
        <v>45305</v>
      </c>
      <c r="G15" s="8" t="s">
        <v>48</v>
      </c>
      <c r="H15" s="8" t="s">
        <v>1251</v>
      </c>
      <c r="I15" s="2" t="s">
        <v>14</v>
      </c>
      <c r="J15" s="2" t="s">
        <v>15</v>
      </c>
      <c r="K15" s="2" t="s">
        <v>791</v>
      </c>
      <c r="L15" s="2" t="s">
        <v>1258</v>
      </c>
      <c r="M15" s="2" t="s">
        <v>1264</v>
      </c>
      <c r="N15" s="2" t="s">
        <v>2029</v>
      </c>
      <c r="O15" s="4">
        <v>36477</v>
      </c>
      <c r="P15" s="2" t="s">
        <v>2415</v>
      </c>
      <c r="Q15" s="2" t="s">
        <v>2416</v>
      </c>
      <c r="R15" s="2" t="s">
        <v>2393</v>
      </c>
      <c r="S15" s="2" t="s">
        <v>788</v>
      </c>
      <c r="T15" s="2" t="s">
        <v>1301</v>
      </c>
      <c r="U15" s="2" t="s">
        <v>1275</v>
      </c>
      <c r="V15" s="2">
        <v>6668053008</v>
      </c>
      <c r="W15" s="2" t="s">
        <v>814</v>
      </c>
      <c r="X15" s="2" t="s">
        <v>1183</v>
      </c>
      <c r="Y15" s="2" t="s">
        <v>1184</v>
      </c>
      <c r="Z15" s="2" t="s">
        <v>1185</v>
      </c>
      <c r="AA15" s="2">
        <v>3000</v>
      </c>
      <c r="AB15" s="2">
        <v>200</v>
      </c>
      <c r="AC15" s="2">
        <v>500</v>
      </c>
      <c r="AD15" s="2">
        <v>0</v>
      </c>
      <c r="AE15" s="2">
        <f t="shared" si="0"/>
        <v>3700</v>
      </c>
      <c r="AF15" s="2">
        <v>1000</v>
      </c>
      <c r="AG15" s="4">
        <v>45315</v>
      </c>
      <c r="AH15" s="2">
        <f t="shared" si="1"/>
        <v>2700</v>
      </c>
      <c r="AI15" s="2">
        <v>1000</v>
      </c>
      <c r="AJ15" s="4">
        <v>45346</v>
      </c>
      <c r="AK15" s="2">
        <f t="shared" si="2"/>
        <v>1700</v>
      </c>
      <c r="AL15" s="2">
        <v>500</v>
      </c>
      <c r="AM15" s="4">
        <v>45375</v>
      </c>
      <c r="AN15" s="2">
        <f t="shared" si="3"/>
        <v>1200</v>
      </c>
      <c r="AO15" s="2" cm="1">
        <f t="array" ref="AO15">_xlfn.IFS(AN15&gt;=5000,3000,AN15&gt;=2000,1000,AN15&gt;=500,500,AN15&lt;500,AN15)</f>
        <v>500</v>
      </c>
      <c r="AP15" s="4">
        <v>45406</v>
      </c>
      <c r="AQ15" s="2">
        <f t="shared" si="4"/>
        <v>700</v>
      </c>
      <c r="AR15" s="2">
        <v>500</v>
      </c>
      <c r="AS15" s="4">
        <v>45436</v>
      </c>
      <c r="AT15" s="2">
        <f t="shared" si="5"/>
        <v>200</v>
      </c>
      <c r="AU15" s="2">
        <v>200</v>
      </c>
      <c r="AV15" s="4">
        <v>45467</v>
      </c>
      <c r="AW15" s="2">
        <v>0</v>
      </c>
      <c r="AX15" s="2">
        <f t="shared" si="6"/>
        <v>3700</v>
      </c>
      <c r="AY15" s="2">
        <f t="shared" si="7"/>
        <v>0</v>
      </c>
      <c r="AZ15" s="2" t="str">
        <f t="shared" si="8"/>
        <v>Paid</v>
      </c>
      <c r="BA15" s="9" t="str" cm="1">
        <f t="array" ref="BA15">_xlfn.IFS(AZ15="Paid","R",AZ15="Unpaid","Q")</f>
        <v>R</v>
      </c>
      <c r="BB15" s="8" t="s">
        <v>2815</v>
      </c>
    </row>
    <row r="16" spans="1:54" x14ac:dyDescent="0.25">
      <c r="A16" s="2">
        <v>15</v>
      </c>
      <c r="B16" s="2">
        <v>15</v>
      </c>
      <c r="C16" s="2" t="s">
        <v>49</v>
      </c>
      <c r="D16" s="2" t="s">
        <v>1676</v>
      </c>
      <c r="E16" s="2" t="s">
        <v>50</v>
      </c>
      <c r="F16" s="4">
        <v>45306</v>
      </c>
      <c r="G16" s="8" t="s">
        <v>35</v>
      </c>
      <c r="H16" s="8" t="s">
        <v>1244</v>
      </c>
      <c r="I16" s="2" t="s">
        <v>14</v>
      </c>
      <c r="J16" s="2" t="s">
        <v>15</v>
      </c>
      <c r="K16" s="2" t="s">
        <v>791</v>
      </c>
      <c r="L16" s="2" t="s">
        <v>1257</v>
      </c>
      <c r="M16" s="2" t="s">
        <v>1261</v>
      </c>
      <c r="N16" s="2" t="s">
        <v>2030</v>
      </c>
      <c r="O16" s="4">
        <v>32144</v>
      </c>
      <c r="P16" s="2" t="s">
        <v>2417</v>
      </c>
      <c r="Q16" s="2" t="s">
        <v>2418</v>
      </c>
      <c r="R16" s="2" t="s">
        <v>2393</v>
      </c>
      <c r="S16" s="2" t="s">
        <v>792</v>
      </c>
      <c r="T16" s="2" t="s">
        <v>1302</v>
      </c>
      <c r="U16" s="2" t="s">
        <v>1275</v>
      </c>
      <c r="V16" s="2">
        <v>8383177987</v>
      </c>
      <c r="W16" s="2" t="s">
        <v>815</v>
      </c>
      <c r="X16" s="2" t="s">
        <v>813</v>
      </c>
      <c r="Y16" s="2" t="s">
        <v>1184</v>
      </c>
      <c r="Z16" s="2" t="s">
        <v>1185</v>
      </c>
      <c r="AA16" s="2">
        <v>3000</v>
      </c>
      <c r="AB16" s="2">
        <v>200</v>
      </c>
      <c r="AC16" s="2">
        <v>500</v>
      </c>
      <c r="AD16" s="2">
        <v>500</v>
      </c>
      <c r="AE16" s="2">
        <f t="shared" si="0"/>
        <v>3200</v>
      </c>
      <c r="AF16" s="2">
        <v>1000</v>
      </c>
      <c r="AG16" s="4">
        <v>45316</v>
      </c>
      <c r="AH16" s="2">
        <f t="shared" si="1"/>
        <v>2200</v>
      </c>
      <c r="AI16" s="2">
        <v>1000</v>
      </c>
      <c r="AJ16" s="4">
        <v>45347</v>
      </c>
      <c r="AK16" s="2">
        <f t="shared" si="2"/>
        <v>1200</v>
      </c>
      <c r="AL16" s="2">
        <v>500</v>
      </c>
      <c r="AM16" s="4">
        <v>45376</v>
      </c>
      <c r="AN16" s="2">
        <f t="shared" si="3"/>
        <v>700</v>
      </c>
      <c r="AO16" s="2" cm="1">
        <f t="array" ref="AO16">_xlfn.IFS(AN16&gt;=5000,3000,AN16&gt;=2000,1000,AN16&gt;=500,500,AN16&lt;500,AN16)</f>
        <v>500</v>
      </c>
      <c r="AP16" s="4">
        <v>45407</v>
      </c>
      <c r="AQ16" s="2">
        <f t="shared" si="4"/>
        <v>200</v>
      </c>
      <c r="AR16" s="2">
        <v>200</v>
      </c>
      <c r="AS16" s="4">
        <v>45437</v>
      </c>
      <c r="AT16" s="2">
        <f t="shared" si="5"/>
        <v>0</v>
      </c>
      <c r="AU16" s="2" t="s">
        <v>1200</v>
      </c>
      <c r="AV16" s="4" t="s">
        <v>1200</v>
      </c>
      <c r="AW16" s="2" t="s">
        <v>1200</v>
      </c>
      <c r="AX16" s="2">
        <f t="shared" si="6"/>
        <v>3200</v>
      </c>
      <c r="AY16" s="2">
        <f t="shared" si="7"/>
        <v>0</v>
      </c>
      <c r="AZ16" s="2" t="str">
        <f t="shared" si="8"/>
        <v>Paid</v>
      </c>
      <c r="BA16" s="9" t="str" cm="1">
        <f t="array" ref="BA16">_xlfn.IFS(AZ16="Paid","R",AZ16="Unpaid","Q")</f>
        <v>R</v>
      </c>
      <c r="BB16" s="8" t="s">
        <v>2815</v>
      </c>
    </row>
    <row r="17" spans="1:54" x14ac:dyDescent="0.25">
      <c r="A17" s="2">
        <v>16</v>
      </c>
      <c r="B17" s="2">
        <v>16</v>
      </c>
      <c r="C17" s="2" t="s">
        <v>51</v>
      </c>
      <c r="D17" s="2" t="s">
        <v>1677</v>
      </c>
      <c r="E17" s="2" t="s">
        <v>52</v>
      </c>
      <c r="F17" s="4">
        <v>45307</v>
      </c>
      <c r="G17" s="8" t="s">
        <v>18</v>
      </c>
      <c r="H17" s="8" t="s">
        <v>1253</v>
      </c>
      <c r="I17" s="2" t="s">
        <v>9</v>
      </c>
      <c r="J17" s="2" t="s">
        <v>15</v>
      </c>
      <c r="K17" s="2" t="s">
        <v>795</v>
      </c>
      <c r="L17" s="2" t="s">
        <v>1256</v>
      </c>
      <c r="M17" s="2" t="s">
        <v>1263</v>
      </c>
      <c r="N17" s="2" t="s">
        <v>2031</v>
      </c>
      <c r="O17" s="4">
        <v>37959</v>
      </c>
      <c r="P17" s="2" t="s">
        <v>2419</v>
      </c>
      <c r="Q17" s="2" t="s">
        <v>2420</v>
      </c>
      <c r="R17" s="2" t="s">
        <v>2393</v>
      </c>
      <c r="S17" s="2" t="s">
        <v>788</v>
      </c>
      <c r="T17" s="2" t="s">
        <v>1303</v>
      </c>
      <c r="U17" s="2" t="s">
        <v>1268</v>
      </c>
      <c r="V17" s="2">
        <v>7161254583</v>
      </c>
      <c r="W17" s="2" t="s">
        <v>816</v>
      </c>
      <c r="X17" s="2" t="s">
        <v>1183</v>
      </c>
      <c r="Y17" s="2" t="s">
        <v>1184</v>
      </c>
      <c r="Z17" s="2" t="s">
        <v>1185</v>
      </c>
      <c r="AA17" s="2">
        <v>7000</v>
      </c>
      <c r="AB17" s="2">
        <v>200</v>
      </c>
      <c r="AC17" s="2">
        <v>800</v>
      </c>
      <c r="AD17" s="2">
        <v>0</v>
      </c>
      <c r="AE17" s="2">
        <f t="shared" si="0"/>
        <v>8000</v>
      </c>
      <c r="AF17" s="2">
        <v>2500</v>
      </c>
      <c r="AG17" s="4">
        <v>45317</v>
      </c>
      <c r="AH17" s="2">
        <f t="shared" si="1"/>
        <v>5500</v>
      </c>
      <c r="AI17" s="2">
        <v>3000</v>
      </c>
      <c r="AJ17" s="4">
        <v>45348</v>
      </c>
      <c r="AK17" s="2">
        <f t="shared" si="2"/>
        <v>2500</v>
      </c>
      <c r="AL17" s="2">
        <v>1000</v>
      </c>
      <c r="AM17" s="4">
        <v>45377</v>
      </c>
      <c r="AN17" s="2">
        <f t="shared" si="3"/>
        <v>1500</v>
      </c>
      <c r="AO17" s="2" cm="1">
        <f t="array" ref="AO17">_xlfn.IFS(AN17&gt;=5000,3000,AN17&gt;=2000,1000,AN17&gt;=500,500,AN17&lt;500,AN17)</f>
        <v>500</v>
      </c>
      <c r="AP17" s="4">
        <v>45408</v>
      </c>
      <c r="AQ17" s="2">
        <f t="shared" si="4"/>
        <v>1000</v>
      </c>
      <c r="AR17" s="2">
        <v>1000</v>
      </c>
      <c r="AS17" s="4">
        <v>45438</v>
      </c>
      <c r="AT17" s="2">
        <f t="shared" si="5"/>
        <v>0</v>
      </c>
      <c r="AU17" s="2" t="s">
        <v>1200</v>
      </c>
      <c r="AV17" s="4" t="s">
        <v>1200</v>
      </c>
      <c r="AW17" s="2" t="s">
        <v>1200</v>
      </c>
      <c r="AX17" s="2">
        <f t="shared" si="6"/>
        <v>8000</v>
      </c>
      <c r="AY17" s="2">
        <f t="shared" si="7"/>
        <v>0</v>
      </c>
      <c r="AZ17" s="2" t="str">
        <f t="shared" si="8"/>
        <v>Paid</v>
      </c>
      <c r="BA17" s="9" t="str" cm="1">
        <f t="array" ref="BA17">_xlfn.IFS(AZ17="Paid","R",AZ17="Unpaid","Q")</f>
        <v>R</v>
      </c>
      <c r="BB17" s="8" t="s">
        <v>2815</v>
      </c>
    </row>
    <row r="18" spans="1:54" x14ac:dyDescent="0.25">
      <c r="A18" s="2">
        <v>17</v>
      </c>
      <c r="B18" s="2">
        <v>17</v>
      </c>
      <c r="C18" s="2" t="s">
        <v>53</v>
      </c>
      <c r="D18" s="2" t="s">
        <v>1678</v>
      </c>
      <c r="E18" s="2" t="s">
        <v>54</v>
      </c>
      <c r="F18" s="4">
        <v>45308</v>
      </c>
      <c r="G18" s="8" t="s">
        <v>26</v>
      </c>
      <c r="H18" s="8" t="s">
        <v>1243</v>
      </c>
      <c r="I18" s="2" t="s">
        <v>9</v>
      </c>
      <c r="J18" s="2" t="s">
        <v>10</v>
      </c>
      <c r="K18" s="2" t="s">
        <v>787</v>
      </c>
      <c r="L18" s="2" t="s">
        <v>1259</v>
      </c>
      <c r="M18" s="2" t="s">
        <v>1262</v>
      </c>
      <c r="N18" s="2" t="s">
        <v>2032</v>
      </c>
      <c r="O18" s="4">
        <v>37432</v>
      </c>
      <c r="P18" s="2" t="s">
        <v>2421</v>
      </c>
      <c r="Q18" s="2" t="s">
        <v>2422</v>
      </c>
      <c r="R18" s="2" t="s">
        <v>2393</v>
      </c>
      <c r="S18" s="2" t="s">
        <v>792</v>
      </c>
      <c r="T18" s="2" t="s">
        <v>1304</v>
      </c>
      <c r="U18" s="2" t="s">
        <v>1276</v>
      </c>
      <c r="V18" s="2">
        <v>7238622293</v>
      </c>
      <c r="W18" s="2" t="s">
        <v>817</v>
      </c>
      <c r="X18" s="2" t="s">
        <v>798</v>
      </c>
      <c r="Y18" s="2" t="s">
        <v>1184</v>
      </c>
      <c r="Z18" s="2" t="s">
        <v>1185</v>
      </c>
      <c r="AA18" s="2">
        <v>15000</v>
      </c>
      <c r="AB18" s="2">
        <v>200</v>
      </c>
      <c r="AC18" s="2">
        <v>1200</v>
      </c>
      <c r="AD18" s="2">
        <v>300</v>
      </c>
      <c r="AE18" s="2">
        <f t="shared" si="0"/>
        <v>16100</v>
      </c>
      <c r="AF18" s="2">
        <v>5000</v>
      </c>
      <c r="AG18" s="4">
        <v>45318</v>
      </c>
      <c r="AH18" s="2">
        <f t="shared" si="1"/>
        <v>11100</v>
      </c>
      <c r="AI18" s="2">
        <v>3000</v>
      </c>
      <c r="AJ18" s="4">
        <v>45349</v>
      </c>
      <c r="AK18" s="2">
        <f t="shared" si="2"/>
        <v>8100</v>
      </c>
      <c r="AL18" s="2">
        <v>3000</v>
      </c>
      <c r="AM18" s="4">
        <v>45378</v>
      </c>
      <c r="AN18" s="2">
        <f t="shared" si="3"/>
        <v>5100</v>
      </c>
      <c r="AO18" s="2" cm="1">
        <f t="array" ref="AO18">_xlfn.IFS(AN18&gt;=5000,3000,AN18&gt;=2000,1000,AN18&gt;=500,500,AN18&lt;500,AN18)</f>
        <v>3000</v>
      </c>
      <c r="AP18" s="4">
        <v>45409</v>
      </c>
      <c r="AQ18" s="2">
        <f t="shared" si="4"/>
        <v>2100</v>
      </c>
      <c r="AR18" s="2">
        <v>2000</v>
      </c>
      <c r="AS18" s="4">
        <v>45439</v>
      </c>
      <c r="AT18" s="2">
        <f t="shared" si="5"/>
        <v>100</v>
      </c>
      <c r="AU18" s="2">
        <v>100</v>
      </c>
      <c r="AV18" s="4">
        <v>45470</v>
      </c>
      <c r="AW18" s="2">
        <v>0</v>
      </c>
      <c r="AX18" s="2">
        <f t="shared" si="6"/>
        <v>16100</v>
      </c>
      <c r="AY18" s="2">
        <f t="shared" si="7"/>
        <v>0</v>
      </c>
      <c r="AZ18" s="2" t="str">
        <f t="shared" si="8"/>
        <v>Paid</v>
      </c>
      <c r="BA18" s="9" t="str" cm="1">
        <f t="array" ref="BA18">_xlfn.IFS(AZ18="Paid","R",AZ18="Unpaid","Q")</f>
        <v>R</v>
      </c>
      <c r="BB18" s="8" t="s">
        <v>2815</v>
      </c>
    </row>
    <row r="19" spans="1:54" x14ac:dyDescent="0.25">
      <c r="A19" s="2">
        <v>18</v>
      </c>
      <c r="B19" s="2">
        <v>18</v>
      </c>
      <c r="C19" s="2" t="s">
        <v>55</v>
      </c>
      <c r="D19" s="2" t="s">
        <v>1679</v>
      </c>
      <c r="E19" s="2" t="s">
        <v>56</v>
      </c>
      <c r="F19" s="4">
        <v>45309</v>
      </c>
      <c r="G19" s="8" t="s">
        <v>13</v>
      </c>
      <c r="H19" s="8" t="s">
        <v>1254</v>
      </c>
      <c r="I19" s="2" t="s">
        <v>14</v>
      </c>
      <c r="J19" s="2" t="s">
        <v>15</v>
      </c>
      <c r="K19" s="2" t="s">
        <v>791</v>
      </c>
      <c r="L19" s="2" t="s">
        <v>1257</v>
      </c>
      <c r="M19" s="2" t="s">
        <v>1261</v>
      </c>
      <c r="N19" s="2" t="s">
        <v>2033</v>
      </c>
      <c r="O19" s="4">
        <v>40303</v>
      </c>
      <c r="P19" s="2" t="s">
        <v>2423</v>
      </c>
      <c r="Q19" s="2" t="s">
        <v>2424</v>
      </c>
      <c r="R19" s="2" t="s">
        <v>2393</v>
      </c>
      <c r="S19" s="2" t="s">
        <v>788</v>
      </c>
      <c r="T19" s="2" t="s">
        <v>1305</v>
      </c>
      <c r="U19" s="2" t="s">
        <v>1277</v>
      </c>
      <c r="V19" s="2">
        <v>7514875785</v>
      </c>
      <c r="W19" s="2" t="s">
        <v>818</v>
      </c>
      <c r="X19" s="2" t="s">
        <v>1183</v>
      </c>
      <c r="Y19" s="2" t="s">
        <v>1184</v>
      </c>
      <c r="Z19" s="2" t="s">
        <v>1185</v>
      </c>
      <c r="AA19" s="2">
        <v>3000</v>
      </c>
      <c r="AB19" s="2">
        <v>200</v>
      </c>
      <c r="AC19" s="2">
        <v>500</v>
      </c>
      <c r="AD19" s="2">
        <v>0</v>
      </c>
      <c r="AE19" s="2">
        <f t="shared" si="0"/>
        <v>3700</v>
      </c>
      <c r="AF19" s="2">
        <v>1000</v>
      </c>
      <c r="AG19" s="4">
        <v>45319</v>
      </c>
      <c r="AH19" s="2">
        <f t="shared" si="1"/>
        <v>2700</v>
      </c>
      <c r="AI19" s="2">
        <v>1000</v>
      </c>
      <c r="AJ19" s="4">
        <v>45350</v>
      </c>
      <c r="AK19" s="2">
        <f t="shared" si="2"/>
        <v>1700</v>
      </c>
      <c r="AL19" s="2">
        <v>500</v>
      </c>
      <c r="AM19" s="4">
        <v>45379</v>
      </c>
      <c r="AN19" s="2">
        <f t="shared" si="3"/>
        <v>1200</v>
      </c>
      <c r="AO19" s="2" cm="1">
        <f t="array" ref="AO19">_xlfn.IFS(AN19&gt;=5000,3000,AN19&gt;=2000,1000,AN19&gt;=500,500,AN19&lt;500,AN19)</f>
        <v>500</v>
      </c>
      <c r="AP19" s="4">
        <v>45410</v>
      </c>
      <c r="AQ19" s="2">
        <f t="shared" si="4"/>
        <v>700</v>
      </c>
      <c r="AR19" s="2">
        <v>500</v>
      </c>
      <c r="AS19" s="4">
        <v>45440</v>
      </c>
      <c r="AT19" s="2">
        <f t="shared" si="5"/>
        <v>200</v>
      </c>
      <c r="AU19" s="2">
        <v>200</v>
      </c>
      <c r="AV19" s="4">
        <v>45471</v>
      </c>
      <c r="AW19" s="2">
        <v>0</v>
      </c>
      <c r="AX19" s="2">
        <f t="shared" si="6"/>
        <v>3700</v>
      </c>
      <c r="AY19" s="2">
        <f t="shared" si="7"/>
        <v>0</v>
      </c>
      <c r="AZ19" s="2" t="str">
        <f t="shared" si="8"/>
        <v>Paid</v>
      </c>
      <c r="BA19" s="9" t="str" cm="1">
        <f t="array" ref="BA19">_xlfn.IFS(AZ19="Paid","R",AZ19="Unpaid","Q")</f>
        <v>R</v>
      </c>
      <c r="BB19" s="8" t="s">
        <v>2815</v>
      </c>
    </row>
    <row r="20" spans="1:54" x14ac:dyDescent="0.25">
      <c r="A20" s="2">
        <v>19</v>
      </c>
      <c r="B20" s="2">
        <v>19</v>
      </c>
      <c r="C20" s="2" t="s">
        <v>57</v>
      </c>
      <c r="D20" s="2" t="s">
        <v>1680</v>
      </c>
      <c r="E20" s="2" t="s">
        <v>58</v>
      </c>
      <c r="F20" s="4">
        <v>45310</v>
      </c>
      <c r="G20" s="8" t="s">
        <v>45</v>
      </c>
      <c r="H20" s="8" t="s">
        <v>1250</v>
      </c>
      <c r="I20" s="2" t="s">
        <v>14</v>
      </c>
      <c r="J20" s="2" t="s">
        <v>15</v>
      </c>
      <c r="K20" s="2" t="s">
        <v>791</v>
      </c>
      <c r="L20" s="2" t="s">
        <v>1258</v>
      </c>
      <c r="M20" s="2" t="s">
        <v>1264</v>
      </c>
      <c r="N20" s="2" t="s">
        <v>2034</v>
      </c>
      <c r="O20" s="4">
        <v>37359</v>
      </c>
      <c r="P20" s="2" t="s">
        <v>2425</v>
      </c>
      <c r="Q20" s="2" t="s">
        <v>2426</v>
      </c>
      <c r="R20" s="2" t="s">
        <v>2393</v>
      </c>
      <c r="S20" s="2" t="s">
        <v>792</v>
      </c>
      <c r="T20" s="2" t="s">
        <v>1306</v>
      </c>
      <c r="U20" s="2" t="s">
        <v>1270</v>
      </c>
      <c r="V20" s="2">
        <v>7459853641</v>
      </c>
      <c r="W20" s="2" t="s">
        <v>819</v>
      </c>
      <c r="X20" s="2" t="s">
        <v>809</v>
      </c>
      <c r="Y20" s="2" t="s">
        <v>1184</v>
      </c>
      <c r="Z20" s="2" t="s">
        <v>1185</v>
      </c>
      <c r="AA20" s="2">
        <v>2000</v>
      </c>
      <c r="AB20" s="2">
        <v>200</v>
      </c>
      <c r="AC20" s="2">
        <v>300</v>
      </c>
      <c r="AD20" s="2">
        <v>500</v>
      </c>
      <c r="AE20" s="2">
        <f t="shared" si="0"/>
        <v>2000</v>
      </c>
      <c r="AF20" s="2">
        <v>500</v>
      </c>
      <c r="AG20" s="4">
        <v>45320</v>
      </c>
      <c r="AH20" s="2">
        <f t="shared" si="1"/>
        <v>1500</v>
      </c>
      <c r="AI20" s="2">
        <v>500</v>
      </c>
      <c r="AJ20" s="4">
        <v>45351</v>
      </c>
      <c r="AK20" s="2">
        <f t="shared" si="2"/>
        <v>1000</v>
      </c>
      <c r="AL20" s="2">
        <v>500</v>
      </c>
      <c r="AM20" s="4">
        <v>45380</v>
      </c>
      <c r="AN20" s="2">
        <f t="shared" si="3"/>
        <v>500</v>
      </c>
      <c r="AO20" s="2" cm="1">
        <f t="array" ref="AO20">_xlfn.IFS(AN20&gt;=5000,3000,AN20&gt;=2000,1000,AN20&gt;=500,500,AN20&lt;500,AN20)</f>
        <v>500</v>
      </c>
      <c r="AP20" s="4">
        <v>45411</v>
      </c>
      <c r="AQ20" s="2">
        <f t="shared" si="4"/>
        <v>0</v>
      </c>
      <c r="AR20" s="2" t="s">
        <v>1200</v>
      </c>
      <c r="AS20" s="4" t="s">
        <v>1200</v>
      </c>
      <c r="AT20" s="2" t="str">
        <f t="shared" si="5"/>
        <v/>
      </c>
      <c r="AU20" s="2" t="s">
        <v>1200</v>
      </c>
      <c r="AV20" s="4" t="s">
        <v>1200</v>
      </c>
      <c r="AW20" s="2" t="s">
        <v>1200</v>
      </c>
      <c r="AX20" s="2">
        <f t="shared" si="6"/>
        <v>2000</v>
      </c>
      <c r="AY20" s="2">
        <f t="shared" si="7"/>
        <v>0</v>
      </c>
      <c r="AZ20" s="2" t="str">
        <f t="shared" si="8"/>
        <v>Paid</v>
      </c>
      <c r="BA20" s="9" t="str" cm="1">
        <f t="array" ref="BA20">_xlfn.IFS(AZ20="Paid","R",AZ20="Unpaid","Q")</f>
        <v>R</v>
      </c>
      <c r="BB20" s="8" t="s">
        <v>2815</v>
      </c>
    </row>
    <row r="21" spans="1:54" x14ac:dyDescent="0.25">
      <c r="A21" s="2">
        <v>20</v>
      </c>
      <c r="B21" s="2">
        <v>20</v>
      </c>
      <c r="C21" s="2" t="s">
        <v>59</v>
      </c>
      <c r="D21" s="2" t="s">
        <v>1681</v>
      </c>
      <c r="E21" s="2" t="s">
        <v>60</v>
      </c>
      <c r="F21" s="4">
        <v>45312</v>
      </c>
      <c r="G21" s="8" t="s">
        <v>21</v>
      </c>
      <c r="H21" s="8" t="s">
        <v>1252</v>
      </c>
      <c r="I21" s="2" t="s">
        <v>14</v>
      </c>
      <c r="J21" s="2" t="s">
        <v>15</v>
      </c>
      <c r="K21" s="2" t="s">
        <v>791</v>
      </c>
      <c r="L21" s="2" t="s">
        <v>1256</v>
      </c>
      <c r="M21" s="2" t="s">
        <v>1263</v>
      </c>
      <c r="N21" s="2" t="s">
        <v>2035</v>
      </c>
      <c r="O21" s="4">
        <v>32891</v>
      </c>
      <c r="P21" s="2" t="s">
        <v>2427</v>
      </c>
      <c r="Q21" s="2" t="s">
        <v>2428</v>
      </c>
      <c r="R21" s="2" t="s">
        <v>2396</v>
      </c>
      <c r="S21" s="2" t="s">
        <v>820</v>
      </c>
      <c r="T21" s="2" t="s">
        <v>1307</v>
      </c>
      <c r="U21" s="2" t="s">
        <v>1268</v>
      </c>
      <c r="V21" s="2">
        <v>8155210884</v>
      </c>
      <c r="W21" s="2" t="s">
        <v>821</v>
      </c>
      <c r="X21" s="2" t="s">
        <v>822</v>
      </c>
      <c r="Y21" s="2" t="s">
        <v>1184</v>
      </c>
      <c r="Z21" s="2" t="s">
        <v>1185</v>
      </c>
      <c r="AA21" s="2">
        <v>3000</v>
      </c>
      <c r="AB21" s="2">
        <v>200</v>
      </c>
      <c r="AC21" s="2">
        <v>300</v>
      </c>
      <c r="AD21" s="2">
        <v>0</v>
      </c>
      <c r="AE21" s="2">
        <f t="shared" si="0"/>
        <v>3500</v>
      </c>
      <c r="AF21" s="2">
        <v>1000</v>
      </c>
      <c r="AG21" s="4">
        <v>45322</v>
      </c>
      <c r="AH21" s="2">
        <f t="shared" si="1"/>
        <v>2500</v>
      </c>
      <c r="AI21" s="2">
        <v>1000</v>
      </c>
      <c r="AJ21" s="4">
        <v>45351</v>
      </c>
      <c r="AK21" s="2">
        <f t="shared" si="2"/>
        <v>1500</v>
      </c>
      <c r="AL21" s="2">
        <v>500</v>
      </c>
      <c r="AM21" s="4">
        <v>45380</v>
      </c>
      <c r="AN21" s="2">
        <f t="shared" si="3"/>
        <v>1000</v>
      </c>
      <c r="AO21" s="2" cm="1">
        <f t="array" ref="AO21">_xlfn.IFS(AN21&gt;=5000,3000,AN21&gt;=2000,1000,AN21&gt;=500,500,AN21&lt;500,AN21)</f>
        <v>500</v>
      </c>
      <c r="AP21" s="4">
        <v>45411</v>
      </c>
      <c r="AQ21" s="2">
        <f t="shared" si="4"/>
        <v>500</v>
      </c>
      <c r="AR21" s="2">
        <v>500</v>
      </c>
      <c r="AS21" s="4">
        <v>45441</v>
      </c>
      <c r="AT21" s="2">
        <f t="shared" si="5"/>
        <v>0</v>
      </c>
      <c r="AU21" s="2" t="s">
        <v>1200</v>
      </c>
      <c r="AV21" s="4" t="s">
        <v>1200</v>
      </c>
      <c r="AW21" s="2" t="s">
        <v>1200</v>
      </c>
      <c r="AX21" s="2">
        <f t="shared" si="6"/>
        <v>3500</v>
      </c>
      <c r="AY21" s="2">
        <f t="shared" si="7"/>
        <v>0</v>
      </c>
      <c r="AZ21" s="2" t="str">
        <f t="shared" si="8"/>
        <v>Paid</v>
      </c>
      <c r="BA21" s="9" t="str" cm="1">
        <f t="array" ref="BA21">_xlfn.IFS(AZ21="Paid","R",AZ21="Unpaid","Q")</f>
        <v>R</v>
      </c>
      <c r="BB21" s="8" t="s">
        <v>2815</v>
      </c>
    </row>
    <row r="22" spans="1:54" x14ac:dyDescent="0.25">
      <c r="A22" s="2">
        <v>21</v>
      </c>
      <c r="B22" s="2">
        <v>21</v>
      </c>
      <c r="C22" s="2" t="s">
        <v>61</v>
      </c>
      <c r="D22" s="2" t="s">
        <v>1682</v>
      </c>
      <c r="E22" s="2" t="s">
        <v>62</v>
      </c>
      <c r="F22" s="4">
        <v>45313</v>
      </c>
      <c r="G22" s="8" t="s">
        <v>45</v>
      </c>
      <c r="H22" s="8" t="s">
        <v>1250</v>
      </c>
      <c r="I22" s="2" t="s">
        <v>14</v>
      </c>
      <c r="J22" s="2" t="s">
        <v>15</v>
      </c>
      <c r="K22" s="2" t="s">
        <v>791</v>
      </c>
      <c r="L22" s="2" t="s">
        <v>1256</v>
      </c>
      <c r="M22" s="2" t="s">
        <v>1263</v>
      </c>
      <c r="N22" s="2" t="s">
        <v>2036</v>
      </c>
      <c r="O22" s="4">
        <v>40084</v>
      </c>
      <c r="P22" s="2" t="s">
        <v>2429</v>
      </c>
      <c r="Q22" s="2" t="s">
        <v>2430</v>
      </c>
      <c r="R22" s="2" t="s">
        <v>2393</v>
      </c>
      <c r="S22" s="2" t="s">
        <v>788</v>
      </c>
      <c r="T22" s="2" t="s">
        <v>1308</v>
      </c>
      <c r="U22" s="2" t="s">
        <v>1270</v>
      </c>
      <c r="V22" s="2">
        <v>8754693958</v>
      </c>
      <c r="W22" s="2" t="s">
        <v>823</v>
      </c>
      <c r="X22" s="2" t="s">
        <v>822</v>
      </c>
      <c r="Y22" s="2" t="s">
        <v>1184</v>
      </c>
      <c r="Z22" s="2" t="s">
        <v>1185</v>
      </c>
      <c r="AA22" s="2">
        <v>2000</v>
      </c>
      <c r="AB22" s="2">
        <v>200</v>
      </c>
      <c r="AC22" s="2">
        <v>300</v>
      </c>
      <c r="AD22" s="2">
        <v>300</v>
      </c>
      <c r="AE22" s="2">
        <f t="shared" si="0"/>
        <v>2200</v>
      </c>
      <c r="AF22" s="2">
        <v>500</v>
      </c>
      <c r="AG22" s="4">
        <v>45323</v>
      </c>
      <c r="AH22" s="2">
        <f t="shared" si="1"/>
        <v>1700</v>
      </c>
      <c r="AI22" s="2">
        <v>500</v>
      </c>
      <c r="AJ22" s="4">
        <v>45352</v>
      </c>
      <c r="AK22" s="2">
        <f t="shared" si="2"/>
        <v>1200</v>
      </c>
      <c r="AL22" s="2">
        <v>500</v>
      </c>
      <c r="AM22" s="4">
        <v>45383</v>
      </c>
      <c r="AN22" s="2">
        <f t="shared" si="3"/>
        <v>700</v>
      </c>
      <c r="AO22" s="2" cm="1">
        <f t="array" ref="AO22">_xlfn.IFS(AN22&gt;=5000,3000,AN22&gt;=2000,1000,AN22&gt;=500,500,AN22&lt;500,AN22)</f>
        <v>500</v>
      </c>
      <c r="AP22" s="4">
        <v>45413</v>
      </c>
      <c r="AQ22" s="2">
        <f t="shared" si="4"/>
        <v>200</v>
      </c>
      <c r="AR22" s="2">
        <v>200</v>
      </c>
      <c r="AS22" s="4">
        <v>45444</v>
      </c>
      <c r="AT22" s="2">
        <f t="shared" si="5"/>
        <v>0</v>
      </c>
      <c r="AU22" s="2" t="s">
        <v>1200</v>
      </c>
      <c r="AV22" s="4" t="s">
        <v>1200</v>
      </c>
      <c r="AW22" s="2" t="s">
        <v>1200</v>
      </c>
      <c r="AX22" s="2">
        <f t="shared" si="6"/>
        <v>2200</v>
      </c>
      <c r="AY22" s="2">
        <f t="shared" si="7"/>
        <v>0</v>
      </c>
      <c r="AZ22" s="2" t="str">
        <f t="shared" si="8"/>
        <v>Paid</v>
      </c>
      <c r="BA22" s="9" t="str" cm="1">
        <f t="array" ref="BA22">_xlfn.IFS(AZ22="Paid","R",AZ22="Unpaid","Q")</f>
        <v>R</v>
      </c>
      <c r="BB22" s="8" t="s">
        <v>2815</v>
      </c>
    </row>
    <row r="23" spans="1:54" x14ac:dyDescent="0.25">
      <c r="A23" s="2">
        <v>22</v>
      </c>
      <c r="B23" s="2">
        <v>22</v>
      </c>
      <c r="C23" s="2" t="s">
        <v>63</v>
      </c>
      <c r="D23" s="2" t="s">
        <v>1683</v>
      </c>
      <c r="E23" s="2" t="s">
        <v>64</v>
      </c>
      <c r="F23" s="4">
        <v>45315</v>
      </c>
      <c r="G23" s="8" t="s">
        <v>65</v>
      </c>
      <c r="H23" s="8" t="s">
        <v>65</v>
      </c>
      <c r="I23" s="2" t="s">
        <v>14</v>
      </c>
      <c r="J23" s="2" t="s">
        <v>15</v>
      </c>
      <c r="K23" s="2" t="s">
        <v>791</v>
      </c>
      <c r="L23" s="2" t="s">
        <v>1260</v>
      </c>
      <c r="M23" s="2" t="s">
        <v>1261</v>
      </c>
      <c r="N23" s="2" t="s">
        <v>2037</v>
      </c>
      <c r="O23" s="4">
        <v>38020</v>
      </c>
      <c r="P23" s="2" t="s">
        <v>2431</v>
      </c>
      <c r="Q23" s="2" t="s">
        <v>2432</v>
      </c>
      <c r="R23" s="2" t="s">
        <v>2396</v>
      </c>
      <c r="S23" s="2" t="s">
        <v>788</v>
      </c>
      <c r="T23" s="2" t="s">
        <v>1309</v>
      </c>
      <c r="U23" s="2" t="s">
        <v>1268</v>
      </c>
      <c r="V23" s="2">
        <v>7211925595</v>
      </c>
      <c r="W23" s="2" t="s">
        <v>824</v>
      </c>
      <c r="X23" s="2" t="s">
        <v>798</v>
      </c>
      <c r="Y23" s="2" t="s">
        <v>1184</v>
      </c>
      <c r="Z23" s="2" t="s">
        <v>1185</v>
      </c>
      <c r="AA23" s="2">
        <v>2500</v>
      </c>
      <c r="AB23" s="2">
        <v>200</v>
      </c>
      <c r="AC23" s="2">
        <v>500</v>
      </c>
      <c r="AD23" s="2">
        <v>200</v>
      </c>
      <c r="AE23" s="2">
        <f t="shared" si="0"/>
        <v>3000</v>
      </c>
      <c r="AF23" s="2">
        <v>1000</v>
      </c>
      <c r="AG23" s="4">
        <v>45325</v>
      </c>
      <c r="AH23" s="2">
        <f t="shared" si="1"/>
        <v>2000</v>
      </c>
      <c r="AI23" s="2">
        <v>1000</v>
      </c>
      <c r="AJ23" s="4">
        <v>45354</v>
      </c>
      <c r="AK23" s="2">
        <f t="shared" si="2"/>
        <v>1000</v>
      </c>
      <c r="AL23" s="2">
        <v>500</v>
      </c>
      <c r="AM23" s="4">
        <v>45385</v>
      </c>
      <c r="AN23" s="2">
        <f t="shared" si="3"/>
        <v>500</v>
      </c>
      <c r="AO23" s="2" cm="1">
        <f t="array" ref="AO23">_xlfn.IFS(AN23&gt;=5000,3000,AN23&gt;=2000,1000,AN23&gt;=500,500,AN23&lt;500,AN23)</f>
        <v>500</v>
      </c>
      <c r="AP23" s="4">
        <v>45415</v>
      </c>
      <c r="AQ23" s="2">
        <f t="shared" si="4"/>
        <v>0</v>
      </c>
      <c r="AR23" s="2" t="s">
        <v>1200</v>
      </c>
      <c r="AS23" s="4" t="s">
        <v>1200</v>
      </c>
      <c r="AT23" s="2" t="str">
        <f t="shared" si="5"/>
        <v/>
      </c>
      <c r="AU23" s="2" t="s">
        <v>1200</v>
      </c>
      <c r="AV23" s="4" t="s">
        <v>1200</v>
      </c>
      <c r="AW23" s="2" t="s">
        <v>1200</v>
      </c>
      <c r="AX23" s="2">
        <f t="shared" si="6"/>
        <v>3000</v>
      </c>
      <c r="AY23" s="2">
        <f t="shared" si="7"/>
        <v>0</v>
      </c>
      <c r="AZ23" s="2" t="str">
        <f t="shared" si="8"/>
        <v>Paid</v>
      </c>
      <c r="BA23" s="9" t="str" cm="1">
        <f t="array" ref="BA23">_xlfn.IFS(AZ23="Paid","R",AZ23="Unpaid","Q")</f>
        <v>R</v>
      </c>
      <c r="BB23" s="8" t="s">
        <v>2815</v>
      </c>
    </row>
    <row r="24" spans="1:54" x14ac:dyDescent="0.25">
      <c r="A24" s="2">
        <v>23</v>
      </c>
      <c r="B24" s="2">
        <v>23</v>
      </c>
      <c r="C24" s="2" t="s">
        <v>66</v>
      </c>
      <c r="D24" s="2" t="s">
        <v>1684</v>
      </c>
      <c r="E24" s="2" t="s">
        <v>67</v>
      </c>
      <c r="F24" s="4">
        <v>45315</v>
      </c>
      <c r="G24" s="8" t="s">
        <v>38</v>
      </c>
      <c r="H24" s="8" t="s">
        <v>1246</v>
      </c>
      <c r="I24" s="2" t="s">
        <v>9</v>
      </c>
      <c r="J24" s="2" t="s">
        <v>15</v>
      </c>
      <c r="K24" s="2" t="s">
        <v>795</v>
      </c>
      <c r="L24" s="2" t="s">
        <v>1257</v>
      </c>
      <c r="M24" s="2" t="s">
        <v>1261</v>
      </c>
      <c r="N24" s="2" t="s">
        <v>2038</v>
      </c>
      <c r="O24" s="4">
        <v>38641</v>
      </c>
      <c r="P24" s="2" t="s">
        <v>2433</v>
      </c>
      <c r="Q24" s="2" t="s">
        <v>2434</v>
      </c>
      <c r="R24" s="2" t="s">
        <v>2393</v>
      </c>
      <c r="S24" s="2" t="s">
        <v>820</v>
      </c>
      <c r="T24" s="2" t="s">
        <v>1310</v>
      </c>
      <c r="U24" s="2" t="s">
        <v>1278</v>
      </c>
      <c r="V24" s="2">
        <v>9359693036</v>
      </c>
      <c r="W24" s="2" t="s">
        <v>825</v>
      </c>
      <c r="X24" s="2" t="s">
        <v>1183</v>
      </c>
      <c r="Y24" s="2" t="s">
        <v>1184</v>
      </c>
      <c r="Z24" s="2" t="s">
        <v>1185</v>
      </c>
      <c r="AA24" s="2">
        <v>6000</v>
      </c>
      <c r="AB24" s="2">
        <v>200</v>
      </c>
      <c r="AC24" s="2">
        <v>800</v>
      </c>
      <c r="AD24" s="2">
        <v>0</v>
      </c>
      <c r="AE24" s="2">
        <f t="shared" si="0"/>
        <v>7000</v>
      </c>
      <c r="AF24" s="2">
        <v>2500</v>
      </c>
      <c r="AG24" s="4">
        <v>45325</v>
      </c>
      <c r="AH24" s="2">
        <f t="shared" si="1"/>
        <v>4500</v>
      </c>
      <c r="AI24" s="2">
        <v>1000</v>
      </c>
      <c r="AJ24" s="4">
        <v>45354</v>
      </c>
      <c r="AK24" s="2">
        <f t="shared" si="2"/>
        <v>3500</v>
      </c>
      <c r="AL24" s="2">
        <v>1000</v>
      </c>
      <c r="AM24" s="4">
        <v>45385</v>
      </c>
      <c r="AN24" s="2">
        <f t="shared" si="3"/>
        <v>2500</v>
      </c>
      <c r="AO24" s="2" cm="1">
        <f t="array" ref="AO24">_xlfn.IFS(AN24&gt;=5000,3000,AN24&gt;=2000,1000,AN24&gt;=500,500,AN24&lt;500,AN24)</f>
        <v>1000</v>
      </c>
      <c r="AP24" s="4">
        <v>45415</v>
      </c>
      <c r="AQ24" s="2">
        <f t="shared" si="4"/>
        <v>1500</v>
      </c>
      <c r="AR24" s="2">
        <v>1000</v>
      </c>
      <c r="AS24" s="4">
        <v>45446</v>
      </c>
      <c r="AT24" s="2">
        <f t="shared" si="5"/>
        <v>500</v>
      </c>
      <c r="AU24" s="2">
        <v>500</v>
      </c>
      <c r="AV24" s="4">
        <v>45476</v>
      </c>
      <c r="AW24" s="2">
        <v>0</v>
      </c>
      <c r="AX24" s="2">
        <f t="shared" si="6"/>
        <v>7000</v>
      </c>
      <c r="AY24" s="2">
        <f t="shared" si="7"/>
        <v>0</v>
      </c>
      <c r="AZ24" s="2" t="str">
        <f t="shared" si="8"/>
        <v>Paid</v>
      </c>
      <c r="BA24" s="9" t="str" cm="1">
        <f t="array" ref="BA24">_xlfn.IFS(AZ24="Paid","R",AZ24="Unpaid","Q")</f>
        <v>R</v>
      </c>
      <c r="BB24" s="8" t="s">
        <v>2815</v>
      </c>
    </row>
    <row r="25" spans="1:54" x14ac:dyDescent="0.25">
      <c r="A25" s="2">
        <v>24</v>
      </c>
      <c r="B25" s="2">
        <v>24</v>
      </c>
      <c r="C25" s="2" t="s">
        <v>68</v>
      </c>
      <c r="D25" s="2" t="s">
        <v>1685</v>
      </c>
      <c r="E25" s="2" t="s">
        <v>69</v>
      </c>
      <c r="F25" s="4">
        <v>45315</v>
      </c>
      <c r="G25" s="8" t="s">
        <v>70</v>
      </c>
      <c r="H25" s="8" t="s">
        <v>1247</v>
      </c>
      <c r="I25" s="2" t="s">
        <v>9</v>
      </c>
      <c r="J25" s="2" t="s">
        <v>15</v>
      </c>
      <c r="K25" s="2" t="s">
        <v>795</v>
      </c>
      <c r="L25" s="2" t="s">
        <v>1256</v>
      </c>
      <c r="M25" s="2" t="s">
        <v>1263</v>
      </c>
      <c r="N25" s="2" t="s">
        <v>2039</v>
      </c>
      <c r="O25" s="4">
        <v>38235</v>
      </c>
      <c r="P25" s="2" t="s">
        <v>2435</v>
      </c>
      <c r="Q25" s="2" t="s">
        <v>2405</v>
      </c>
      <c r="R25" s="2" t="s">
        <v>2393</v>
      </c>
      <c r="S25" s="2" t="s">
        <v>796</v>
      </c>
      <c r="T25" s="2" t="s">
        <v>1311</v>
      </c>
      <c r="U25" s="2" t="s">
        <v>1277</v>
      </c>
      <c r="V25" s="2">
        <v>8530617496</v>
      </c>
      <c r="W25" s="2" t="s">
        <v>826</v>
      </c>
      <c r="X25" s="2" t="s">
        <v>811</v>
      </c>
      <c r="Y25" s="2" t="s">
        <v>1184</v>
      </c>
      <c r="Z25" s="2" t="s">
        <v>1185</v>
      </c>
      <c r="AA25" s="2">
        <v>8000</v>
      </c>
      <c r="AB25" s="2">
        <v>200</v>
      </c>
      <c r="AC25" s="2">
        <v>1000</v>
      </c>
      <c r="AD25" s="2">
        <v>500</v>
      </c>
      <c r="AE25" s="2">
        <f t="shared" si="0"/>
        <v>8700</v>
      </c>
      <c r="AF25" s="2">
        <v>2500</v>
      </c>
      <c r="AG25" s="4">
        <v>45325</v>
      </c>
      <c r="AH25" s="2">
        <f t="shared" si="1"/>
        <v>6200</v>
      </c>
      <c r="AI25" s="2">
        <v>3000</v>
      </c>
      <c r="AJ25" s="4">
        <v>45354</v>
      </c>
      <c r="AK25" s="2">
        <f t="shared" si="2"/>
        <v>3200</v>
      </c>
      <c r="AL25" s="2">
        <v>1000</v>
      </c>
      <c r="AM25" s="4">
        <v>45385</v>
      </c>
      <c r="AN25" s="2">
        <f t="shared" si="3"/>
        <v>2200</v>
      </c>
      <c r="AO25" s="2" cm="1">
        <f t="array" ref="AO25">_xlfn.IFS(AN25&gt;=5000,3000,AN25&gt;=2000,1000,AN25&gt;=500,500,AN25&lt;500,AN25)</f>
        <v>1000</v>
      </c>
      <c r="AP25" s="4">
        <v>45415</v>
      </c>
      <c r="AQ25" s="2">
        <f t="shared" si="4"/>
        <v>1200</v>
      </c>
      <c r="AR25" s="2">
        <v>1000</v>
      </c>
      <c r="AS25" s="4">
        <v>45446</v>
      </c>
      <c r="AT25" s="2">
        <f t="shared" si="5"/>
        <v>200</v>
      </c>
      <c r="AU25" s="2">
        <v>200</v>
      </c>
      <c r="AV25" s="4">
        <v>45476</v>
      </c>
      <c r="AW25" s="2">
        <v>0</v>
      </c>
      <c r="AX25" s="2">
        <f t="shared" si="6"/>
        <v>8700</v>
      </c>
      <c r="AY25" s="2">
        <f t="shared" si="7"/>
        <v>0</v>
      </c>
      <c r="AZ25" s="2" t="str">
        <f t="shared" si="8"/>
        <v>Paid</v>
      </c>
      <c r="BA25" s="9" t="str" cm="1">
        <f t="array" ref="BA25">_xlfn.IFS(AZ25="Paid","R",AZ25="Unpaid","Q")</f>
        <v>R</v>
      </c>
      <c r="BB25" s="8" t="s">
        <v>2815</v>
      </c>
    </row>
    <row r="26" spans="1:54" x14ac:dyDescent="0.25">
      <c r="A26" s="2">
        <v>25</v>
      </c>
      <c r="B26" s="2">
        <v>25</v>
      </c>
      <c r="C26" s="2" t="s">
        <v>71</v>
      </c>
      <c r="D26" s="2" t="s">
        <v>1686</v>
      </c>
      <c r="E26" s="2" t="s">
        <v>72</v>
      </c>
      <c r="F26" s="4">
        <v>45317</v>
      </c>
      <c r="G26" s="8" t="s">
        <v>35</v>
      </c>
      <c r="H26" s="8" t="s">
        <v>1244</v>
      </c>
      <c r="I26" s="2" t="s">
        <v>14</v>
      </c>
      <c r="J26" s="2" t="s">
        <v>15</v>
      </c>
      <c r="K26" s="2" t="s">
        <v>791</v>
      </c>
      <c r="L26" s="2" t="s">
        <v>1260</v>
      </c>
      <c r="M26" s="2" t="s">
        <v>1261</v>
      </c>
      <c r="N26" s="2" t="s">
        <v>2040</v>
      </c>
      <c r="O26" s="4">
        <v>35760</v>
      </c>
      <c r="P26" s="2" t="s">
        <v>2436</v>
      </c>
      <c r="Q26" s="2" t="s">
        <v>2437</v>
      </c>
      <c r="R26" s="2" t="s">
        <v>2393</v>
      </c>
      <c r="S26" s="2" t="s">
        <v>788</v>
      </c>
      <c r="T26" s="2" t="s">
        <v>1312</v>
      </c>
      <c r="U26" s="2" t="s">
        <v>1279</v>
      </c>
      <c r="V26" s="2">
        <v>7592921085</v>
      </c>
      <c r="W26" s="2" t="s">
        <v>827</v>
      </c>
      <c r="X26" s="2" t="s">
        <v>811</v>
      </c>
      <c r="Y26" s="2" t="s">
        <v>1184</v>
      </c>
      <c r="Z26" s="2" t="s">
        <v>1185</v>
      </c>
      <c r="AA26" s="2">
        <v>3000</v>
      </c>
      <c r="AB26" s="2">
        <v>200</v>
      </c>
      <c r="AC26" s="2">
        <v>500</v>
      </c>
      <c r="AD26" s="2">
        <v>0</v>
      </c>
      <c r="AE26" s="2">
        <f t="shared" si="0"/>
        <v>3700</v>
      </c>
      <c r="AF26" s="2">
        <v>1000</v>
      </c>
      <c r="AG26" s="4">
        <v>45327</v>
      </c>
      <c r="AH26" s="2">
        <f t="shared" si="1"/>
        <v>2700</v>
      </c>
      <c r="AI26" s="2">
        <v>1000</v>
      </c>
      <c r="AJ26" s="4">
        <v>45356</v>
      </c>
      <c r="AK26" s="2">
        <f t="shared" si="2"/>
        <v>1700</v>
      </c>
      <c r="AL26" s="2">
        <v>500</v>
      </c>
      <c r="AM26" s="4">
        <v>45387</v>
      </c>
      <c r="AN26" s="2">
        <f t="shared" si="3"/>
        <v>1200</v>
      </c>
      <c r="AO26" s="2" cm="1">
        <f t="array" ref="AO26">_xlfn.IFS(AN26&gt;=5000,3000,AN26&gt;=2000,1000,AN26&gt;=500,500,AN26&lt;500,AN26)</f>
        <v>500</v>
      </c>
      <c r="AP26" s="4">
        <v>45417</v>
      </c>
      <c r="AQ26" s="2">
        <f t="shared" si="4"/>
        <v>700</v>
      </c>
      <c r="AR26" s="2">
        <v>500</v>
      </c>
      <c r="AS26" s="4">
        <v>45448</v>
      </c>
      <c r="AT26" s="2">
        <f t="shared" si="5"/>
        <v>200</v>
      </c>
      <c r="AU26" s="2">
        <v>200</v>
      </c>
      <c r="AV26" s="4">
        <v>45478</v>
      </c>
      <c r="AW26" s="2">
        <v>0</v>
      </c>
      <c r="AX26" s="2">
        <f t="shared" si="6"/>
        <v>3700</v>
      </c>
      <c r="AY26" s="2">
        <f t="shared" si="7"/>
        <v>0</v>
      </c>
      <c r="AZ26" s="2" t="str">
        <f t="shared" si="8"/>
        <v>Paid</v>
      </c>
      <c r="BA26" s="9" t="str" cm="1">
        <f t="array" ref="BA26">_xlfn.IFS(AZ26="Paid","R",AZ26="Unpaid","Q")</f>
        <v>R</v>
      </c>
      <c r="BB26" s="8" t="s">
        <v>2815</v>
      </c>
    </row>
    <row r="27" spans="1:54" x14ac:dyDescent="0.25">
      <c r="A27" s="2">
        <v>26</v>
      </c>
      <c r="B27" s="2">
        <v>26</v>
      </c>
      <c r="C27" s="2" t="s">
        <v>73</v>
      </c>
      <c r="D27" s="2" t="s">
        <v>1687</v>
      </c>
      <c r="E27" s="2" t="s">
        <v>74</v>
      </c>
      <c r="F27" s="4">
        <v>45323</v>
      </c>
      <c r="G27" s="8" t="s">
        <v>48</v>
      </c>
      <c r="H27" s="8" t="s">
        <v>1251</v>
      </c>
      <c r="I27" s="2" t="s">
        <v>14</v>
      </c>
      <c r="J27" s="2" t="s">
        <v>15</v>
      </c>
      <c r="K27" s="2" t="s">
        <v>791</v>
      </c>
      <c r="L27" s="2" t="s">
        <v>1259</v>
      </c>
      <c r="M27" s="2" t="s">
        <v>1262</v>
      </c>
      <c r="N27" s="2" t="s">
        <v>2041</v>
      </c>
      <c r="O27" s="4">
        <v>33393</v>
      </c>
      <c r="P27" s="2" t="s">
        <v>2438</v>
      </c>
      <c r="Q27" s="2" t="s">
        <v>2439</v>
      </c>
      <c r="R27" s="2" t="s">
        <v>2393</v>
      </c>
      <c r="S27" s="2" t="s">
        <v>788</v>
      </c>
      <c r="T27" s="2" t="s">
        <v>1313</v>
      </c>
      <c r="U27" s="2" t="s">
        <v>1267</v>
      </c>
      <c r="V27" s="2">
        <v>9403309516</v>
      </c>
      <c r="W27" s="2" t="s">
        <v>828</v>
      </c>
      <c r="X27" s="2" t="s">
        <v>811</v>
      </c>
      <c r="Y27" s="2" t="s">
        <v>1184</v>
      </c>
      <c r="Z27" s="2" t="s">
        <v>1185</v>
      </c>
      <c r="AA27" s="2">
        <v>3000</v>
      </c>
      <c r="AB27" s="2">
        <v>200</v>
      </c>
      <c r="AC27" s="2">
        <v>500</v>
      </c>
      <c r="AD27" s="2">
        <v>200</v>
      </c>
      <c r="AE27" s="2">
        <f t="shared" si="0"/>
        <v>3500</v>
      </c>
      <c r="AF27" s="2">
        <v>1000</v>
      </c>
      <c r="AG27" s="4">
        <v>45333</v>
      </c>
      <c r="AH27" s="2">
        <f t="shared" si="1"/>
        <v>2500</v>
      </c>
      <c r="AI27" s="2">
        <v>1000</v>
      </c>
      <c r="AJ27" s="4">
        <v>45362</v>
      </c>
      <c r="AK27" s="2">
        <f t="shared" si="2"/>
        <v>1500</v>
      </c>
      <c r="AL27" s="2">
        <v>500</v>
      </c>
      <c r="AM27" s="4">
        <v>45393</v>
      </c>
      <c r="AN27" s="2">
        <f t="shared" si="3"/>
        <v>1000</v>
      </c>
      <c r="AO27" s="2" cm="1">
        <f t="array" ref="AO27">_xlfn.IFS(AN27&gt;=5000,3000,AN27&gt;=2000,1000,AN27&gt;=500,500,AN27&lt;500,AN27)</f>
        <v>500</v>
      </c>
      <c r="AP27" s="4">
        <v>45423</v>
      </c>
      <c r="AQ27" s="2">
        <f t="shared" si="4"/>
        <v>500</v>
      </c>
      <c r="AR27" s="2">
        <v>500</v>
      </c>
      <c r="AS27" s="4">
        <v>45454</v>
      </c>
      <c r="AT27" s="2">
        <f t="shared" si="5"/>
        <v>0</v>
      </c>
      <c r="AU27" s="2" t="s">
        <v>1200</v>
      </c>
      <c r="AV27" s="4" t="s">
        <v>1200</v>
      </c>
      <c r="AW27" s="2" t="s">
        <v>1200</v>
      </c>
      <c r="AX27" s="2">
        <f t="shared" si="6"/>
        <v>3500</v>
      </c>
      <c r="AY27" s="2">
        <f t="shared" si="7"/>
        <v>0</v>
      </c>
      <c r="AZ27" s="2" t="str">
        <f t="shared" si="8"/>
        <v>Paid</v>
      </c>
      <c r="BA27" s="9" t="str" cm="1">
        <f t="array" ref="BA27">_xlfn.IFS(AZ27="Paid","R",AZ27="Unpaid","Q")</f>
        <v>R</v>
      </c>
      <c r="BB27" s="8" t="s">
        <v>2815</v>
      </c>
    </row>
    <row r="28" spans="1:54" x14ac:dyDescent="0.25">
      <c r="A28" s="2">
        <v>27</v>
      </c>
      <c r="B28" s="2">
        <v>27</v>
      </c>
      <c r="C28" s="2" t="s">
        <v>75</v>
      </c>
      <c r="D28" s="2" t="s">
        <v>1688</v>
      </c>
      <c r="E28" s="2" t="s">
        <v>76</v>
      </c>
      <c r="F28" s="4">
        <v>45324</v>
      </c>
      <c r="G28" s="8" t="s">
        <v>32</v>
      </c>
      <c r="H28" s="8" t="s">
        <v>1249</v>
      </c>
      <c r="I28" s="2" t="s">
        <v>14</v>
      </c>
      <c r="J28" s="2" t="s">
        <v>15</v>
      </c>
      <c r="K28" s="2" t="s">
        <v>791</v>
      </c>
      <c r="L28" s="2" t="s">
        <v>1260</v>
      </c>
      <c r="M28" s="2" t="s">
        <v>1261</v>
      </c>
      <c r="N28" s="2" t="s">
        <v>2042</v>
      </c>
      <c r="O28" s="4">
        <v>39686</v>
      </c>
      <c r="P28" s="2" t="s">
        <v>2440</v>
      </c>
      <c r="Q28" s="2" t="s">
        <v>2441</v>
      </c>
      <c r="R28" s="2" t="s">
        <v>2393</v>
      </c>
      <c r="S28" s="2" t="s">
        <v>796</v>
      </c>
      <c r="T28" s="2" t="s">
        <v>1314</v>
      </c>
      <c r="U28" s="2" t="s">
        <v>1280</v>
      </c>
      <c r="V28" s="2">
        <v>9503062561</v>
      </c>
      <c r="W28" s="2" t="s">
        <v>829</v>
      </c>
      <c r="X28" s="2" t="s">
        <v>790</v>
      </c>
      <c r="Y28" s="2" t="s">
        <v>1184</v>
      </c>
      <c r="Z28" s="2" t="s">
        <v>1185</v>
      </c>
      <c r="AA28" s="2">
        <v>2000</v>
      </c>
      <c r="AB28" s="2">
        <v>200</v>
      </c>
      <c r="AC28" s="2">
        <v>300</v>
      </c>
      <c r="AD28" s="2">
        <v>200</v>
      </c>
      <c r="AE28" s="2">
        <f t="shared" si="0"/>
        <v>2300</v>
      </c>
      <c r="AF28" s="2">
        <v>500</v>
      </c>
      <c r="AG28" s="4">
        <v>45334</v>
      </c>
      <c r="AH28" s="2">
        <f t="shared" si="1"/>
        <v>1800</v>
      </c>
      <c r="AI28" s="2">
        <v>500</v>
      </c>
      <c r="AJ28" s="4">
        <v>45363</v>
      </c>
      <c r="AK28" s="2">
        <f t="shared" si="2"/>
        <v>1300</v>
      </c>
      <c r="AL28" s="2">
        <v>500</v>
      </c>
      <c r="AM28" s="4">
        <v>45394</v>
      </c>
      <c r="AN28" s="2">
        <f t="shared" si="3"/>
        <v>800</v>
      </c>
      <c r="AO28" s="2" cm="1">
        <f t="array" ref="AO28">_xlfn.IFS(AN28&gt;=5000,3000,AN28&gt;=2000,1000,AN28&gt;=500,500,AN28&lt;500,AN28)</f>
        <v>500</v>
      </c>
      <c r="AP28" s="4">
        <v>45424</v>
      </c>
      <c r="AQ28" s="2">
        <f t="shared" si="4"/>
        <v>300</v>
      </c>
      <c r="AR28" s="2">
        <v>300</v>
      </c>
      <c r="AS28" s="4">
        <v>45455</v>
      </c>
      <c r="AT28" s="2">
        <f t="shared" si="5"/>
        <v>0</v>
      </c>
      <c r="AU28" s="2" t="s">
        <v>1200</v>
      </c>
      <c r="AV28" s="4" t="s">
        <v>1200</v>
      </c>
      <c r="AW28" s="2" t="s">
        <v>1200</v>
      </c>
      <c r="AX28" s="2">
        <f t="shared" si="6"/>
        <v>2300</v>
      </c>
      <c r="AY28" s="2">
        <f t="shared" si="7"/>
        <v>0</v>
      </c>
      <c r="AZ28" s="2" t="str">
        <f t="shared" si="8"/>
        <v>Paid</v>
      </c>
      <c r="BA28" s="9" t="str" cm="1">
        <f t="array" ref="BA28">_xlfn.IFS(AZ28="Paid","R",AZ28="Unpaid","Q")</f>
        <v>R</v>
      </c>
      <c r="BB28" s="8" t="s">
        <v>2815</v>
      </c>
    </row>
    <row r="29" spans="1:54" x14ac:dyDescent="0.25">
      <c r="A29" s="2">
        <v>28</v>
      </c>
      <c r="B29" s="2">
        <v>28</v>
      </c>
      <c r="C29" s="2" t="s">
        <v>77</v>
      </c>
      <c r="D29" s="2" t="s">
        <v>1689</v>
      </c>
      <c r="E29" s="2" t="s">
        <v>78</v>
      </c>
      <c r="F29" s="4">
        <v>45324</v>
      </c>
      <c r="G29" s="8" t="s">
        <v>26</v>
      </c>
      <c r="H29" s="8" t="s">
        <v>1243</v>
      </c>
      <c r="I29" s="2" t="s">
        <v>9</v>
      </c>
      <c r="J29" s="2" t="s">
        <v>10</v>
      </c>
      <c r="K29" s="2" t="s">
        <v>787</v>
      </c>
      <c r="L29" s="2" t="s">
        <v>1258</v>
      </c>
      <c r="M29" s="2" t="s">
        <v>1264</v>
      </c>
      <c r="N29" s="2" t="s">
        <v>2043</v>
      </c>
      <c r="O29" s="4">
        <v>37202</v>
      </c>
      <c r="P29" s="2" t="s">
        <v>2226</v>
      </c>
      <c r="Q29" s="2" t="s">
        <v>2442</v>
      </c>
      <c r="R29" s="2" t="s">
        <v>2393</v>
      </c>
      <c r="S29" s="2" t="s">
        <v>788</v>
      </c>
      <c r="T29" s="2" t="s">
        <v>1315</v>
      </c>
      <c r="U29" s="2" t="s">
        <v>1268</v>
      </c>
      <c r="V29" s="2">
        <v>9485979761</v>
      </c>
      <c r="W29" s="2" t="s">
        <v>830</v>
      </c>
      <c r="X29" s="2" t="s">
        <v>813</v>
      </c>
      <c r="Y29" s="2" t="s">
        <v>1184</v>
      </c>
      <c r="Z29" s="2" t="s">
        <v>1185</v>
      </c>
      <c r="AA29" s="2">
        <v>15000</v>
      </c>
      <c r="AB29" s="2">
        <v>200</v>
      </c>
      <c r="AC29" s="2">
        <v>1200</v>
      </c>
      <c r="AD29" s="2">
        <v>200</v>
      </c>
      <c r="AE29" s="2">
        <f t="shared" si="0"/>
        <v>16200</v>
      </c>
      <c r="AF29" s="2">
        <v>5000</v>
      </c>
      <c r="AG29" s="4">
        <v>45334</v>
      </c>
      <c r="AH29" s="2">
        <f t="shared" si="1"/>
        <v>11200</v>
      </c>
      <c r="AI29" s="2">
        <v>3000</v>
      </c>
      <c r="AJ29" s="4">
        <v>45363</v>
      </c>
      <c r="AK29" s="2">
        <f t="shared" si="2"/>
        <v>8200</v>
      </c>
      <c r="AL29" s="2">
        <v>3000</v>
      </c>
      <c r="AM29" s="4">
        <v>45394</v>
      </c>
      <c r="AN29" s="2">
        <f t="shared" si="3"/>
        <v>5200</v>
      </c>
      <c r="AO29" s="2" cm="1">
        <f t="array" ref="AO29">_xlfn.IFS(AN29&gt;=5000,3000,AN29&gt;=2000,1000,AN29&gt;=500,500,AN29&lt;500,AN29)</f>
        <v>3000</v>
      </c>
      <c r="AP29" s="4">
        <v>45424</v>
      </c>
      <c r="AQ29" s="2">
        <f t="shared" si="4"/>
        <v>2200</v>
      </c>
      <c r="AR29" s="2">
        <v>2000</v>
      </c>
      <c r="AS29" s="4">
        <v>45455</v>
      </c>
      <c r="AT29" s="2">
        <f t="shared" si="5"/>
        <v>200</v>
      </c>
      <c r="AU29" s="2">
        <v>200</v>
      </c>
      <c r="AV29" s="4">
        <v>45485</v>
      </c>
      <c r="AW29" s="2">
        <v>0</v>
      </c>
      <c r="AX29" s="2">
        <f t="shared" si="6"/>
        <v>16200</v>
      </c>
      <c r="AY29" s="2">
        <f t="shared" si="7"/>
        <v>0</v>
      </c>
      <c r="AZ29" s="2" t="str">
        <f t="shared" si="8"/>
        <v>Paid</v>
      </c>
      <c r="BA29" s="9" t="str" cm="1">
        <f t="array" ref="BA29">_xlfn.IFS(AZ29="Paid","R",AZ29="Unpaid","Q")</f>
        <v>R</v>
      </c>
      <c r="BB29" s="8" t="s">
        <v>2815</v>
      </c>
    </row>
    <row r="30" spans="1:54" x14ac:dyDescent="0.25">
      <c r="A30" s="2">
        <v>29</v>
      </c>
      <c r="B30" s="2">
        <v>29</v>
      </c>
      <c r="C30" s="2" t="s">
        <v>79</v>
      </c>
      <c r="D30" s="2" t="s">
        <v>1690</v>
      </c>
      <c r="E30" s="2" t="s">
        <v>80</v>
      </c>
      <c r="F30" s="4">
        <v>45324</v>
      </c>
      <c r="G30" s="8" t="s">
        <v>45</v>
      </c>
      <c r="H30" s="8" t="s">
        <v>1250</v>
      </c>
      <c r="I30" s="2" t="s">
        <v>14</v>
      </c>
      <c r="J30" s="2" t="s">
        <v>15</v>
      </c>
      <c r="K30" s="2" t="s">
        <v>791</v>
      </c>
      <c r="L30" s="2" t="s">
        <v>1260</v>
      </c>
      <c r="M30" s="2" t="s">
        <v>1261</v>
      </c>
      <c r="N30" s="2" t="s">
        <v>2044</v>
      </c>
      <c r="O30" s="4">
        <v>36232</v>
      </c>
      <c r="P30" s="2" t="s">
        <v>2443</v>
      </c>
      <c r="Q30" s="2" t="s">
        <v>2444</v>
      </c>
      <c r="R30" s="2" t="s">
        <v>2393</v>
      </c>
      <c r="S30" s="2" t="s">
        <v>788</v>
      </c>
      <c r="T30" s="2" t="s">
        <v>1316</v>
      </c>
      <c r="U30" s="2" t="s">
        <v>1268</v>
      </c>
      <c r="V30" s="2">
        <v>8151407950</v>
      </c>
      <c r="W30" s="2" t="s">
        <v>831</v>
      </c>
      <c r="X30" s="2" t="s">
        <v>811</v>
      </c>
      <c r="Y30" s="2" t="s">
        <v>1184</v>
      </c>
      <c r="Z30" s="2" t="s">
        <v>1185</v>
      </c>
      <c r="AA30" s="2">
        <v>2000</v>
      </c>
      <c r="AB30" s="2">
        <v>200</v>
      </c>
      <c r="AC30" s="2">
        <v>300</v>
      </c>
      <c r="AD30" s="2">
        <v>200</v>
      </c>
      <c r="AE30" s="2">
        <f t="shared" si="0"/>
        <v>2300</v>
      </c>
      <c r="AF30" s="2">
        <v>500</v>
      </c>
      <c r="AG30" s="4">
        <v>45334</v>
      </c>
      <c r="AH30" s="2">
        <f t="shared" si="1"/>
        <v>1800</v>
      </c>
      <c r="AI30" s="2">
        <v>500</v>
      </c>
      <c r="AJ30" s="4">
        <v>45363</v>
      </c>
      <c r="AK30" s="2">
        <f t="shared" si="2"/>
        <v>1300</v>
      </c>
      <c r="AL30" s="2">
        <v>500</v>
      </c>
      <c r="AM30" s="4">
        <v>45394</v>
      </c>
      <c r="AN30" s="2">
        <f t="shared" si="3"/>
        <v>800</v>
      </c>
      <c r="AO30" s="2" cm="1">
        <f t="array" ref="AO30">_xlfn.IFS(AN30&gt;=5000,3000,AN30&gt;=2000,1000,AN30&gt;=500,500,AN30&lt;500,AN30)</f>
        <v>500</v>
      </c>
      <c r="AP30" s="4">
        <v>45424</v>
      </c>
      <c r="AQ30" s="2">
        <f t="shared" si="4"/>
        <v>300</v>
      </c>
      <c r="AR30" s="2">
        <v>300</v>
      </c>
      <c r="AS30" s="4">
        <v>45455</v>
      </c>
      <c r="AT30" s="2">
        <f t="shared" si="5"/>
        <v>0</v>
      </c>
      <c r="AU30" s="2" t="s">
        <v>1200</v>
      </c>
      <c r="AV30" s="4" t="s">
        <v>1200</v>
      </c>
      <c r="AW30" s="2" t="s">
        <v>1200</v>
      </c>
      <c r="AX30" s="2">
        <f t="shared" si="6"/>
        <v>2300</v>
      </c>
      <c r="AY30" s="2">
        <f t="shared" si="7"/>
        <v>0</v>
      </c>
      <c r="AZ30" s="2" t="str">
        <f t="shared" si="8"/>
        <v>Paid</v>
      </c>
      <c r="BA30" s="9" t="str" cm="1">
        <f t="array" ref="BA30">_xlfn.IFS(AZ30="Paid","R",AZ30="Unpaid","Q")</f>
        <v>R</v>
      </c>
      <c r="BB30" s="8" t="s">
        <v>2815</v>
      </c>
    </row>
    <row r="31" spans="1:54" x14ac:dyDescent="0.25">
      <c r="A31" s="2">
        <v>30</v>
      </c>
      <c r="B31" s="2">
        <v>30</v>
      </c>
      <c r="C31" s="2" t="s">
        <v>81</v>
      </c>
      <c r="D31" s="2" t="s">
        <v>1691</v>
      </c>
      <c r="E31" s="2" t="s">
        <v>82</v>
      </c>
      <c r="F31" s="4">
        <v>45327</v>
      </c>
      <c r="G31" s="8" t="s">
        <v>65</v>
      </c>
      <c r="H31" s="8" t="s">
        <v>65</v>
      </c>
      <c r="I31" s="2" t="s">
        <v>14</v>
      </c>
      <c r="J31" s="2" t="s">
        <v>15</v>
      </c>
      <c r="K31" s="2" t="s">
        <v>791</v>
      </c>
      <c r="L31" s="2" t="s">
        <v>1259</v>
      </c>
      <c r="M31" s="2" t="s">
        <v>1262</v>
      </c>
      <c r="N31" s="2" t="s">
        <v>2045</v>
      </c>
      <c r="O31" s="4">
        <v>39850</v>
      </c>
      <c r="P31" s="2" t="s">
        <v>2445</v>
      </c>
      <c r="Q31" s="2" t="s">
        <v>2446</v>
      </c>
      <c r="R31" s="2" t="s">
        <v>2396</v>
      </c>
      <c r="S31" s="2" t="s">
        <v>820</v>
      </c>
      <c r="T31" s="2" t="s">
        <v>1317</v>
      </c>
      <c r="U31" s="2" t="s">
        <v>1270</v>
      </c>
      <c r="V31" s="2">
        <v>9276461695</v>
      </c>
      <c r="W31" s="2" t="s">
        <v>832</v>
      </c>
      <c r="X31" s="2" t="s">
        <v>801</v>
      </c>
      <c r="Y31" s="2" t="s">
        <v>1184</v>
      </c>
      <c r="Z31" s="2" t="s">
        <v>1185</v>
      </c>
      <c r="AA31" s="2">
        <v>2500</v>
      </c>
      <c r="AB31" s="2">
        <v>200</v>
      </c>
      <c r="AC31" s="2">
        <v>500</v>
      </c>
      <c r="AD31" s="2">
        <v>500</v>
      </c>
      <c r="AE31" s="2">
        <f t="shared" si="0"/>
        <v>2700</v>
      </c>
      <c r="AF31" s="2">
        <v>1000</v>
      </c>
      <c r="AG31" s="4">
        <v>45337</v>
      </c>
      <c r="AH31" s="2">
        <f t="shared" si="1"/>
        <v>1700</v>
      </c>
      <c r="AI31" s="2">
        <v>500</v>
      </c>
      <c r="AJ31" s="4">
        <v>45366</v>
      </c>
      <c r="AK31" s="2">
        <f t="shared" si="2"/>
        <v>1200</v>
      </c>
      <c r="AL31" s="2">
        <v>500</v>
      </c>
      <c r="AM31" s="4">
        <v>45397</v>
      </c>
      <c r="AN31" s="2">
        <f t="shared" si="3"/>
        <v>700</v>
      </c>
      <c r="AO31" s="2" cm="1">
        <f t="array" ref="AO31">_xlfn.IFS(AN31&gt;=5000,3000,AN31&gt;=2000,1000,AN31&gt;=500,500,AN31&lt;500,AN31)</f>
        <v>500</v>
      </c>
      <c r="AP31" s="4">
        <v>45427</v>
      </c>
      <c r="AQ31" s="2">
        <f t="shared" si="4"/>
        <v>200</v>
      </c>
      <c r="AR31" s="2">
        <v>200</v>
      </c>
      <c r="AS31" s="4">
        <v>45458</v>
      </c>
      <c r="AT31" s="2">
        <f t="shared" si="5"/>
        <v>0</v>
      </c>
      <c r="AU31" s="2" t="s">
        <v>1200</v>
      </c>
      <c r="AV31" s="4" t="s">
        <v>1200</v>
      </c>
      <c r="AW31" s="2" t="s">
        <v>1200</v>
      </c>
      <c r="AX31" s="2">
        <f t="shared" si="6"/>
        <v>2700</v>
      </c>
      <c r="AY31" s="2">
        <f t="shared" si="7"/>
        <v>0</v>
      </c>
      <c r="AZ31" s="2" t="str">
        <f t="shared" si="8"/>
        <v>Paid</v>
      </c>
      <c r="BA31" s="9" t="str" cm="1">
        <f t="array" ref="BA31">_xlfn.IFS(AZ31="Paid","R",AZ31="Unpaid","Q")</f>
        <v>R</v>
      </c>
      <c r="BB31" s="8" t="s">
        <v>2815</v>
      </c>
    </row>
    <row r="32" spans="1:54" x14ac:dyDescent="0.25">
      <c r="A32" s="2">
        <v>31</v>
      </c>
      <c r="B32" s="2">
        <v>31</v>
      </c>
      <c r="C32" s="2" t="s">
        <v>83</v>
      </c>
      <c r="D32" s="2" t="s">
        <v>1692</v>
      </c>
      <c r="E32" s="2" t="s">
        <v>84</v>
      </c>
      <c r="F32" s="4">
        <v>45328</v>
      </c>
      <c r="G32" s="8" t="s">
        <v>8</v>
      </c>
      <c r="H32" s="8" t="s">
        <v>1242</v>
      </c>
      <c r="I32" s="2" t="s">
        <v>9</v>
      </c>
      <c r="J32" s="2" t="s">
        <v>10</v>
      </c>
      <c r="K32" s="2" t="s">
        <v>787</v>
      </c>
      <c r="L32" s="2" t="s">
        <v>1258</v>
      </c>
      <c r="M32" s="2" t="s">
        <v>1264</v>
      </c>
      <c r="N32" s="2" t="s">
        <v>2046</v>
      </c>
      <c r="O32" s="4">
        <v>33337</v>
      </c>
      <c r="P32" s="2" t="s">
        <v>2447</v>
      </c>
      <c r="Q32" s="2" t="s">
        <v>2442</v>
      </c>
      <c r="R32" s="2" t="s">
        <v>2393</v>
      </c>
      <c r="S32" s="2" t="s">
        <v>788</v>
      </c>
      <c r="T32" s="2" t="s">
        <v>1318</v>
      </c>
      <c r="U32" s="2" t="s">
        <v>1269</v>
      </c>
      <c r="V32" s="2">
        <v>9527690627</v>
      </c>
      <c r="W32" s="2" t="s">
        <v>833</v>
      </c>
      <c r="X32" s="2" t="s">
        <v>809</v>
      </c>
      <c r="Y32" s="2" t="s">
        <v>1184</v>
      </c>
      <c r="Z32" s="2" t="s">
        <v>1185</v>
      </c>
      <c r="AA32" s="2">
        <v>12500</v>
      </c>
      <c r="AB32" s="2">
        <v>200</v>
      </c>
      <c r="AC32" s="2">
        <v>1200</v>
      </c>
      <c r="AD32" s="2">
        <v>500</v>
      </c>
      <c r="AE32" s="2">
        <f t="shared" si="0"/>
        <v>13400</v>
      </c>
      <c r="AF32" s="2">
        <v>5000</v>
      </c>
      <c r="AG32" s="4">
        <v>45338</v>
      </c>
      <c r="AH32" s="2">
        <f t="shared" si="1"/>
        <v>8400</v>
      </c>
      <c r="AI32" s="2">
        <v>3000</v>
      </c>
      <c r="AJ32" s="4">
        <v>45367</v>
      </c>
      <c r="AK32" s="2">
        <f t="shared" si="2"/>
        <v>5400</v>
      </c>
      <c r="AL32" s="2">
        <v>3000</v>
      </c>
      <c r="AM32" s="4">
        <v>45398</v>
      </c>
      <c r="AN32" s="2">
        <f t="shared" si="3"/>
        <v>2400</v>
      </c>
      <c r="AO32" s="2" cm="1">
        <f t="array" ref="AO32">_xlfn.IFS(AN32&gt;=5000,3000,AN32&gt;=2000,1000,AN32&gt;=500,500,AN32&lt;500,AN32)</f>
        <v>1000</v>
      </c>
      <c r="AP32" s="4">
        <v>45428</v>
      </c>
      <c r="AQ32" s="2">
        <f t="shared" si="4"/>
        <v>1400</v>
      </c>
      <c r="AR32" s="2">
        <v>1000</v>
      </c>
      <c r="AS32" s="4">
        <v>45459</v>
      </c>
      <c r="AT32" s="2">
        <f t="shared" si="5"/>
        <v>400</v>
      </c>
      <c r="AU32" s="2">
        <v>400</v>
      </c>
      <c r="AV32" s="4">
        <v>45489</v>
      </c>
      <c r="AW32" s="2">
        <v>0</v>
      </c>
      <c r="AX32" s="2">
        <f t="shared" si="6"/>
        <v>13400</v>
      </c>
      <c r="AY32" s="2">
        <f t="shared" si="7"/>
        <v>0</v>
      </c>
      <c r="AZ32" s="2" t="str">
        <f t="shared" si="8"/>
        <v>Paid</v>
      </c>
      <c r="BA32" s="9" t="str" cm="1">
        <f t="array" ref="BA32">_xlfn.IFS(AZ32="Paid","R",AZ32="Unpaid","Q")</f>
        <v>R</v>
      </c>
      <c r="BB32" s="8" t="s">
        <v>2815</v>
      </c>
    </row>
    <row r="33" spans="1:54" x14ac:dyDescent="0.25">
      <c r="A33" s="2">
        <v>32</v>
      </c>
      <c r="B33" s="2">
        <v>32</v>
      </c>
      <c r="C33" s="2" t="s">
        <v>85</v>
      </c>
      <c r="D33" s="2" t="s">
        <v>1693</v>
      </c>
      <c r="E33" s="2" t="s">
        <v>86</v>
      </c>
      <c r="F33" s="4">
        <v>45328</v>
      </c>
      <c r="G33" s="8" t="s">
        <v>13</v>
      </c>
      <c r="H33" s="8" t="s">
        <v>1254</v>
      </c>
      <c r="I33" s="2" t="s">
        <v>14</v>
      </c>
      <c r="J33" s="2" t="s">
        <v>15</v>
      </c>
      <c r="K33" s="2" t="s">
        <v>791</v>
      </c>
      <c r="L33" s="2" t="s">
        <v>1256</v>
      </c>
      <c r="M33" s="2" t="s">
        <v>1263</v>
      </c>
      <c r="N33" s="2" t="s">
        <v>2047</v>
      </c>
      <c r="O33" s="4">
        <v>33615</v>
      </c>
      <c r="P33" s="2" t="s">
        <v>2448</v>
      </c>
      <c r="Q33" s="2" t="s">
        <v>2449</v>
      </c>
      <c r="R33" s="2" t="s">
        <v>2393</v>
      </c>
      <c r="S33" s="2" t="s">
        <v>788</v>
      </c>
      <c r="T33" s="2" t="s">
        <v>1319</v>
      </c>
      <c r="U33" s="2" t="s">
        <v>1280</v>
      </c>
      <c r="V33" s="2">
        <v>8465874762</v>
      </c>
      <c r="W33" s="2" t="s">
        <v>834</v>
      </c>
      <c r="X33" s="2" t="s">
        <v>811</v>
      </c>
      <c r="Y33" s="2" t="s">
        <v>1184</v>
      </c>
      <c r="Z33" s="2" t="s">
        <v>1185</v>
      </c>
      <c r="AA33" s="2">
        <v>3000</v>
      </c>
      <c r="AB33" s="2">
        <v>200</v>
      </c>
      <c r="AC33" s="2">
        <v>500</v>
      </c>
      <c r="AD33" s="2">
        <v>0</v>
      </c>
      <c r="AE33" s="2">
        <f t="shared" si="0"/>
        <v>3700</v>
      </c>
      <c r="AF33" s="2">
        <v>1000</v>
      </c>
      <c r="AG33" s="4">
        <v>45338</v>
      </c>
      <c r="AH33" s="2">
        <f t="shared" si="1"/>
        <v>2700</v>
      </c>
      <c r="AI33" s="2">
        <v>1000</v>
      </c>
      <c r="AJ33" s="4">
        <v>45367</v>
      </c>
      <c r="AK33" s="2">
        <f t="shared" si="2"/>
        <v>1700</v>
      </c>
      <c r="AL33" s="2">
        <v>500</v>
      </c>
      <c r="AM33" s="4">
        <v>45398</v>
      </c>
      <c r="AN33" s="2">
        <f t="shared" si="3"/>
        <v>1200</v>
      </c>
      <c r="AO33" s="2" cm="1">
        <f t="array" ref="AO33">_xlfn.IFS(AN33&gt;=5000,3000,AN33&gt;=2000,1000,AN33&gt;=500,500,AN33&lt;500,AN33)</f>
        <v>500</v>
      </c>
      <c r="AP33" s="4">
        <v>45428</v>
      </c>
      <c r="AQ33" s="2">
        <f t="shared" si="4"/>
        <v>700</v>
      </c>
      <c r="AR33" s="2">
        <v>500</v>
      </c>
      <c r="AS33" s="4">
        <v>45459</v>
      </c>
      <c r="AT33" s="2">
        <f t="shared" si="5"/>
        <v>200</v>
      </c>
      <c r="AU33" s="2">
        <v>200</v>
      </c>
      <c r="AV33" s="4">
        <v>45489</v>
      </c>
      <c r="AW33" s="2">
        <v>0</v>
      </c>
      <c r="AX33" s="2">
        <f t="shared" si="6"/>
        <v>3700</v>
      </c>
      <c r="AY33" s="2">
        <f t="shared" si="7"/>
        <v>0</v>
      </c>
      <c r="AZ33" s="2" t="str">
        <f t="shared" si="8"/>
        <v>Paid</v>
      </c>
      <c r="BA33" s="9" t="str" cm="1">
        <f t="array" ref="BA33">_xlfn.IFS(AZ33="Paid","R",AZ33="Unpaid","Q")</f>
        <v>R</v>
      </c>
      <c r="BB33" s="8" t="s">
        <v>2815</v>
      </c>
    </row>
    <row r="34" spans="1:54" x14ac:dyDescent="0.25">
      <c r="A34" s="2">
        <v>33</v>
      </c>
      <c r="B34" s="2">
        <v>33</v>
      </c>
      <c r="C34" s="2" t="s">
        <v>87</v>
      </c>
      <c r="D34" s="2" t="s">
        <v>1694</v>
      </c>
      <c r="E34" s="2" t="s">
        <v>88</v>
      </c>
      <c r="F34" s="4">
        <v>45328</v>
      </c>
      <c r="G34" s="8" t="s">
        <v>21</v>
      </c>
      <c r="H34" s="8" t="s">
        <v>1252</v>
      </c>
      <c r="I34" s="2" t="s">
        <v>14</v>
      </c>
      <c r="J34" s="2" t="s">
        <v>15</v>
      </c>
      <c r="K34" s="2" t="s">
        <v>791</v>
      </c>
      <c r="L34" s="2" t="s">
        <v>1258</v>
      </c>
      <c r="M34" s="2" t="s">
        <v>1264</v>
      </c>
      <c r="N34" s="2" t="s">
        <v>2048</v>
      </c>
      <c r="O34" s="4">
        <v>34670</v>
      </c>
      <c r="P34" s="2" t="s">
        <v>2450</v>
      </c>
      <c r="Q34" s="2" t="s">
        <v>2428</v>
      </c>
      <c r="R34" s="2" t="s">
        <v>2393</v>
      </c>
      <c r="S34" s="2" t="s">
        <v>792</v>
      </c>
      <c r="T34" s="2" t="s">
        <v>1320</v>
      </c>
      <c r="U34" s="2" t="s">
        <v>1278</v>
      </c>
      <c r="V34" s="2">
        <v>8711439392</v>
      </c>
      <c r="W34" s="2" t="s">
        <v>835</v>
      </c>
      <c r="X34" s="2" t="s">
        <v>801</v>
      </c>
      <c r="Y34" s="2" t="s">
        <v>1184</v>
      </c>
      <c r="Z34" s="2" t="s">
        <v>1185</v>
      </c>
      <c r="AA34" s="2">
        <v>3000</v>
      </c>
      <c r="AB34" s="2">
        <v>200</v>
      </c>
      <c r="AC34" s="2">
        <v>300</v>
      </c>
      <c r="AD34" s="2">
        <v>500</v>
      </c>
      <c r="AE34" s="2">
        <f t="shared" si="0"/>
        <v>3000</v>
      </c>
      <c r="AF34" s="2">
        <v>1000</v>
      </c>
      <c r="AG34" s="4">
        <v>45338</v>
      </c>
      <c r="AH34" s="2">
        <f t="shared" si="1"/>
        <v>2000</v>
      </c>
      <c r="AI34" s="2">
        <v>1000</v>
      </c>
      <c r="AJ34" s="4">
        <v>45367</v>
      </c>
      <c r="AK34" s="2">
        <f t="shared" si="2"/>
        <v>1000</v>
      </c>
      <c r="AL34" s="2">
        <v>500</v>
      </c>
      <c r="AM34" s="4">
        <v>45398</v>
      </c>
      <c r="AN34" s="2">
        <f t="shared" si="3"/>
        <v>500</v>
      </c>
      <c r="AO34" s="2" cm="1">
        <f t="array" ref="AO34">_xlfn.IFS(AN34&gt;=5000,3000,AN34&gt;=2000,1000,AN34&gt;=500,500,AN34&lt;500,AN34)</f>
        <v>500</v>
      </c>
      <c r="AP34" s="4">
        <v>45428</v>
      </c>
      <c r="AQ34" s="2">
        <f t="shared" si="4"/>
        <v>0</v>
      </c>
      <c r="AR34" s="2" t="s">
        <v>1200</v>
      </c>
      <c r="AS34" s="4" t="s">
        <v>1200</v>
      </c>
      <c r="AT34" s="2" t="str">
        <f t="shared" si="5"/>
        <v/>
      </c>
      <c r="AU34" s="2" t="s">
        <v>1200</v>
      </c>
      <c r="AV34" s="4" t="s">
        <v>1200</v>
      </c>
      <c r="AW34" s="2" t="s">
        <v>1200</v>
      </c>
      <c r="AX34" s="2">
        <f t="shared" si="6"/>
        <v>3000</v>
      </c>
      <c r="AY34" s="2">
        <f t="shared" si="7"/>
        <v>0</v>
      </c>
      <c r="AZ34" s="2" t="str">
        <f t="shared" si="8"/>
        <v>Paid</v>
      </c>
      <c r="BA34" s="9" t="str" cm="1">
        <f t="array" ref="BA34">_xlfn.IFS(AZ34="Paid","R",AZ34="Unpaid","Q")</f>
        <v>R</v>
      </c>
      <c r="BB34" s="8" t="s">
        <v>2815</v>
      </c>
    </row>
    <row r="35" spans="1:54" x14ac:dyDescent="0.25">
      <c r="A35" s="2">
        <v>34</v>
      </c>
      <c r="B35" s="2">
        <v>34</v>
      </c>
      <c r="C35" s="2" t="s">
        <v>89</v>
      </c>
      <c r="D35" s="2" t="s">
        <v>1695</v>
      </c>
      <c r="E35" s="2" t="s">
        <v>90</v>
      </c>
      <c r="F35" s="4">
        <v>45329</v>
      </c>
      <c r="G35" s="8" t="s">
        <v>35</v>
      </c>
      <c r="H35" s="8" t="s">
        <v>1244</v>
      </c>
      <c r="I35" s="2" t="s">
        <v>14</v>
      </c>
      <c r="J35" s="2" t="s">
        <v>15</v>
      </c>
      <c r="K35" s="2" t="s">
        <v>791</v>
      </c>
      <c r="L35" s="2" t="s">
        <v>1256</v>
      </c>
      <c r="M35" s="2" t="s">
        <v>1263</v>
      </c>
      <c r="N35" s="2" t="s">
        <v>2049</v>
      </c>
      <c r="O35" s="4">
        <v>40366</v>
      </c>
      <c r="P35" s="2" t="s">
        <v>2451</v>
      </c>
      <c r="Q35" s="2" t="s">
        <v>2452</v>
      </c>
      <c r="R35" s="2" t="s">
        <v>2396</v>
      </c>
      <c r="S35" s="2" t="s">
        <v>788</v>
      </c>
      <c r="T35" s="2" t="s">
        <v>1321</v>
      </c>
      <c r="U35" s="2" t="s">
        <v>1280</v>
      </c>
      <c r="V35" s="2">
        <v>8961817249</v>
      </c>
      <c r="W35" s="2" t="s">
        <v>836</v>
      </c>
      <c r="X35" s="2" t="s">
        <v>837</v>
      </c>
      <c r="Y35" s="2" t="s">
        <v>1184</v>
      </c>
      <c r="Z35" s="2" t="s">
        <v>1185</v>
      </c>
      <c r="AA35" s="2">
        <v>3000</v>
      </c>
      <c r="AB35" s="2">
        <v>200</v>
      </c>
      <c r="AC35" s="2">
        <v>500</v>
      </c>
      <c r="AD35" s="2">
        <v>200</v>
      </c>
      <c r="AE35" s="2">
        <f t="shared" si="0"/>
        <v>3500</v>
      </c>
      <c r="AF35" s="2">
        <v>1000</v>
      </c>
      <c r="AG35" s="4">
        <v>45339</v>
      </c>
      <c r="AH35" s="2">
        <f t="shared" si="1"/>
        <v>2500</v>
      </c>
      <c r="AI35" s="2">
        <v>1000</v>
      </c>
      <c r="AJ35" s="4">
        <v>45368</v>
      </c>
      <c r="AK35" s="2">
        <f t="shared" si="2"/>
        <v>1500</v>
      </c>
      <c r="AL35" s="2">
        <v>500</v>
      </c>
      <c r="AM35" s="4">
        <v>45399</v>
      </c>
      <c r="AN35" s="2">
        <f t="shared" si="3"/>
        <v>1000</v>
      </c>
      <c r="AO35" s="2" cm="1">
        <f t="array" ref="AO35">_xlfn.IFS(AN35&gt;=5000,3000,AN35&gt;=2000,1000,AN35&gt;=500,500,AN35&lt;500,AN35)</f>
        <v>500</v>
      </c>
      <c r="AP35" s="4">
        <v>45429</v>
      </c>
      <c r="AQ35" s="2">
        <f t="shared" si="4"/>
        <v>500</v>
      </c>
      <c r="AR35" s="2">
        <v>500</v>
      </c>
      <c r="AS35" s="4">
        <v>45460</v>
      </c>
      <c r="AT35" s="2">
        <f t="shared" si="5"/>
        <v>0</v>
      </c>
      <c r="AU35" s="2" t="s">
        <v>1200</v>
      </c>
      <c r="AV35" s="4" t="s">
        <v>1200</v>
      </c>
      <c r="AW35" s="2" t="s">
        <v>1200</v>
      </c>
      <c r="AX35" s="2">
        <f t="shared" si="6"/>
        <v>3500</v>
      </c>
      <c r="AY35" s="2">
        <f t="shared" si="7"/>
        <v>0</v>
      </c>
      <c r="AZ35" s="2" t="str">
        <f t="shared" si="8"/>
        <v>Paid</v>
      </c>
      <c r="BA35" s="9" t="str" cm="1">
        <f t="array" ref="BA35">_xlfn.IFS(AZ35="Paid","R",AZ35="Unpaid","Q")</f>
        <v>R</v>
      </c>
      <c r="BB35" s="8" t="s">
        <v>2815</v>
      </c>
    </row>
    <row r="36" spans="1:54" x14ac:dyDescent="0.25">
      <c r="A36" s="2">
        <v>35</v>
      </c>
      <c r="B36" s="2">
        <v>35</v>
      </c>
      <c r="C36" s="2" t="s">
        <v>91</v>
      </c>
      <c r="D36" s="2" t="s">
        <v>1696</v>
      </c>
      <c r="E36" s="2" t="s">
        <v>92</v>
      </c>
      <c r="F36" s="4">
        <v>45330</v>
      </c>
      <c r="G36" s="8" t="s">
        <v>65</v>
      </c>
      <c r="H36" s="8" t="s">
        <v>65</v>
      </c>
      <c r="I36" s="2" t="s">
        <v>14</v>
      </c>
      <c r="J36" s="2" t="s">
        <v>15</v>
      </c>
      <c r="K36" s="2" t="s">
        <v>791</v>
      </c>
      <c r="L36" s="2" t="s">
        <v>1260</v>
      </c>
      <c r="M36" s="2" t="s">
        <v>1261</v>
      </c>
      <c r="N36" s="2" t="s">
        <v>2050</v>
      </c>
      <c r="O36" s="4">
        <v>37847</v>
      </c>
      <c r="P36" s="2" t="s">
        <v>2453</v>
      </c>
      <c r="Q36" s="2" t="s">
        <v>2395</v>
      </c>
      <c r="R36" s="2" t="s">
        <v>2393</v>
      </c>
      <c r="S36" s="2" t="s">
        <v>792</v>
      </c>
      <c r="T36" s="2" t="s">
        <v>1322</v>
      </c>
      <c r="U36" s="2" t="s">
        <v>1281</v>
      </c>
      <c r="V36" s="2">
        <v>6381923068</v>
      </c>
      <c r="W36" s="2" t="s">
        <v>838</v>
      </c>
      <c r="X36" s="2" t="s">
        <v>1183</v>
      </c>
      <c r="Y36" s="2" t="s">
        <v>1184</v>
      </c>
      <c r="Z36" s="2" t="s">
        <v>1185</v>
      </c>
      <c r="AA36" s="2">
        <v>2500</v>
      </c>
      <c r="AB36" s="2">
        <v>200</v>
      </c>
      <c r="AC36" s="2">
        <v>500</v>
      </c>
      <c r="AD36" s="2">
        <v>0</v>
      </c>
      <c r="AE36" s="2">
        <f t="shared" si="0"/>
        <v>3200</v>
      </c>
      <c r="AF36" s="2">
        <v>1000</v>
      </c>
      <c r="AG36" s="4">
        <v>45340</v>
      </c>
      <c r="AH36" s="2">
        <f t="shared" si="1"/>
        <v>2200</v>
      </c>
      <c r="AI36" s="2">
        <v>1000</v>
      </c>
      <c r="AJ36" s="4">
        <v>45369</v>
      </c>
      <c r="AK36" s="2">
        <f t="shared" si="2"/>
        <v>1200</v>
      </c>
      <c r="AL36" s="2">
        <v>500</v>
      </c>
      <c r="AM36" s="4">
        <v>45400</v>
      </c>
      <c r="AN36" s="2">
        <f t="shared" si="3"/>
        <v>700</v>
      </c>
      <c r="AO36" s="2" cm="1">
        <f t="array" ref="AO36">_xlfn.IFS(AN36&gt;=5000,3000,AN36&gt;=2000,1000,AN36&gt;=500,500,AN36&lt;500,AN36)</f>
        <v>500</v>
      </c>
      <c r="AP36" s="4">
        <v>45430</v>
      </c>
      <c r="AQ36" s="2">
        <f t="shared" si="4"/>
        <v>200</v>
      </c>
      <c r="AR36" s="2">
        <v>200</v>
      </c>
      <c r="AS36" s="4">
        <v>45461</v>
      </c>
      <c r="AT36" s="2">
        <f t="shared" si="5"/>
        <v>0</v>
      </c>
      <c r="AU36" s="2" t="s">
        <v>1200</v>
      </c>
      <c r="AV36" s="4" t="s">
        <v>1200</v>
      </c>
      <c r="AW36" s="2" t="s">
        <v>1200</v>
      </c>
      <c r="AX36" s="2">
        <f t="shared" si="6"/>
        <v>3200</v>
      </c>
      <c r="AY36" s="2">
        <f t="shared" si="7"/>
        <v>0</v>
      </c>
      <c r="AZ36" s="2" t="str">
        <f t="shared" si="8"/>
        <v>Paid</v>
      </c>
      <c r="BA36" s="9" t="str" cm="1">
        <f t="array" ref="BA36">_xlfn.IFS(AZ36="Paid","R",AZ36="Unpaid","Q")</f>
        <v>R</v>
      </c>
      <c r="BB36" s="8" t="s">
        <v>2815</v>
      </c>
    </row>
    <row r="37" spans="1:54" x14ac:dyDescent="0.25">
      <c r="A37" s="2">
        <v>36</v>
      </c>
      <c r="B37" s="2">
        <v>36</v>
      </c>
      <c r="C37" s="2" t="s">
        <v>93</v>
      </c>
      <c r="D37" s="2" t="s">
        <v>1697</v>
      </c>
      <c r="E37" s="2" t="s">
        <v>94</v>
      </c>
      <c r="F37" s="4">
        <v>45335</v>
      </c>
      <c r="G37" s="8" t="s">
        <v>95</v>
      </c>
      <c r="H37" s="8" t="s">
        <v>1245</v>
      </c>
      <c r="I37" s="2" t="s">
        <v>14</v>
      </c>
      <c r="J37" s="2" t="s">
        <v>15</v>
      </c>
      <c r="K37" s="2" t="s">
        <v>791</v>
      </c>
      <c r="L37" s="2" t="s">
        <v>1257</v>
      </c>
      <c r="M37" s="2" t="s">
        <v>1261</v>
      </c>
      <c r="N37" s="2" t="s">
        <v>2051</v>
      </c>
      <c r="O37" s="4">
        <v>34746</v>
      </c>
      <c r="P37" s="2" t="s">
        <v>2454</v>
      </c>
      <c r="Q37" s="2" t="s">
        <v>2416</v>
      </c>
      <c r="R37" s="2" t="s">
        <v>2396</v>
      </c>
      <c r="S37" s="2" t="s">
        <v>788</v>
      </c>
      <c r="T37" s="2" t="s">
        <v>1323</v>
      </c>
      <c r="U37" s="2" t="s">
        <v>1269</v>
      </c>
      <c r="V37" s="2">
        <v>9889665631</v>
      </c>
      <c r="W37" s="2" t="s">
        <v>839</v>
      </c>
      <c r="X37" s="2" t="s">
        <v>1183</v>
      </c>
      <c r="Y37" s="2" t="s">
        <v>1184</v>
      </c>
      <c r="Z37" s="2" t="s">
        <v>1185</v>
      </c>
      <c r="AA37" s="2">
        <v>3500</v>
      </c>
      <c r="AB37" s="2">
        <v>200</v>
      </c>
      <c r="AC37" s="2">
        <v>500</v>
      </c>
      <c r="AD37" s="2">
        <v>300</v>
      </c>
      <c r="AE37" s="2">
        <f t="shared" si="0"/>
        <v>3900</v>
      </c>
      <c r="AF37" s="2">
        <v>1000</v>
      </c>
      <c r="AG37" s="4">
        <v>45345</v>
      </c>
      <c r="AH37" s="2">
        <f t="shared" si="1"/>
        <v>2900</v>
      </c>
      <c r="AI37" s="2">
        <v>1000</v>
      </c>
      <c r="AJ37" s="4">
        <v>45374</v>
      </c>
      <c r="AK37" s="2">
        <f t="shared" si="2"/>
        <v>1900</v>
      </c>
      <c r="AL37" s="2">
        <v>500</v>
      </c>
      <c r="AM37" s="4">
        <v>45405</v>
      </c>
      <c r="AN37" s="2">
        <f t="shared" si="3"/>
        <v>1400</v>
      </c>
      <c r="AO37" s="2" cm="1">
        <f t="array" ref="AO37">_xlfn.IFS(AN37&gt;=5000,3000,AN37&gt;=2000,1000,AN37&gt;=500,500,AN37&lt;500,AN37)</f>
        <v>500</v>
      </c>
      <c r="AP37" s="4">
        <v>45435</v>
      </c>
      <c r="AQ37" s="2">
        <f t="shared" si="4"/>
        <v>900</v>
      </c>
      <c r="AR37" s="2">
        <v>500</v>
      </c>
      <c r="AS37" s="4">
        <v>45466</v>
      </c>
      <c r="AT37" s="2">
        <f t="shared" si="5"/>
        <v>400</v>
      </c>
      <c r="AU37" s="2">
        <v>400</v>
      </c>
      <c r="AV37" s="4">
        <v>45496</v>
      </c>
      <c r="AW37" s="2">
        <v>0</v>
      </c>
      <c r="AX37" s="2">
        <f t="shared" si="6"/>
        <v>3900</v>
      </c>
      <c r="AY37" s="2">
        <f t="shared" si="7"/>
        <v>0</v>
      </c>
      <c r="AZ37" s="2" t="str">
        <f t="shared" si="8"/>
        <v>Paid</v>
      </c>
      <c r="BA37" s="9" t="str" cm="1">
        <f t="array" ref="BA37">_xlfn.IFS(AZ37="Paid","R",AZ37="Unpaid","Q")</f>
        <v>R</v>
      </c>
      <c r="BB37" s="8" t="s">
        <v>2815</v>
      </c>
    </row>
    <row r="38" spans="1:54" x14ac:dyDescent="0.25">
      <c r="A38" s="2">
        <v>37</v>
      </c>
      <c r="B38" s="2">
        <v>37</v>
      </c>
      <c r="C38" s="2" t="s">
        <v>96</v>
      </c>
      <c r="D38" s="2" t="s">
        <v>1698</v>
      </c>
      <c r="E38" s="2" t="s">
        <v>97</v>
      </c>
      <c r="F38" s="4">
        <v>45339</v>
      </c>
      <c r="G38" s="8" t="s">
        <v>95</v>
      </c>
      <c r="H38" s="8" t="s">
        <v>1245</v>
      </c>
      <c r="I38" s="2" t="s">
        <v>14</v>
      </c>
      <c r="J38" s="2" t="s">
        <v>15</v>
      </c>
      <c r="K38" s="2" t="s">
        <v>791</v>
      </c>
      <c r="L38" s="2" t="s">
        <v>1258</v>
      </c>
      <c r="M38" s="2" t="s">
        <v>1264</v>
      </c>
      <c r="N38" s="2" t="s">
        <v>2052</v>
      </c>
      <c r="O38" s="4">
        <v>35375</v>
      </c>
      <c r="P38" s="2" t="s">
        <v>2455</v>
      </c>
      <c r="Q38" s="2" t="s">
        <v>2444</v>
      </c>
      <c r="R38" s="2" t="s">
        <v>2393</v>
      </c>
      <c r="S38" s="2" t="s">
        <v>788</v>
      </c>
      <c r="T38" s="2" t="s">
        <v>1324</v>
      </c>
      <c r="U38" s="2" t="s">
        <v>1271</v>
      </c>
      <c r="V38" s="2">
        <v>9427908980</v>
      </c>
      <c r="W38" s="2" t="s">
        <v>840</v>
      </c>
      <c r="X38" s="2" t="s">
        <v>837</v>
      </c>
      <c r="Y38" s="2" t="s">
        <v>1184</v>
      </c>
      <c r="Z38" s="2" t="s">
        <v>1185</v>
      </c>
      <c r="AA38" s="2">
        <v>3500</v>
      </c>
      <c r="AB38" s="2">
        <v>200</v>
      </c>
      <c r="AC38" s="2">
        <v>500</v>
      </c>
      <c r="AD38" s="2">
        <v>500</v>
      </c>
      <c r="AE38" s="2">
        <f t="shared" si="0"/>
        <v>3700</v>
      </c>
      <c r="AF38" s="2">
        <v>1000</v>
      </c>
      <c r="AG38" s="4">
        <v>45349</v>
      </c>
      <c r="AH38" s="2">
        <f t="shared" si="1"/>
        <v>2700</v>
      </c>
      <c r="AI38" s="2">
        <v>1000</v>
      </c>
      <c r="AJ38" s="4">
        <v>45378</v>
      </c>
      <c r="AK38" s="2">
        <f t="shared" si="2"/>
        <v>1700</v>
      </c>
      <c r="AL38" s="2">
        <v>500</v>
      </c>
      <c r="AM38" s="4">
        <v>45409</v>
      </c>
      <c r="AN38" s="2">
        <f t="shared" si="3"/>
        <v>1200</v>
      </c>
      <c r="AO38" s="2" cm="1">
        <f t="array" ref="AO38">_xlfn.IFS(AN38&gt;=5000,3000,AN38&gt;=2000,1000,AN38&gt;=500,500,AN38&lt;500,AN38)</f>
        <v>500</v>
      </c>
      <c r="AP38" s="4">
        <v>45439</v>
      </c>
      <c r="AQ38" s="2">
        <f t="shared" si="4"/>
        <v>700</v>
      </c>
      <c r="AR38" s="2">
        <v>500</v>
      </c>
      <c r="AS38" s="4">
        <v>45470</v>
      </c>
      <c r="AT38" s="2">
        <f t="shared" si="5"/>
        <v>200</v>
      </c>
      <c r="AU38" s="2">
        <v>200</v>
      </c>
      <c r="AV38" s="4">
        <v>45500</v>
      </c>
      <c r="AW38" s="2">
        <v>0</v>
      </c>
      <c r="AX38" s="2">
        <f t="shared" si="6"/>
        <v>3700</v>
      </c>
      <c r="AY38" s="2">
        <f t="shared" si="7"/>
        <v>0</v>
      </c>
      <c r="AZ38" s="2" t="str">
        <f t="shared" si="8"/>
        <v>Paid</v>
      </c>
      <c r="BA38" s="9" t="str" cm="1">
        <f t="array" ref="BA38">_xlfn.IFS(AZ38="Paid","R",AZ38="Unpaid","Q")</f>
        <v>R</v>
      </c>
      <c r="BB38" s="8" t="s">
        <v>2815</v>
      </c>
    </row>
    <row r="39" spans="1:54" x14ac:dyDescent="0.25">
      <c r="A39" s="2">
        <v>38</v>
      </c>
      <c r="B39" s="2">
        <v>38</v>
      </c>
      <c r="C39" s="2" t="s">
        <v>98</v>
      </c>
      <c r="D39" s="2" t="s">
        <v>1699</v>
      </c>
      <c r="E39" s="2" t="s">
        <v>99</v>
      </c>
      <c r="F39" s="4">
        <v>45339</v>
      </c>
      <c r="G39" s="8" t="s">
        <v>32</v>
      </c>
      <c r="H39" s="8" t="s">
        <v>1249</v>
      </c>
      <c r="I39" s="2" t="s">
        <v>14</v>
      </c>
      <c r="J39" s="2" t="s">
        <v>15</v>
      </c>
      <c r="K39" s="2" t="s">
        <v>791</v>
      </c>
      <c r="L39" s="2" t="s">
        <v>1260</v>
      </c>
      <c r="M39" s="2" t="s">
        <v>1261</v>
      </c>
      <c r="N39" s="2" t="s">
        <v>2053</v>
      </c>
      <c r="O39" s="4">
        <v>34104</v>
      </c>
      <c r="P39" s="2" t="s">
        <v>2456</v>
      </c>
      <c r="Q39" s="2" t="s">
        <v>2457</v>
      </c>
      <c r="R39" s="2" t="s">
        <v>2393</v>
      </c>
      <c r="S39" s="2" t="s">
        <v>788</v>
      </c>
      <c r="T39" s="2" t="s">
        <v>1325</v>
      </c>
      <c r="U39" s="2" t="s">
        <v>1278</v>
      </c>
      <c r="V39" s="2">
        <v>6654979671</v>
      </c>
      <c r="W39" s="2" t="s">
        <v>841</v>
      </c>
      <c r="X39" s="2" t="s">
        <v>798</v>
      </c>
      <c r="Y39" s="2" t="s">
        <v>1184</v>
      </c>
      <c r="Z39" s="2" t="s">
        <v>1185</v>
      </c>
      <c r="AA39" s="2">
        <v>2000</v>
      </c>
      <c r="AB39" s="2">
        <v>200</v>
      </c>
      <c r="AC39" s="2">
        <v>300</v>
      </c>
      <c r="AD39" s="2">
        <v>300</v>
      </c>
      <c r="AE39" s="2">
        <f t="shared" si="0"/>
        <v>2200</v>
      </c>
      <c r="AF39" s="2">
        <v>500</v>
      </c>
      <c r="AG39" s="4">
        <v>45349</v>
      </c>
      <c r="AH39" s="2">
        <f t="shared" si="1"/>
        <v>1700</v>
      </c>
      <c r="AI39" s="2">
        <v>500</v>
      </c>
      <c r="AJ39" s="4">
        <v>45378</v>
      </c>
      <c r="AK39" s="2">
        <f t="shared" si="2"/>
        <v>1200</v>
      </c>
      <c r="AL39" s="2">
        <v>500</v>
      </c>
      <c r="AM39" s="4">
        <v>45409</v>
      </c>
      <c r="AN39" s="2">
        <f t="shared" si="3"/>
        <v>700</v>
      </c>
      <c r="AO39" s="2" cm="1">
        <f t="array" ref="AO39">_xlfn.IFS(AN39&gt;=5000,3000,AN39&gt;=2000,1000,AN39&gt;=500,500,AN39&lt;500,AN39)</f>
        <v>500</v>
      </c>
      <c r="AP39" s="4">
        <v>45439</v>
      </c>
      <c r="AQ39" s="2">
        <f t="shared" si="4"/>
        <v>200</v>
      </c>
      <c r="AR39" s="2">
        <v>200</v>
      </c>
      <c r="AS39" s="4">
        <v>45470</v>
      </c>
      <c r="AT39" s="2">
        <f t="shared" si="5"/>
        <v>0</v>
      </c>
      <c r="AU39" s="2" t="s">
        <v>1200</v>
      </c>
      <c r="AV39" s="4" t="s">
        <v>1200</v>
      </c>
      <c r="AW39" s="2" t="s">
        <v>1200</v>
      </c>
      <c r="AX39" s="2">
        <f t="shared" si="6"/>
        <v>2200</v>
      </c>
      <c r="AY39" s="2">
        <f t="shared" si="7"/>
        <v>0</v>
      </c>
      <c r="AZ39" s="2" t="str">
        <f t="shared" si="8"/>
        <v>Paid</v>
      </c>
      <c r="BA39" s="9" t="str" cm="1">
        <f t="array" ref="BA39">_xlfn.IFS(AZ39="Paid","R",AZ39="Unpaid","Q")</f>
        <v>R</v>
      </c>
      <c r="BB39" s="8" t="s">
        <v>2815</v>
      </c>
    </row>
    <row r="40" spans="1:54" x14ac:dyDescent="0.25">
      <c r="A40" s="2">
        <v>39</v>
      </c>
      <c r="B40" s="2">
        <v>39</v>
      </c>
      <c r="C40" s="2" t="s">
        <v>100</v>
      </c>
      <c r="D40" s="2" t="s">
        <v>1700</v>
      </c>
      <c r="E40" s="2" t="s">
        <v>101</v>
      </c>
      <c r="F40" s="4">
        <v>45341</v>
      </c>
      <c r="G40" s="8" t="s">
        <v>8</v>
      </c>
      <c r="H40" s="8" t="s">
        <v>1242</v>
      </c>
      <c r="I40" s="2" t="s">
        <v>9</v>
      </c>
      <c r="J40" s="2" t="s">
        <v>10</v>
      </c>
      <c r="K40" s="2" t="s">
        <v>787</v>
      </c>
      <c r="L40" s="2" t="s">
        <v>1257</v>
      </c>
      <c r="M40" s="2" t="s">
        <v>1261</v>
      </c>
      <c r="N40" s="2" t="s">
        <v>2054</v>
      </c>
      <c r="O40" s="4">
        <v>33989</v>
      </c>
      <c r="P40" s="2" t="s">
        <v>2458</v>
      </c>
      <c r="Q40" s="2" t="s">
        <v>2459</v>
      </c>
      <c r="R40" s="2" t="s">
        <v>2393</v>
      </c>
      <c r="S40" s="2" t="s">
        <v>820</v>
      </c>
      <c r="T40" s="2" t="s">
        <v>1326</v>
      </c>
      <c r="U40" s="2" t="s">
        <v>1270</v>
      </c>
      <c r="V40" s="2">
        <v>8716732070</v>
      </c>
      <c r="W40" s="2" t="s">
        <v>842</v>
      </c>
      <c r="X40" s="2" t="s">
        <v>798</v>
      </c>
      <c r="Y40" s="2" t="s">
        <v>1184</v>
      </c>
      <c r="Z40" s="2" t="s">
        <v>1185</v>
      </c>
      <c r="AA40" s="2">
        <v>12500</v>
      </c>
      <c r="AB40" s="2">
        <v>200</v>
      </c>
      <c r="AC40" s="2">
        <v>1200</v>
      </c>
      <c r="AD40" s="2">
        <v>0</v>
      </c>
      <c r="AE40" s="2">
        <f t="shared" si="0"/>
        <v>13900</v>
      </c>
      <c r="AF40" s="2">
        <v>5000</v>
      </c>
      <c r="AG40" s="4">
        <v>45351</v>
      </c>
      <c r="AH40" s="2">
        <f t="shared" si="1"/>
        <v>8900</v>
      </c>
      <c r="AI40" s="2">
        <v>3000</v>
      </c>
      <c r="AJ40" s="4">
        <v>45380</v>
      </c>
      <c r="AK40" s="2">
        <f t="shared" si="2"/>
        <v>5900</v>
      </c>
      <c r="AL40" s="2">
        <v>3000</v>
      </c>
      <c r="AM40" s="4">
        <v>45411</v>
      </c>
      <c r="AN40" s="2">
        <f t="shared" si="3"/>
        <v>2900</v>
      </c>
      <c r="AO40" s="2" cm="1">
        <f t="array" ref="AO40">_xlfn.IFS(AN40&gt;=5000,3000,AN40&gt;=2000,1000,AN40&gt;=500,500,AN40&lt;500,AN40)</f>
        <v>1000</v>
      </c>
      <c r="AP40" s="4">
        <v>45441</v>
      </c>
      <c r="AQ40" s="2">
        <f t="shared" si="4"/>
        <v>1900</v>
      </c>
      <c r="AR40" s="2">
        <v>1000</v>
      </c>
      <c r="AS40" s="4">
        <v>45472</v>
      </c>
      <c r="AT40" s="2">
        <f t="shared" si="5"/>
        <v>900</v>
      </c>
      <c r="AU40" s="2">
        <v>900</v>
      </c>
      <c r="AV40" s="4">
        <v>45502</v>
      </c>
      <c r="AW40" s="2">
        <v>0</v>
      </c>
      <c r="AX40" s="2">
        <f t="shared" si="6"/>
        <v>13900</v>
      </c>
      <c r="AY40" s="2">
        <f t="shared" si="7"/>
        <v>0</v>
      </c>
      <c r="AZ40" s="2" t="str">
        <f t="shared" si="8"/>
        <v>Paid</v>
      </c>
      <c r="BA40" s="9" t="str" cm="1">
        <f t="array" ref="BA40">_xlfn.IFS(AZ40="Paid","R",AZ40="Unpaid","Q")</f>
        <v>R</v>
      </c>
      <c r="BB40" s="8" t="s">
        <v>2815</v>
      </c>
    </row>
    <row r="41" spans="1:54" x14ac:dyDescent="0.25">
      <c r="A41" s="2">
        <v>40</v>
      </c>
      <c r="B41" s="2">
        <v>40</v>
      </c>
      <c r="C41" s="2" t="s">
        <v>102</v>
      </c>
      <c r="D41" s="2" t="s">
        <v>1701</v>
      </c>
      <c r="E41" s="2" t="s">
        <v>103</v>
      </c>
      <c r="F41" s="4">
        <v>45341</v>
      </c>
      <c r="G41" s="8" t="s">
        <v>70</v>
      </c>
      <c r="H41" s="8" t="s">
        <v>1247</v>
      </c>
      <c r="I41" s="2" t="s">
        <v>9</v>
      </c>
      <c r="J41" s="2" t="s">
        <v>15</v>
      </c>
      <c r="K41" s="2" t="s">
        <v>795</v>
      </c>
      <c r="L41" s="2" t="s">
        <v>1260</v>
      </c>
      <c r="M41" s="2" t="s">
        <v>1261</v>
      </c>
      <c r="N41" s="2" t="s">
        <v>2055</v>
      </c>
      <c r="O41" s="4">
        <v>35285</v>
      </c>
      <c r="P41" s="2" t="s">
        <v>2460</v>
      </c>
      <c r="Q41" s="2" t="s">
        <v>2452</v>
      </c>
      <c r="R41" s="2" t="s">
        <v>2393</v>
      </c>
      <c r="S41" s="2" t="s">
        <v>788</v>
      </c>
      <c r="T41" s="2" t="s">
        <v>1327</v>
      </c>
      <c r="U41" s="2" t="s">
        <v>1273</v>
      </c>
      <c r="V41" s="2">
        <v>8912405474</v>
      </c>
      <c r="W41" s="2" t="s">
        <v>843</v>
      </c>
      <c r="X41" s="2" t="s">
        <v>822</v>
      </c>
      <c r="Y41" s="2" t="s">
        <v>1184</v>
      </c>
      <c r="Z41" s="2" t="s">
        <v>1185</v>
      </c>
      <c r="AA41" s="2">
        <v>8000</v>
      </c>
      <c r="AB41" s="2">
        <v>200</v>
      </c>
      <c r="AC41" s="2">
        <v>1000</v>
      </c>
      <c r="AD41" s="2">
        <v>0</v>
      </c>
      <c r="AE41" s="2">
        <f t="shared" si="0"/>
        <v>9200</v>
      </c>
      <c r="AF41" s="2">
        <v>2500</v>
      </c>
      <c r="AG41" s="4">
        <v>45351</v>
      </c>
      <c r="AH41" s="2">
        <f t="shared" si="1"/>
        <v>6700</v>
      </c>
      <c r="AI41" s="2">
        <v>3000</v>
      </c>
      <c r="AJ41" s="4">
        <v>45380</v>
      </c>
      <c r="AK41" s="2">
        <f t="shared" si="2"/>
        <v>3700</v>
      </c>
      <c r="AL41" s="2"/>
      <c r="AM41" s="4">
        <v>45411</v>
      </c>
      <c r="AN41" s="2">
        <f t="shared" si="3"/>
        <v>3700</v>
      </c>
      <c r="AO41" s="2"/>
      <c r="AP41" s="4">
        <v>45441</v>
      </c>
      <c r="AQ41" s="2">
        <f t="shared" si="4"/>
        <v>3700</v>
      </c>
      <c r="AR41" s="2"/>
      <c r="AS41" s="4">
        <v>45472</v>
      </c>
      <c r="AT41" s="2">
        <f t="shared" si="5"/>
        <v>3700</v>
      </c>
      <c r="AU41" s="2"/>
      <c r="AV41" s="4">
        <v>45502</v>
      </c>
      <c r="AW41" s="2">
        <v>0</v>
      </c>
      <c r="AX41" s="2">
        <f t="shared" si="6"/>
        <v>5500</v>
      </c>
      <c r="AY41" s="2">
        <f t="shared" si="7"/>
        <v>3700</v>
      </c>
      <c r="AZ41" s="2" t="str">
        <f t="shared" si="8"/>
        <v>Unpaid</v>
      </c>
      <c r="BA41" s="9" t="str" cm="1">
        <f t="array" ref="BA41">_xlfn.IFS(AZ41="Paid","R",AZ41="Unpaid","Q")</f>
        <v>Q</v>
      </c>
      <c r="BB41" s="8" t="s">
        <v>2816</v>
      </c>
    </row>
    <row r="42" spans="1:54" x14ac:dyDescent="0.25">
      <c r="A42" s="2">
        <v>41</v>
      </c>
      <c r="B42" s="2">
        <v>41</v>
      </c>
      <c r="C42" s="2" t="s">
        <v>104</v>
      </c>
      <c r="D42" s="2" t="s">
        <v>1702</v>
      </c>
      <c r="E42" s="2" t="s">
        <v>105</v>
      </c>
      <c r="F42" s="4">
        <v>45341</v>
      </c>
      <c r="G42" s="8" t="s">
        <v>65</v>
      </c>
      <c r="H42" s="8" t="s">
        <v>65</v>
      </c>
      <c r="I42" s="2" t="s">
        <v>14</v>
      </c>
      <c r="J42" s="2" t="s">
        <v>15</v>
      </c>
      <c r="K42" s="2" t="s">
        <v>791</v>
      </c>
      <c r="L42" s="2" t="s">
        <v>1259</v>
      </c>
      <c r="M42" s="2" t="s">
        <v>1262</v>
      </c>
      <c r="N42" s="2" t="s">
        <v>2056</v>
      </c>
      <c r="O42" s="4">
        <v>38232</v>
      </c>
      <c r="P42" s="2" t="s">
        <v>2461</v>
      </c>
      <c r="Q42" s="2" t="s">
        <v>2395</v>
      </c>
      <c r="R42" s="2" t="s">
        <v>2393</v>
      </c>
      <c r="S42" s="2" t="s">
        <v>788</v>
      </c>
      <c r="T42" s="2" t="s">
        <v>1328</v>
      </c>
      <c r="U42" s="2" t="s">
        <v>1282</v>
      </c>
      <c r="V42" s="2">
        <v>9737261658</v>
      </c>
      <c r="W42" s="2" t="s">
        <v>844</v>
      </c>
      <c r="X42" s="2" t="s">
        <v>798</v>
      </c>
      <c r="Y42" s="2" t="s">
        <v>1184</v>
      </c>
      <c r="Z42" s="2" t="s">
        <v>1185</v>
      </c>
      <c r="AA42" s="2">
        <v>2500</v>
      </c>
      <c r="AB42" s="2">
        <v>200</v>
      </c>
      <c r="AC42" s="2">
        <v>500</v>
      </c>
      <c r="AD42" s="2">
        <v>300</v>
      </c>
      <c r="AE42" s="2">
        <f t="shared" si="0"/>
        <v>2900</v>
      </c>
      <c r="AF42" s="2">
        <v>1000</v>
      </c>
      <c r="AG42" s="4">
        <v>45351</v>
      </c>
      <c r="AH42" s="2">
        <f t="shared" si="1"/>
        <v>1900</v>
      </c>
      <c r="AI42" s="2">
        <v>500</v>
      </c>
      <c r="AJ42" s="4">
        <v>45380</v>
      </c>
      <c r="AK42" s="2">
        <f t="shared" si="2"/>
        <v>1400</v>
      </c>
      <c r="AL42" s="2">
        <v>500</v>
      </c>
      <c r="AM42" s="4">
        <v>45411</v>
      </c>
      <c r="AN42" s="2">
        <f t="shared" si="3"/>
        <v>900</v>
      </c>
      <c r="AO42" s="2" cm="1">
        <f t="array" ref="AO42">_xlfn.IFS(AN42&gt;=5000,3000,AN42&gt;=2000,1000,AN42&gt;=500,500,AN42&lt;500,AN42)</f>
        <v>500</v>
      </c>
      <c r="AP42" s="4">
        <v>45441</v>
      </c>
      <c r="AQ42" s="2">
        <f t="shared" si="4"/>
        <v>400</v>
      </c>
      <c r="AR42" s="2">
        <v>400</v>
      </c>
      <c r="AS42" s="4">
        <v>45472</v>
      </c>
      <c r="AT42" s="2">
        <f t="shared" si="5"/>
        <v>0</v>
      </c>
      <c r="AU42" s="2" t="s">
        <v>1200</v>
      </c>
      <c r="AV42" s="4" t="s">
        <v>1200</v>
      </c>
      <c r="AW42" s="2" t="s">
        <v>1200</v>
      </c>
      <c r="AX42" s="2">
        <f t="shared" si="6"/>
        <v>2900</v>
      </c>
      <c r="AY42" s="2">
        <f t="shared" si="7"/>
        <v>0</v>
      </c>
      <c r="AZ42" s="2" t="str">
        <f t="shared" si="8"/>
        <v>Paid</v>
      </c>
      <c r="BA42" s="9" t="str" cm="1">
        <f t="array" ref="BA42">_xlfn.IFS(AZ42="Paid","R",AZ42="Unpaid","Q")</f>
        <v>R</v>
      </c>
      <c r="BB42" s="8" t="s">
        <v>2815</v>
      </c>
    </row>
    <row r="43" spans="1:54" x14ac:dyDescent="0.25">
      <c r="A43" s="2">
        <v>42</v>
      </c>
      <c r="B43" s="2">
        <v>42</v>
      </c>
      <c r="C43" s="2" t="s">
        <v>106</v>
      </c>
      <c r="D43" s="2" t="s">
        <v>1703</v>
      </c>
      <c r="E43" s="2" t="s">
        <v>107</v>
      </c>
      <c r="F43" s="4">
        <v>45343</v>
      </c>
      <c r="G43" s="8" t="s">
        <v>48</v>
      </c>
      <c r="H43" s="8" t="s">
        <v>1251</v>
      </c>
      <c r="I43" s="2" t="s">
        <v>14</v>
      </c>
      <c r="J43" s="2" t="s">
        <v>15</v>
      </c>
      <c r="K43" s="2" t="s">
        <v>791</v>
      </c>
      <c r="L43" s="2" t="s">
        <v>1259</v>
      </c>
      <c r="M43" s="2" t="s">
        <v>1262</v>
      </c>
      <c r="N43" s="2" t="s">
        <v>2057</v>
      </c>
      <c r="O43" s="4">
        <v>38367</v>
      </c>
      <c r="P43" s="2" t="s">
        <v>2462</v>
      </c>
      <c r="Q43" s="2" t="s">
        <v>2405</v>
      </c>
      <c r="R43" s="2" t="s">
        <v>2393</v>
      </c>
      <c r="S43" s="2" t="s">
        <v>820</v>
      </c>
      <c r="T43" s="2" t="s">
        <v>1329</v>
      </c>
      <c r="U43" s="2" t="s">
        <v>1276</v>
      </c>
      <c r="V43" s="2">
        <v>6520206828</v>
      </c>
      <c r="W43" s="2" t="s">
        <v>845</v>
      </c>
      <c r="X43" s="2" t="s">
        <v>801</v>
      </c>
      <c r="Y43" s="2" t="s">
        <v>1184</v>
      </c>
      <c r="Z43" s="2" t="s">
        <v>1185</v>
      </c>
      <c r="AA43" s="2">
        <v>3000</v>
      </c>
      <c r="AB43" s="2">
        <v>200</v>
      </c>
      <c r="AC43" s="2">
        <v>500</v>
      </c>
      <c r="AD43" s="2">
        <v>200</v>
      </c>
      <c r="AE43" s="2">
        <f t="shared" si="0"/>
        <v>3500</v>
      </c>
      <c r="AF43" s="2">
        <v>1000</v>
      </c>
      <c r="AG43" s="4">
        <v>45353</v>
      </c>
      <c r="AH43" s="2">
        <f t="shared" si="1"/>
        <v>2500</v>
      </c>
      <c r="AI43" s="2">
        <v>1000</v>
      </c>
      <c r="AJ43" s="4">
        <v>45384</v>
      </c>
      <c r="AK43" s="2">
        <f t="shared" si="2"/>
        <v>1500</v>
      </c>
      <c r="AL43" s="2">
        <v>500</v>
      </c>
      <c r="AM43" s="4">
        <v>45414</v>
      </c>
      <c r="AN43" s="2">
        <f t="shared" si="3"/>
        <v>1000</v>
      </c>
      <c r="AO43" s="2" cm="1">
        <f t="array" ref="AO43">_xlfn.IFS(AN43&gt;=5000,3000,AN43&gt;=2000,1000,AN43&gt;=500,500,AN43&lt;500,AN43)</f>
        <v>500</v>
      </c>
      <c r="AP43" s="4">
        <v>45445</v>
      </c>
      <c r="AQ43" s="2">
        <f t="shared" si="4"/>
        <v>500</v>
      </c>
      <c r="AR43" s="2">
        <v>500</v>
      </c>
      <c r="AS43" s="4">
        <v>45475</v>
      </c>
      <c r="AT43" s="2">
        <f t="shared" si="5"/>
        <v>0</v>
      </c>
      <c r="AU43" s="2" t="s">
        <v>1200</v>
      </c>
      <c r="AV43" s="4" t="s">
        <v>1200</v>
      </c>
      <c r="AW43" s="2" t="s">
        <v>1200</v>
      </c>
      <c r="AX43" s="2">
        <f t="shared" si="6"/>
        <v>3500</v>
      </c>
      <c r="AY43" s="2">
        <f t="shared" si="7"/>
        <v>0</v>
      </c>
      <c r="AZ43" s="2" t="str">
        <f t="shared" si="8"/>
        <v>Paid</v>
      </c>
      <c r="BA43" s="9" t="str" cm="1">
        <f t="array" ref="BA43">_xlfn.IFS(AZ43="Paid","R",AZ43="Unpaid","Q")</f>
        <v>R</v>
      </c>
      <c r="BB43" s="8" t="s">
        <v>2815</v>
      </c>
    </row>
    <row r="44" spans="1:54" x14ac:dyDescent="0.25">
      <c r="A44" s="2">
        <v>43</v>
      </c>
      <c r="B44" s="2">
        <v>43</v>
      </c>
      <c r="C44" s="2" t="s">
        <v>108</v>
      </c>
      <c r="D44" s="2" t="s">
        <v>1704</v>
      </c>
      <c r="E44" s="2" t="s">
        <v>109</v>
      </c>
      <c r="F44" s="4">
        <v>45343</v>
      </c>
      <c r="G44" s="8" t="s">
        <v>65</v>
      </c>
      <c r="H44" s="8" t="s">
        <v>65</v>
      </c>
      <c r="I44" s="2" t="s">
        <v>14</v>
      </c>
      <c r="J44" s="2" t="s">
        <v>15</v>
      </c>
      <c r="K44" s="2" t="s">
        <v>791</v>
      </c>
      <c r="L44" s="2" t="s">
        <v>1256</v>
      </c>
      <c r="M44" s="2" t="s">
        <v>1263</v>
      </c>
      <c r="N44" s="2" t="s">
        <v>2058</v>
      </c>
      <c r="O44" s="4">
        <v>36764</v>
      </c>
      <c r="P44" s="2" t="s">
        <v>2463</v>
      </c>
      <c r="Q44" s="2" t="s">
        <v>2432</v>
      </c>
      <c r="R44" s="2" t="s">
        <v>2396</v>
      </c>
      <c r="S44" s="2" t="s">
        <v>792</v>
      </c>
      <c r="T44" s="2" t="s">
        <v>1330</v>
      </c>
      <c r="U44" s="2" t="s">
        <v>1273</v>
      </c>
      <c r="V44" s="2">
        <v>6705837005</v>
      </c>
      <c r="W44" s="2" t="s">
        <v>846</v>
      </c>
      <c r="X44" s="2" t="s">
        <v>811</v>
      </c>
      <c r="Y44" s="2" t="s">
        <v>1184</v>
      </c>
      <c r="Z44" s="2" t="s">
        <v>1185</v>
      </c>
      <c r="AA44" s="2">
        <v>2500</v>
      </c>
      <c r="AB44" s="2">
        <v>200</v>
      </c>
      <c r="AC44" s="2">
        <v>500</v>
      </c>
      <c r="AD44" s="2">
        <v>300</v>
      </c>
      <c r="AE44" s="2">
        <f t="shared" si="0"/>
        <v>2900</v>
      </c>
      <c r="AF44" s="2">
        <v>1000</v>
      </c>
      <c r="AG44" s="4">
        <v>45353</v>
      </c>
      <c r="AH44" s="2">
        <f t="shared" si="1"/>
        <v>1900</v>
      </c>
      <c r="AI44" s="2">
        <v>500</v>
      </c>
      <c r="AJ44" s="4">
        <v>45384</v>
      </c>
      <c r="AK44" s="2">
        <f t="shared" si="2"/>
        <v>1400</v>
      </c>
      <c r="AL44" s="2">
        <v>500</v>
      </c>
      <c r="AM44" s="4">
        <v>45414</v>
      </c>
      <c r="AN44" s="2">
        <f t="shared" si="3"/>
        <v>900</v>
      </c>
      <c r="AO44" s="2" cm="1">
        <f t="array" ref="AO44">_xlfn.IFS(AN44&gt;=5000,3000,AN44&gt;=2000,1000,AN44&gt;=500,500,AN44&lt;500,AN44)</f>
        <v>500</v>
      </c>
      <c r="AP44" s="4">
        <v>45445</v>
      </c>
      <c r="AQ44" s="2">
        <f t="shared" si="4"/>
        <v>400</v>
      </c>
      <c r="AR44" s="2">
        <v>400</v>
      </c>
      <c r="AS44" s="4">
        <v>45475</v>
      </c>
      <c r="AT44" s="2">
        <f t="shared" si="5"/>
        <v>0</v>
      </c>
      <c r="AU44" s="2" t="s">
        <v>1200</v>
      </c>
      <c r="AV44" s="4" t="s">
        <v>1200</v>
      </c>
      <c r="AW44" s="2" t="s">
        <v>1200</v>
      </c>
      <c r="AX44" s="2">
        <f t="shared" si="6"/>
        <v>2900</v>
      </c>
      <c r="AY44" s="2">
        <f t="shared" si="7"/>
        <v>0</v>
      </c>
      <c r="AZ44" s="2" t="str">
        <f t="shared" si="8"/>
        <v>Paid</v>
      </c>
      <c r="BA44" s="9" t="str" cm="1">
        <f t="array" ref="BA44">_xlfn.IFS(AZ44="Paid","R",AZ44="Unpaid","Q")</f>
        <v>R</v>
      </c>
      <c r="BB44" s="8" t="s">
        <v>2815</v>
      </c>
    </row>
    <row r="45" spans="1:54" x14ac:dyDescent="0.25">
      <c r="A45" s="2">
        <v>44</v>
      </c>
      <c r="B45" s="2">
        <v>44</v>
      </c>
      <c r="C45" s="2" t="s">
        <v>110</v>
      </c>
      <c r="D45" s="2" t="s">
        <v>1705</v>
      </c>
      <c r="E45" s="2" t="s">
        <v>111</v>
      </c>
      <c r="F45" s="4">
        <v>45346</v>
      </c>
      <c r="G45" s="8" t="s">
        <v>45</v>
      </c>
      <c r="H45" s="8" t="s">
        <v>1250</v>
      </c>
      <c r="I45" s="2" t="s">
        <v>14</v>
      </c>
      <c r="J45" s="2" t="s">
        <v>15</v>
      </c>
      <c r="K45" s="2" t="s">
        <v>791</v>
      </c>
      <c r="L45" s="2" t="s">
        <v>1256</v>
      </c>
      <c r="M45" s="2" t="s">
        <v>1263</v>
      </c>
      <c r="N45" s="2" t="s">
        <v>2059</v>
      </c>
      <c r="O45" s="4">
        <v>40037</v>
      </c>
      <c r="P45" s="2" t="s">
        <v>2464</v>
      </c>
      <c r="Q45" s="2" t="s">
        <v>2446</v>
      </c>
      <c r="R45" s="2" t="s">
        <v>2393</v>
      </c>
      <c r="S45" s="2" t="s">
        <v>820</v>
      </c>
      <c r="T45" s="2" t="s">
        <v>1331</v>
      </c>
      <c r="U45" s="2" t="s">
        <v>1273</v>
      </c>
      <c r="V45" s="2">
        <v>9835067097</v>
      </c>
      <c r="W45" s="2" t="s">
        <v>847</v>
      </c>
      <c r="X45" s="2" t="s">
        <v>1183</v>
      </c>
      <c r="Y45" s="2" t="s">
        <v>1184</v>
      </c>
      <c r="Z45" s="2" t="s">
        <v>1185</v>
      </c>
      <c r="AA45" s="2">
        <v>2000</v>
      </c>
      <c r="AB45" s="2">
        <v>200</v>
      </c>
      <c r="AC45" s="2">
        <v>300</v>
      </c>
      <c r="AD45" s="2">
        <v>500</v>
      </c>
      <c r="AE45" s="2">
        <f t="shared" si="0"/>
        <v>2000</v>
      </c>
      <c r="AF45" s="2">
        <v>500</v>
      </c>
      <c r="AG45" s="4">
        <v>45356</v>
      </c>
      <c r="AH45" s="2">
        <f t="shared" si="1"/>
        <v>1500</v>
      </c>
      <c r="AI45" s="2">
        <v>500</v>
      </c>
      <c r="AJ45" s="4">
        <v>45387</v>
      </c>
      <c r="AK45" s="2">
        <f t="shared" si="2"/>
        <v>1000</v>
      </c>
      <c r="AL45" s="2">
        <v>500</v>
      </c>
      <c r="AM45" s="4">
        <v>45417</v>
      </c>
      <c r="AN45" s="2">
        <f t="shared" si="3"/>
        <v>500</v>
      </c>
      <c r="AO45" s="2" cm="1">
        <f t="array" ref="AO45">_xlfn.IFS(AN45&gt;=5000,3000,AN45&gt;=2000,1000,AN45&gt;=500,500,AN45&lt;500,AN45)</f>
        <v>500</v>
      </c>
      <c r="AP45" s="4">
        <v>45448</v>
      </c>
      <c r="AQ45" s="2">
        <f t="shared" si="4"/>
        <v>0</v>
      </c>
      <c r="AR45" s="2" t="s">
        <v>1200</v>
      </c>
      <c r="AS45" s="4" t="s">
        <v>1200</v>
      </c>
      <c r="AT45" s="2" t="str">
        <f t="shared" si="5"/>
        <v/>
      </c>
      <c r="AU45" s="2" t="s">
        <v>1200</v>
      </c>
      <c r="AV45" s="4" t="s">
        <v>1200</v>
      </c>
      <c r="AW45" s="2" t="s">
        <v>1200</v>
      </c>
      <c r="AX45" s="2">
        <f t="shared" si="6"/>
        <v>2000</v>
      </c>
      <c r="AY45" s="2">
        <f t="shared" si="7"/>
        <v>0</v>
      </c>
      <c r="AZ45" s="2" t="str">
        <f t="shared" si="8"/>
        <v>Paid</v>
      </c>
      <c r="BA45" s="9" t="str" cm="1">
        <f t="array" ref="BA45">_xlfn.IFS(AZ45="Paid","R",AZ45="Unpaid","Q")</f>
        <v>R</v>
      </c>
      <c r="BB45" s="8" t="s">
        <v>2815</v>
      </c>
    </row>
    <row r="46" spans="1:54" x14ac:dyDescent="0.25">
      <c r="A46" s="2">
        <v>45</v>
      </c>
      <c r="B46" s="2">
        <v>45</v>
      </c>
      <c r="C46" s="2" t="s">
        <v>112</v>
      </c>
      <c r="D46" s="2" t="s">
        <v>1706</v>
      </c>
      <c r="E46" s="2" t="s">
        <v>113</v>
      </c>
      <c r="F46" s="4">
        <v>45346</v>
      </c>
      <c r="G46" s="8" t="s">
        <v>32</v>
      </c>
      <c r="H46" s="8" t="s">
        <v>1249</v>
      </c>
      <c r="I46" s="2" t="s">
        <v>14</v>
      </c>
      <c r="J46" s="2" t="s">
        <v>15</v>
      </c>
      <c r="K46" s="2" t="s">
        <v>791</v>
      </c>
      <c r="L46" s="2" t="s">
        <v>1259</v>
      </c>
      <c r="M46" s="2" t="s">
        <v>1262</v>
      </c>
      <c r="N46" s="2" t="s">
        <v>2060</v>
      </c>
      <c r="O46" s="4">
        <v>39996</v>
      </c>
      <c r="P46" s="2" t="s">
        <v>2465</v>
      </c>
      <c r="Q46" s="2" t="s">
        <v>2405</v>
      </c>
      <c r="R46" s="2" t="s">
        <v>2393</v>
      </c>
      <c r="S46" s="2" t="s">
        <v>820</v>
      </c>
      <c r="T46" s="2" t="s">
        <v>1332</v>
      </c>
      <c r="U46" s="2" t="s">
        <v>1281</v>
      </c>
      <c r="V46" s="2">
        <v>9230739175</v>
      </c>
      <c r="W46" s="2" t="s">
        <v>848</v>
      </c>
      <c r="X46" s="2" t="s">
        <v>822</v>
      </c>
      <c r="Y46" s="2" t="s">
        <v>1184</v>
      </c>
      <c r="Z46" s="2" t="s">
        <v>1185</v>
      </c>
      <c r="AA46" s="2">
        <v>2000</v>
      </c>
      <c r="AB46" s="2">
        <v>200</v>
      </c>
      <c r="AC46" s="2">
        <v>300</v>
      </c>
      <c r="AD46" s="2">
        <v>0</v>
      </c>
      <c r="AE46" s="2">
        <f t="shared" si="0"/>
        <v>2500</v>
      </c>
      <c r="AF46" s="2">
        <v>1000</v>
      </c>
      <c r="AG46" s="4">
        <v>45356</v>
      </c>
      <c r="AH46" s="2">
        <f t="shared" si="1"/>
        <v>1500</v>
      </c>
      <c r="AI46" s="2">
        <v>500</v>
      </c>
      <c r="AJ46" s="4">
        <v>45387</v>
      </c>
      <c r="AK46" s="2">
        <f t="shared" si="2"/>
        <v>1000</v>
      </c>
      <c r="AL46" s="2">
        <v>500</v>
      </c>
      <c r="AM46" s="4">
        <v>45417</v>
      </c>
      <c r="AN46" s="2">
        <f t="shared" si="3"/>
        <v>500</v>
      </c>
      <c r="AO46" s="2" cm="1">
        <f t="array" ref="AO46">_xlfn.IFS(AN46&gt;=5000,3000,AN46&gt;=2000,1000,AN46&gt;=500,500,AN46&lt;500,AN46)</f>
        <v>500</v>
      </c>
      <c r="AP46" s="4">
        <v>45448</v>
      </c>
      <c r="AQ46" s="2">
        <f t="shared" si="4"/>
        <v>0</v>
      </c>
      <c r="AR46" s="2" t="s">
        <v>1200</v>
      </c>
      <c r="AS46" s="4" t="s">
        <v>1200</v>
      </c>
      <c r="AT46" s="2" t="str">
        <f t="shared" si="5"/>
        <v/>
      </c>
      <c r="AU46" s="2" t="s">
        <v>1200</v>
      </c>
      <c r="AV46" s="4" t="s">
        <v>1200</v>
      </c>
      <c r="AW46" s="2" t="s">
        <v>1200</v>
      </c>
      <c r="AX46" s="2">
        <f t="shared" si="6"/>
        <v>2500</v>
      </c>
      <c r="AY46" s="2">
        <f t="shared" si="7"/>
        <v>0</v>
      </c>
      <c r="AZ46" s="2" t="str">
        <f t="shared" si="8"/>
        <v>Paid</v>
      </c>
      <c r="BA46" s="9" t="str" cm="1">
        <f t="array" ref="BA46">_xlfn.IFS(AZ46="Paid","R",AZ46="Unpaid","Q")</f>
        <v>R</v>
      </c>
      <c r="BB46" s="8" t="s">
        <v>2815</v>
      </c>
    </row>
    <row r="47" spans="1:54" x14ac:dyDescent="0.25">
      <c r="A47" s="2">
        <v>46</v>
      </c>
      <c r="B47" s="2">
        <v>46</v>
      </c>
      <c r="C47" s="2" t="s">
        <v>114</v>
      </c>
      <c r="D47" s="2" t="s">
        <v>1707</v>
      </c>
      <c r="E47" s="2" t="s">
        <v>115</v>
      </c>
      <c r="F47" s="4">
        <v>45347</v>
      </c>
      <c r="G47" s="8" t="s">
        <v>95</v>
      </c>
      <c r="H47" s="8" t="s">
        <v>1245</v>
      </c>
      <c r="I47" s="2" t="s">
        <v>14</v>
      </c>
      <c r="J47" s="2" t="s">
        <v>15</v>
      </c>
      <c r="K47" s="2" t="s">
        <v>791</v>
      </c>
      <c r="L47" s="2" t="s">
        <v>1256</v>
      </c>
      <c r="M47" s="2" t="s">
        <v>1263</v>
      </c>
      <c r="N47" s="2" t="s">
        <v>2061</v>
      </c>
      <c r="O47" s="4">
        <v>38546</v>
      </c>
      <c r="P47" s="2" t="s">
        <v>2466</v>
      </c>
      <c r="Q47" s="2" t="s">
        <v>2403</v>
      </c>
      <c r="R47" s="2" t="s">
        <v>2393</v>
      </c>
      <c r="S47" s="2" t="s">
        <v>796</v>
      </c>
      <c r="T47" s="2" t="s">
        <v>1333</v>
      </c>
      <c r="U47" s="2" t="s">
        <v>1272</v>
      </c>
      <c r="V47" s="2">
        <v>9497435101</v>
      </c>
      <c r="W47" s="2" t="s">
        <v>849</v>
      </c>
      <c r="X47" s="2" t="s">
        <v>813</v>
      </c>
      <c r="Y47" s="2" t="s">
        <v>1184</v>
      </c>
      <c r="Z47" s="2" t="s">
        <v>1185</v>
      </c>
      <c r="AA47" s="2">
        <v>3500</v>
      </c>
      <c r="AB47" s="2">
        <v>200</v>
      </c>
      <c r="AC47" s="2">
        <v>500</v>
      </c>
      <c r="AD47" s="2">
        <v>0</v>
      </c>
      <c r="AE47" s="2">
        <f t="shared" si="0"/>
        <v>4200</v>
      </c>
      <c r="AF47" s="2">
        <v>1000</v>
      </c>
      <c r="AG47" s="4">
        <v>45357</v>
      </c>
      <c r="AH47" s="2">
        <f t="shared" si="1"/>
        <v>3200</v>
      </c>
      <c r="AI47" s="2">
        <v>1000</v>
      </c>
      <c r="AJ47" s="4">
        <v>45388</v>
      </c>
      <c r="AK47" s="2">
        <f t="shared" si="2"/>
        <v>2200</v>
      </c>
      <c r="AL47" s="2">
        <v>1000</v>
      </c>
      <c r="AM47" s="4">
        <v>45418</v>
      </c>
      <c r="AN47" s="2">
        <f t="shared" si="3"/>
        <v>1200</v>
      </c>
      <c r="AO47" s="2" cm="1">
        <f t="array" ref="AO47">_xlfn.IFS(AN47&gt;=5000,3000,AN47&gt;=2000,1000,AN47&gt;=500,500,AN47&lt;500,AN47)</f>
        <v>500</v>
      </c>
      <c r="AP47" s="4">
        <v>45449</v>
      </c>
      <c r="AQ47" s="2">
        <f t="shared" si="4"/>
        <v>700</v>
      </c>
      <c r="AR47" s="2">
        <v>500</v>
      </c>
      <c r="AS47" s="4">
        <v>45479</v>
      </c>
      <c r="AT47" s="2">
        <f t="shared" si="5"/>
        <v>200</v>
      </c>
      <c r="AU47" s="2">
        <v>200</v>
      </c>
      <c r="AV47" s="4">
        <v>45510</v>
      </c>
      <c r="AW47" s="2">
        <v>0</v>
      </c>
      <c r="AX47" s="2">
        <f t="shared" si="6"/>
        <v>4200</v>
      </c>
      <c r="AY47" s="2">
        <f t="shared" si="7"/>
        <v>0</v>
      </c>
      <c r="AZ47" s="2" t="str">
        <f t="shared" si="8"/>
        <v>Paid</v>
      </c>
      <c r="BA47" s="9" t="str" cm="1">
        <f t="array" ref="BA47">_xlfn.IFS(AZ47="Paid","R",AZ47="Unpaid","Q")</f>
        <v>R</v>
      </c>
      <c r="BB47" s="8" t="s">
        <v>2815</v>
      </c>
    </row>
    <row r="48" spans="1:54" x14ac:dyDescent="0.25">
      <c r="A48" s="2">
        <v>47</v>
      </c>
      <c r="B48" s="2">
        <v>47</v>
      </c>
      <c r="C48" s="2" t="s">
        <v>116</v>
      </c>
      <c r="D48" s="2" t="s">
        <v>1708</v>
      </c>
      <c r="E48" s="2" t="s">
        <v>117</v>
      </c>
      <c r="F48" s="4">
        <v>45347</v>
      </c>
      <c r="G48" s="8" t="s">
        <v>65</v>
      </c>
      <c r="H48" s="8" t="s">
        <v>65</v>
      </c>
      <c r="I48" s="2" t="s">
        <v>14</v>
      </c>
      <c r="J48" s="2" t="s">
        <v>15</v>
      </c>
      <c r="K48" s="2" t="s">
        <v>791</v>
      </c>
      <c r="L48" s="2" t="s">
        <v>1259</v>
      </c>
      <c r="M48" s="2" t="s">
        <v>1262</v>
      </c>
      <c r="N48" s="2" t="s">
        <v>2062</v>
      </c>
      <c r="O48" s="4">
        <v>38165</v>
      </c>
      <c r="P48" s="2" t="s">
        <v>2467</v>
      </c>
      <c r="Q48" s="2" t="s">
        <v>2432</v>
      </c>
      <c r="R48" s="2" t="s">
        <v>2393</v>
      </c>
      <c r="S48" s="2" t="s">
        <v>796</v>
      </c>
      <c r="T48" s="2" t="s">
        <v>1334</v>
      </c>
      <c r="U48" s="2" t="s">
        <v>1268</v>
      </c>
      <c r="V48" s="2">
        <v>6456263175</v>
      </c>
      <c r="W48" s="2" t="s">
        <v>850</v>
      </c>
      <c r="X48" s="2" t="s">
        <v>1183</v>
      </c>
      <c r="Y48" s="2" t="s">
        <v>1184</v>
      </c>
      <c r="Z48" s="2" t="s">
        <v>1185</v>
      </c>
      <c r="AA48" s="2">
        <v>2500</v>
      </c>
      <c r="AB48" s="2">
        <v>200</v>
      </c>
      <c r="AC48" s="2">
        <v>500</v>
      </c>
      <c r="AD48" s="2">
        <v>200</v>
      </c>
      <c r="AE48" s="2">
        <f t="shared" si="0"/>
        <v>3000</v>
      </c>
      <c r="AF48" s="2">
        <v>1000</v>
      </c>
      <c r="AG48" s="4">
        <v>45357</v>
      </c>
      <c r="AH48" s="2">
        <f t="shared" si="1"/>
        <v>2000</v>
      </c>
      <c r="AI48" s="2">
        <v>1000</v>
      </c>
      <c r="AJ48" s="4">
        <v>45388</v>
      </c>
      <c r="AK48" s="2">
        <f t="shared" si="2"/>
        <v>1000</v>
      </c>
      <c r="AL48" s="2">
        <v>500</v>
      </c>
      <c r="AM48" s="4">
        <v>45418</v>
      </c>
      <c r="AN48" s="2">
        <f t="shared" si="3"/>
        <v>500</v>
      </c>
      <c r="AO48" s="2" cm="1">
        <f t="array" ref="AO48">_xlfn.IFS(AN48&gt;=5000,3000,AN48&gt;=2000,1000,AN48&gt;=500,500,AN48&lt;500,AN48)</f>
        <v>500</v>
      </c>
      <c r="AP48" s="4">
        <v>45449</v>
      </c>
      <c r="AQ48" s="2">
        <f t="shared" si="4"/>
        <v>0</v>
      </c>
      <c r="AR48" s="2" t="s">
        <v>1200</v>
      </c>
      <c r="AS48" s="4" t="s">
        <v>1200</v>
      </c>
      <c r="AT48" s="2" t="str">
        <f t="shared" si="5"/>
        <v/>
      </c>
      <c r="AU48" s="2" t="s">
        <v>1200</v>
      </c>
      <c r="AV48" s="4" t="s">
        <v>1200</v>
      </c>
      <c r="AW48" s="2" t="s">
        <v>1200</v>
      </c>
      <c r="AX48" s="2">
        <f t="shared" si="6"/>
        <v>3000</v>
      </c>
      <c r="AY48" s="2">
        <f t="shared" si="7"/>
        <v>0</v>
      </c>
      <c r="AZ48" s="2" t="str">
        <f t="shared" si="8"/>
        <v>Paid</v>
      </c>
      <c r="BA48" s="9" t="str" cm="1">
        <f t="array" ref="BA48">_xlfn.IFS(AZ48="Paid","R",AZ48="Unpaid","Q")</f>
        <v>R</v>
      </c>
      <c r="BB48" s="8" t="s">
        <v>2815</v>
      </c>
    </row>
    <row r="49" spans="1:54" x14ac:dyDescent="0.25">
      <c r="A49" s="2">
        <v>48</v>
      </c>
      <c r="B49" s="2">
        <v>48</v>
      </c>
      <c r="C49" s="2" t="s">
        <v>118</v>
      </c>
      <c r="D49" s="2" t="s">
        <v>1709</v>
      </c>
      <c r="E49" s="2" t="s">
        <v>119</v>
      </c>
      <c r="F49" s="4">
        <v>45349</v>
      </c>
      <c r="G49" s="8" t="s">
        <v>8</v>
      </c>
      <c r="H49" s="8" t="s">
        <v>1242</v>
      </c>
      <c r="I49" s="2" t="s">
        <v>9</v>
      </c>
      <c r="J49" s="2" t="s">
        <v>10</v>
      </c>
      <c r="K49" s="2" t="s">
        <v>787</v>
      </c>
      <c r="L49" s="2" t="s">
        <v>1260</v>
      </c>
      <c r="M49" s="2" t="s">
        <v>1261</v>
      </c>
      <c r="N49" s="2" t="s">
        <v>2063</v>
      </c>
      <c r="O49" s="4">
        <v>36708</v>
      </c>
      <c r="P49" s="2" t="s">
        <v>2468</v>
      </c>
      <c r="Q49" s="2" t="s">
        <v>2414</v>
      </c>
      <c r="R49" s="2" t="s">
        <v>2393</v>
      </c>
      <c r="S49" s="2" t="s">
        <v>820</v>
      </c>
      <c r="T49" s="2" t="s">
        <v>1335</v>
      </c>
      <c r="U49" s="2" t="s">
        <v>1268</v>
      </c>
      <c r="V49" s="2">
        <v>7483279780</v>
      </c>
      <c r="W49" s="2" t="s">
        <v>851</v>
      </c>
      <c r="X49" s="2" t="s">
        <v>809</v>
      </c>
      <c r="Y49" s="2" t="s">
        <v>1184</v>
      </c>
      <c r="Z49" s="2" t="s">
        <v>1185</v>
      </c>
      <c r="AA49" s="2">
        <v>12500</v>
      </c>
      <c r="AB49" s="2">
        <v>200</v>
      </c>
      <c r="AC49" s="2">
        <v>1200</v>
      </c>
      <c r="AD49" s="2">
        <v>500</v>
      </c>
      <c r="AE49" s="2">
        <f t="shared" si="0"/>
        <v>13400</v>
      </c>
      <c r="AF49" s="2">
        <v>5000</v>
      </c>
      <c r="AG49" s="4">
        <v>45359</v>
      </c>
      <c r="AH49" s="2">
        <f t="shared" si="1"/>
        <v>8400</v>
      </c>
      <c r="AI49" s="2">
        <v>3000</v>
      </c>
      <c r="AJ49" s="4">
        <v>45390</v>
      </c>
      <c r="AK49" s="2">
        <f t="shared" si="2"/>
        <v>5400</v>
      </c>
      <c r="AL49" s="2">
        <v>3000</v>
      </c>
      <c r="AM49" s="4">
        <v>45420</v>
      </c>
      <c r="AN49" s="2">
        <f t="shared" si="3"/>
        <v>2400</v>
      </c>
      <c r="AO49" s="2" cm="1">
        <f t="array" ref="AO49">_xlfn.IFS(AN49&gt;=5000,3000,AN49&gt;=2000,1000,AN49&gt;=500,500,AN49&lt;500,AN49)</f>
        <v>1000</v>
      </c>
      <c r="AP49" s="4">
        <v>45451</v>
      </c>
      <c r="AQ49" s="2">
        <f t="shared" si="4"/>
        <v>1400</v>
      </c>
      <c r="AR49" s="2">
        <v>1000</v>
      </c>
      <c r="AS49" s="4">
        <v>45481</v>
      </c>
      <c r="AT49" s="2">
        <f t="shared" si="5"/>
        <v>400</v>
      </c>
      <c r="AU49" s="2">
        <v>400</v>
      </c>
      <c r="AV49" s="4">
        <v>45512</v>
      </c>
      <c r="AW49" s="2">
        <v>0</v>
      </c>
      <c r="AX49" s="2">
        <f t="shared" si="6"/>
        <v>13400</v>
      </c>
      <c r="AY49" s="2">
        <f t="shared" si="7"/>
        <v>0</v>
      </c>
      <c r="AZ49" s="2" t="str">
        <f t="shared" si="8"/>
        <v>Paid</v>
      </c>
      <c r="BA49" s="9" t="str" cm="1">
        <f t="array" ref="BA49">_xlfn.IFS(AZ49="Paid","R",AZ49="Unpaid","Q")</f>
        <v>R</v>
      </c>
      <c r="BB49" s="8" t="s">
        <v>2815</v>
      </c>
    </row>
    <row r="50" spans="1:54" x14ac:dyDescent="0.25">
      <c r="A50" s="2">
        <v>49</v>
      </c>
      <c r="B50" s="2">
        <v>49</v>
      </c>
      <c r="C50" s="2" t="s">
        <v>120</v>
      </c>
      <c r="D50" s="2" t="s">
        <v>1710</v>
      </c>
      <c r="E50" s="2" t="s">
        <v>121</v>
      </c>
      <c r="F50" s="4">
        <v>45350</v>
      </c>
      <c r="G50" s="8" t="s">
        <v>18</v>
      </c>
      <c r="H50" s="8" t="s">
        <v>1253</v>
      </c>
      <c r="I50" s="2" t="s">
        <v>9</v>
      </c>
      <c r="J50" s="2" t="s">
        <v>15</v>
      </c>
      <c r="K50" s="2" t="s">
        <v>795</v>
      </c>
      <c r="L50" s="2" t="s">
        <v>1258</v>
      </c>
      <c r="M50" s="2" t="s">
        <v>1264</v>
      </c>
      <c r="N50" s="2" t="s">
        <v>2064</v>
      </c>
      <c r="O50" s="4">
        <v>32505</v>
      </c>
      <c r="P50" s="2" t="s">
        <v>2469</v>
      </c>
      <c r="Q50" s="2" t="s">
        <v>2470</v>
      </c>
      <c r="R50" s="2" t="s">
        <v>2393</v>
      </c>
      <c r="S50" s="2" t="s">
        <v>788</v>
      </c>
      <c r="T50" s="2" t="s">
        <v>1336</v>
      </c>
      <c r="U50" s="2" t="s">
        <v>1279</v>
      </c>
      <c r="V50" s="2">
        <v>6341439462</v>
      </c>
      <c r="W50" s="2" t="s">
        <v>852</v>
      </c>
      <c r="X50" s="2" t="s">
        <v>794</v>
      </c>
      <c r="Y50" s="2" t="s">
        <v>1184</v>
      </c>
      <c r="Z50" s="2" t="s">
        <v>1185</v>
      </c>
      <c r="AA50" s="2">
        <v>7000</v>
      </c>
      <c r="AB50" s="2">
        <v>200</v>
      </c>
      <c r="AC50" s="2">
        <v>800</v>
      </c>
      <c r="AD50" s="2">
        <v>300</v>
      </c>
      <c r="AE50" s="2">
        <f t="shared" si="0"/>
        <v>7700</v>
      </c>
      <c r="AF50" s="2">
        <v>2500</v>
      </c>
      <c r="AG50" s="4">
        <v>45360</v>
      </c>
      <c r="AH50" s="2">
        <f t="shared" si="1"/>
        <v>5200</v>
      </c>
      <c r="AI50" s="2">
        <v>3000</v>
      </c>
      <c r="AJ50" s="4">
        <v>45391</v>
      </c>
      <c r="AK50" s="2">
        <f t="shared" si="2"/>
        <v>2200</v>
      </c>
      <c r="AL50" s="2">
        <v>1000</v>
      </c>
      <c r="AM50" s="4">
        <v>45421</v>
      </c>
      <c r="AN50" s="2">
        <f t="shared" si="3"/>
        <v>1200</v>
      </c>
      <c r="AO50" s="2" cm="1">
        <f t="array" ref="AO50">_xlfn.IFS(AN50&gt;=5000,3000,AN50&gt;=2000,1000,AN50&gt;=500,500,AN50&lt;500,AN50)</f>
        <v>500</v>
      </c>
      <c r="AP50" s="4">
        <v>45452</v>
      </c>
      <c r="AQ50" s="2">
        <f t="shared" si="4"/>
        <v>700</v>
      </c>
      <c r="AR50" s="2">
        <v>500</v>
      </c>
      <c r="AS50" s="4">
        <v>45482</v>
      </c>
      <c r="AT50" s="2">
        <f t="shared" si="5"/>
        <v>200</v>
      </c>
      <c r="AU50" s="2">
        <v>200</v>
      </c>
      <c r="AV50" s="4">
        <v>45513</v>
      </c>
      <c r="AW50" s="2">
        <v>0</v>
      </c>
      <c r="AX50" s="2">
        <f t="shared" si="6"/>
        <v>7700</v>
      </c>
      <c r="AY50" s="2">
        <f t="shared" si="7"/>
        <v>0</v>
      </c>
      <c r="AZ50" s="2" t="str">
        <f t="shared" si="8"/>
        <v>Paid</v>
      </c>
      <c r="BA50" s="9" t="str" cm="1">
        <f t="array" ref="BA50">_xlfn.IFS(AZ50="Paid","R",AZ50="Unpaid","Q")</f>
        <v>R</v>
      </c>
      <c r="BB50" s="8" t="s">
        <v>2815</v>
      </c>
    </row>
    <row r="51" spans="1:54" x14ac:dyDescent="0.25">
      <c r="A51" s="2">
        <v>50</v>
      </c>
      <c r="B51" s="2">
        <v>50</v>
      </c>
      <c r="C51" s="2" t="s">
        <v>122</v>
      </c>
      <c r="D51" s="2" t="s">
        <v>1711</v>
      </c>
      <c r="E51" s="2" t="s">
        <v>123</v>
      </c>
      <c r="F51" s="4">
        <v>45352</v>
      </c>
      <c r="G51" s="8" t="s">
        <v>8</v>
      </c>
      <c r="H51" s="8" t="s">
        <v>1242</v>
      </c>
      <c r="I51" s="2" t="s">
        <v>9</v>
      </c>
      <c r="J51" s="2" t="s">
        <v>10</v>
      </c>
      <c r="K51" s="2" t="s">
        <v>787</v>
      </c>
      <c r="L51" s="2" t="s">
        <v>1260</v>
      </c>
      <c r="M51" s="2" t="s">
        <v>1261</v>
      </c>
      <c r="N51" s="2" t="s">
        <v>2065</v>
      </c>
      <c r="O51" s="4">
        <v>38308</v>
      </c>
      <c r="P51" s="2" t="s">
        <v>2471</v>
      </c>
      <c r="Q51" s="2" t="s">
        <v>2472</v>
      </c>
      <c r="R51" s="2" t="s">
        <v>2393</v>
      </c>
      <c r="S51" s="2" t="s">
        <v>820</v>
      </c>
      <c r="T51" s="2" t="s">
        <v>1337</v>
      </c>
      <c r="U51" s="2" t="s">
        <v>1272</v>
      </c>
      <c r="V51" s="2">
        <v>8245707883</v>
      </c>
      <c r="W51" s="2" t="s">
        <v>853</v>
      </c>
      <c r="X51" s="2" t="s">
        <v>801</v>
      </c>
      <c r="Y51" s="2" t="s">
        <v>1184</v>
      </c>
      <c r="Z51" s="2" t="s">
        <v>1185</v>
      </c>
      <c r="AA51" s="2">
        <v>12500</v>
      </c>
      <c r="AB51" s="2">
        <v>200</v>
      </c>
      <c r="AC51" s="2">
        <v>1200</v>
      </c>
      <c r="AD51" s="2">
        <v>0</v>
      </c>
      <c r="AE51" s="2">
        <f t="shared" si="0"/>
        <v>13900</v>
      </c>
      <c r="AF51" s="2">
        <v>5000</v>
      </c>
      <c r="AG51" s="4">
        <v>45362</v>
      </c>
      <c r="AH51" s="2">
        <f t="shared" si="1"/>
        <v>8900</v>
      </c>
      <c r="AI51" s="2">
        <v>3000</v>
      </c>
      <c r="AJ51" s="4">
        <v>45393</v>
      </c>
      <c r="AK51" s="2">
        <f t="shared" si="2"/>
        <v>5900</v>
      </c>
      <c r="AL51" s="2">
        <v>3000</v>
      </c>
      <c r="AM51" s="4">
        <v>45423</v>
      </c>
      <c r="AN51" s="2">
        <f t="shared" si="3"/>
        <v>2900</v>
      </c>
      <c r="AO51" s="2" cm="1">
        <f t="array" ref="AO51">_xlfn.IFS(AN51&gt;=5000,3000,AN51&gt;=2000,1000,AN51&gt;=500,500,AN51&lt;500,AN51)</f>
        <v>1000</v>
      </c>
      <c r="AP51" s="4">
        <v>45454</v>
      </c>
      <c r="AQ51" s="2">
        <f t="shared" si="4"/>
        <v>1900</v>
      </c>
      <c r="AR51" s="2">
        <v>1000</v>
      </c>
      <c r="AS51" s="4">
        <v>45484</v>
      </c>
      <c r="AT51" s="2">
        <f t="shared" si="5"/>
        <v>900</v>
      </c>
      <c r="AU51" s="2">
        <v>900</v>
      </c>
      <c r="AV51" s="4">
        <v>45515</v>
      </c>
      <c r="AW51" s="2">
        <v>0</v>
      </c>
      <c r="AX51" s="2">
        <f t="shared" si="6"/>
        <v>13900</v>
      </c>
      <c r="AY51" s="2">
        <f t="shared" si="7"/>
        <v>0</v>
      </c>
      <c r="AZ51" s="2" t="str">
        <f t="shared" si="8"/>
        <v>Paid</v>
      </c>
      <c r="BA51" s="9" t="str" cm="1">
        <f t="array" ref="BA51">_xlfn.IFS(AZ51="Paid","R",AZ51="Unpaid","Q")</f>
        <v>R</v>
      </c>
      <c r="BB51" s="8" t="s">
        <v>2815</v>
      </c>
    </row>
    <row r="52" spans="1:54" x14ac:dyDescent="0.25">
      <c r="A52" s="2">
        <v>51</v>
      </c>
      <c r="B52" s="2">
        <v>51</v>
      </c>
      <c r="C52" s="2" t="s">
        <v>124</v>
      </c>
      <c r="D52" s="2" t="s">
        <v>1712</v>
      </c>
      <c r="E52" s="2" t="s">
        <v>125</v>
      </c>
      <c r="F52" s="4">
        <v>45353</v>
      </c>
      <c r="G52" s="8" t="s">
        <v>65</v>
      </c>
      <c r="H52" s="8" t="s">
        <v>65</v>
      </c>
      <c r="I52" s="2" t="s">
        <v>14</v>
      </c>
      <c r="J52" s="2" t="s">
        <v>15</v>
      </c>
      <c r="K52" s="2" t="s">
        <v>791</v>
      </c>
      <c r="L52" s="2" t="s">
        <v>1257</v>
      </c>
      <c r="M52" s="2" t="s">
        <v>1261</v>
      </c>
      <c r="N52" s="2" t="s">
        <v>2066</v>
      </c>
      <c r="O52" s="4">
        <v>34031</v>
      </c>
      <c r="P52" s="2" t="s">
        <v>2473</v>
      </c>
      <c r="Q52" s="2" t="s">
        <v>2422</v>
      </c>
      <c r="R52" s="2" t="s">
        <v>2393</v>
      </c>
      <c r="S52" s="2" t="s">
        <v>796</v>
      </c>
      <c r="T52" s="2" t="s">
        <v>1338</v>
      </c>
      <c r="U52" s="2" t="s">
        <v>1281</v>
      </c>
      <c r="V52" s="2">
        <v>8783439546</v>
      </c>
      <c r="W52" s="2" t="s">
        <v>854</v>
      </c>
      <c r="X52" s="2" t="s">
        <v>811</v>
      </c>
      <c r="Y52" s="2" t="s">
        <v>1184</v>
      </c>
      <c r="Z52" s="2" t="s">
        <v>1185</v>
      </c>
      <c r="AA52" s="2">
        <v>2500</v>
      </c>
      <c r="AB52" s="2">
        <v>200</v>
      </c>
      <c r="AC52" s="2">
        <v>500</v>
      </c>
      <c r="AD52" s="2">
        <v>500</v>
      </c>
      <c r="AE52" s="2">
        <f t="shared" si="0"/>
        <v>2700</v>
      </c>
      <c r="AF52" s="2">
        <v>1000</v>
      </c>
      <c r="AG52" s="4">
        <v>45363</v>
      </c>
      <c r="AH52" s="2">
        <f t="shared" si="1"/>
        <v>1700</v>
      </c>
      <c r="AI52" s="2">
        <v>500</v>
      </c>
      <c r="AJ52" s="4">
        <v>45394</v>
      </c>
      <c r="AK52" s="2">
        <f t="shared" si="2"/>
        <v>1200</v>
      </c>
      <c r="AL52" s="2">
        <v>500</v>
      </c>
      <c r="AM52" s="4">
        <v>45424</v>
      </c>
      <c r="AN52" s="2">
        <f t="shared" si="3"/>
        <v>700</v>
      </c>
      <c r="AO52" s="2" cm="1">
        <f t="array" ref="AO52">_xlfn.IFS(AN52&gt;=5000,3000,AN52&gt;=2000,1000,AN52&gt;=500,500,AN52&lt;500,AN52)</f>
        <v>500</v>
      </c>
      <c r="AP52" s="4">
        <v>45455</v>
      </c>
      <c r="AQ52" s="2">
        <f t="shared" si="4"/>
        <v>200</v>
      </c>
      <c r="AR52" s="2">
        <v>200</v>
      </c>
      <c r="AS52" s="4">
        <v>45485</v>
      </c>
      <c r="AT52" s="2">
        <f t="shared" si="5"/>
        <v>0</v>
      </c>
      <c r="AU52" s="2" t="s">
        <v>1200</v>
      </c>
      <c r="AV52" s="4" t="s">
        <v>1200</v>
      </c>
      <c r="AW52" s="2" t="s">
        <v>1200</v>
      </c>
      <c r="AX52" s="2">
        <f t="shared" si="6"/>
        <v>2700</v>
      </c>
      <c r="AY52" s="2">
        <f t="shared" si="7"/>
        <v>0</v>
      </c>
      <c r="AZ52" s="2" t="str">
        <f t="shared" si="8"/>
        <v>Paid</v>
      </c>
      <c r="BA52" s="9" t="str" cm="1">
        <f t="array" ref="BA52">_xlfn.IFS(AZ52="Paid","R",AZ52="Unpaid","Q")</f>
        <v>R</v>
      </c>
      <c r="BB52" s="8" t="s">
        <v>2815</v>
      </c>
    </row>
    <row r="53" spans="1:54" x14ac:dyDescent="0.25">
      <c r="A53" s="2">
        <v>52</v>
      </c>
      <c r="B53" s="2">
        <v>52</v>
      </c>
      <c r="C53" s="2" t="s">
        <v>126</v>
      </c>
      <c r="D53" s="2" t="s">
        <v>1713</v>
      </c>
      <c r="E53" s="2" t="s">
        <v>127</v>
      </c>
      <c r="F53" s="4">
        <v>45354</v>
      </c>
      <c r="G53" s="8" t="s">
        <v>26</v>
      </c>
      <c r="H53" s="8" t="s">
        <v>1243</v>
      </c>
      <c r="I53" s="2" t="s">
        <v>9</v>
      </c>
      <c r="J53" s="2" t="s">
        <v>10</v>
      </c>
      <c r="K53" s="2" t="s">
        <v>787</v>
      </c>
      <c r="L53" s="2" t="s">
        <v>1258</v>
      </c>
      <c r="M53" s="2" t="s">
        <v>1264</v>
      </c>
      <c r="N53" s="2" t="s">
        <v>2067</v>
      </c>
      <c r="O53" s="4">
        <v>38468</v>
      </c>
      <c r="P53" s="2" t="s">
        <v>2474</v>
      </c>
      <c r="Q53" s="2" t="s">
        <v>2398</v>
      </c>
      <c r="R53" s="2" t="s">
        <v>2393</v>
      </c>
      <c r="S53" s="2" t="s">
        <v>788</v>
      </c>
      <c r="T53" s="2" t="s">
        <v>1339</v>
      </c>
      <c r="U53" s="2" t="s">
        <v>1268</v>
      </c>
      <c r="V53" s="2">
        <v>7462590193</v>
      </c>
      <c r="W53" s="2" t="s">
        <v>855</v>
      </c>
      <c r="X53" s="2" t="s">
        <v>813</v>
      </c>
      <c r="Y53" s="2" t="s">
        <v>1184</v>
      </c>
      <c r="Z53" s="2" t="s">
        <v>1185</v>
      </c>
      <c r="AA53" s="2">
        <v>15000</v>
      </c>
      <c r="AB53" s="2">
        <v>200</v>
      </c>
      <c r="AC53" s="2">
        <v>1200</v>
      </c>
      <c r="AD53" s="2">
        <v>200</v>
      </c>
      <c r="AE53" s="2">
        <f t="shared" si="0"/>
        <v>16200</v>
      </c>
      <c r="AF53" s="2">
        <v>5000</v>
      </c>
      <c r="AG53" s="4">
        <v>45364</v>
      </c>
      <c r="AH53" s="2">
        <f t="shared" si="1"/>
        <v>11200</v>
      </c>
      <c r="AI53" s="2">
        <v>3000</v>
      </c>
      <c r="AJ53" s="4">
        <v>45395</v>
      </c>
      <c r="AK53" s="2">
        <f t="shared" si="2"/>
        <v>8200</v>
      </c>
      <c r="AL53" s="2">
        <v>3000</v>
      </c>
      <c r="AM53" s="4">
        <v>45425</v>
      </c>
      <c r="AN53" s="2">
        <f t="shared" si="3"/>
        <v>5200</v>
      </c>
      <c r="AO53" s="2" cm="1">
        <f t="array" ref="AO53">_xlfn.IFS(AN53&gt;=5000,3000,AN53&gt;=2000,1000,AN53&gt;=500,500,AN53&lt;500,AN53)</f>
        <v>3000</v>
      </c>
      <c r="AP53" s="4">
        <v>45456</v>
      </c>
      <c r="AQ53" s="2">
        <f t="shared" si="4"/>
        <v>2200</v>
      </c>
      <c r="AR53" s="2">
        <v>2000</v>
      </c>
      <c r="AS53" s="4">
        <v>45486</v>
      </c>
      <c r="AT53" s="2">
        <f t="shared" si="5"/>
        <v>200</v>
      </c>
      <c r="AU53" s="2">
        <v>200</v>
      </c>
      <c r="AV53" s="4">
        <v>45517</v>
      </c>
      <c r="AW53" s="2">
        <v>0</v>
      </c>
      <c r="AX53" s="2">
        <f t="shared" si="6"/>
        <v>16200</v>
      </c>
      <c r="AY53" s="2">
        <f t="shared" si="7"/>
        <v>0</v>
      </c>
      <c r="AZ53" s="2" t="str">
        <f t="shared" si="8"/>
        <v>Paid</v>
      </c>
      <c r="BA53" s="9" t="str" cm="1">
        <f t="array" ref="BA53">_xlfn.IFS(AZ53="Paid","R",AZ53="Unpaid","Q")</f>
        <v>R</v>
      </c>
      <c r="BB53" s="8" t="s">
        <v>2815</v>
      </c>
    </row>
    <row r="54" spans="1:54" x14ac:dyDescent="0.25">
      <c r="A54" s="2">
        <v>53</v>
      </c>
      <c r="B54" s="2">
        <v>53</v>
      </c>
      <c r="C54" s="2" t="s">
        <v>128</v>
      </c>
      <c r="D54" s="2" t="s">
        <v>1714</v>
      </c>
      <c r="E54" s="2" t="s">
        <v>129</v>
      </c>
      <c r="F54" s="4">
        <v>45356</v>
      </c>
      <c r="G54" s="8" t="s">
        <v>48</v>
      </c>
      <c r="H54" s="8" t="s">
        <v>1251</v>
      </c>
      <c r="I54" s="2" t="s">
        <v>14</v>
      </c>
      <c r="J54" s="2" t="s">
        <v>15</v>
      </c>
      <c r="K54" s="2" t="s">
        <v>791</v>
      </c>
      <c r="L54" s="2" t="s">
        <v>1256</v>
      </c>
      <c r="M54" s="2" t="s">
        <v>1263</v>
      </c>
      <c r="N54" s="2" t="s">
        <v>2068</v>
      </c>
      <c r="O54" s="4">
        <v>39010</v>
      </c>
      <c r="P54" s="2" t="s">
        <v>2475</v>
      </c>
      <c r="Q54" s="2" t="s">
        <v>2403</v>
      </c>
      <c r="R54" s="2" t="s">
        <v>2393</v>
      </c>
      <c r="S54" s="2" t="s">
        <v>788</v>
      </c>
      <c r="T54" s="2" t="s">
        <v>1340</v>
      </c>
      <c r="U54" s="2" t="s">
        <v>1268</v>
      </c>
      <c r="V54" s="2">
        <v>7943272963</v>
      </c>
      <c r="W54" s="2" t="s">
        <v>856</v>
      </c>
      <c r="X54" s="2" t="s">
        <v>1183</v>
      </c>
      <c r="Y54" s="2" t="s">
        <v>1184</v>
      </c>
      <c r="Z54" s="2" t="s">
        <v>1185</v>
      </c>
      <c r="AA54" s="2">
        <v>3000</v>
      </c>
      <c r="AB54" s="2">
        <v>200</v>
      </c>
      <c r="AC54" s="2">
        <v>500</v>
      </c>
      <c r="AD54" s="2">
        <v>300</v>
      </c>
      <c r="AE54" s="2">
        <f t="shared" si="0"/>
        <v>3400</v>
      </c>
      <c r="AF54" s="2">
        <v>1000</v>
      </c>
      <c r="AG54" s="4">
        <v>45366</v>
      </c>
      <c r="AH54" s="2">
        <f t="shared" si="1"/>
        <v>2400</v>
      </c>
      <c r="AI54" s="2">
        <v>1000</v>
      </c>
      <c r="AJ54" s="4">
        <v>45397</v>
      </c>
      <c r="AK54" s="2">
        <f t="shared" si="2"/>
        <v>1400</v>
      </c>
      <c r="AL54" s="2">
        <v>500</v>
      </c>
      <c r="AM54" s="4">
        <v>45427</v>
      </c>
      <c r="AN54" s="2">
        <f t="shared" si="3"/>
        <v>900</v>
      </c>
      <c r="AO54" s="2" cm="1">
        <f t="array" ref="AO54">_xlfn.IFS(AN54&gt;=5000,3000,AN54&gt;=2000,1000,AN54&gt;=500,500,AN54&lt;500,AN54)</f>
        <v>500</v>
      </c>
      <c r="AP54" s="4">
        <v>45458</v>
      </c>
      <c r="AQ54" s="2">
        <f t="shared" si="4"/>
        <v>400</v>
      </c>
      <c r="AR54" s="2">
        <v>400</v>
      </c>
      <c r="AS54" s="4">
        <v>45488</v>
      </c>
      <c r="AT54" s="2">
        <f t="shared" si="5"/>
        <v>0</v>
      </c>
      <c r="AU54" s="2" t="s">
        <v>1200</v>
      </c>
      <c r="AV54" s="4" t="s">
        <v>1200</v>
      </c>
      <c r="AW54" s="2" t="s">
        <v>1200</v>
      </c>
      <c r="AX54" s="2">
        <f t="shared" si="6"/>
        <v>3400</v>
      </c>
      <c r="AY54" s="2">
        <f t="shared" si="7"/>
        <v>0</v>
      </c>
      <c r="AZ54" s="2" t="str">
        <f t="shared" si="8"/>
        <v>Paid</v>
      </c>
      <c r="BA54" s="9" t="str" cm="1">
        <f t="array" ref="BA54">_xlfn.IFS(AZ54="Paid","R",AZ54="Unpaid","Q")</f>
        <v>R</v>
      </c>
      <c r="BB54" s="8" t="s">
        <v>2815</v>
      </c>
    </row>
    <row r="55" spans="1:54" x14ac:dyDescent="0.25">
      <c r="A55" s="2">
        <v>54</v>
      </c>
      <c r="B55" s="2">
        <v>54</v>
      </c>
      <c r="C55" s="2" t="s">
        <v>130</v>
      </c>
      <c r="D55" s="2" t="s">
        <v>1715</v>
      </c>
      <c r="E55" s="2" t="s">
        <v>131</v>
      </c>
      <c r="F55" s="4">
        <v>45359</v>
      </c>
      <c r="G55" s="8" t="s">
        <v>8</v>
      </c>
      <c r="H55" s="8" t="s">
        <v>1242</v>
      </c>
      <c r="I55" s="2" t="s">
        <v>9</v>
      </c>
      <c r="J55" s="2" t="s">
        <v>10</v>
      </c>
      <c r="K55" s="2" t="s">
        <v>787</v>
      </c>
      <c r="L55" s="2" t="s">
        <v>1258</v>
      </c>
      <c r="M55" s="2" t="s">
        <v>1264</v>
      </c>
      <c r="N55" s="2" t="s">
        <v>2069</v>
      </c>
      <c r="O55" s="4">
        <v>37213</v>
      </c>
      <c r="P55" s="2" t="s">
        <v>2476</v>
      </c>
      <c r="Q55" s="2" t="s">
        <v>2422</v>
      </c>
      <c r="R55" s="2" t="s">
        <v>2393</v>
      </c>
      <c r="S55" s="2" t="s">
        <v>796</v>
      </c>
      <c r="T55" s="2" t="s">
        <v>1341</v>
      </c>
      <c r="U55" s="2" t="s">
        <v>1279</v>
      </c>
      <c r="V55" s="2">
        <v>8674854746</v>
      </c>
      <c r="W55" s="2" t="s">
        <v>857</v>
      </c>
      <c r="X55" s="2" t="s">
        <v>813</v>
      </c>
      <c r="Y55" s="2" t="s">
        <v>1184</v>
      </c>
      <c r="Z55" s="2" t="s">
        <v>1185</v>
      </c>
      <c r="AA55" s="2">
        <v>12500</v>
      </c>
      <c r="AB55" s="2">
        <v>200</v>
      </c>
      <c r="AC55" s="2">
        <v>1200</v>
      </c>
      <c r="AD55" s="2">
        <v>500</v>
      </c>
      <c r="AE55" s="2">
        <f t="shared" si="0"/>
        <v>13400</v>
      </c>
      <c r="AF55" s="2">
        <v>5000</v>
      </c>
      <c r="AG55" s="4">
        <v>45369</v>
      </c>
      <c r="AH55" s="2">
        <f t="shared" si="1"/>
        <v>8400</v>
      </c>
      <c r="AI55" s="2">
        <v>3000</v>
      </c>
      <c r="AJ55" s="4">
        <v>45400</v>
      </c>
      <c r="AK55" s="2">
        <f t="shared" si="2"/>
        <v>5400</v>
      </c>
      <c r="AL55" s="2">
        <v>3000</v>
      </c>
      <c r="AM55" s="4">
        <v>45430</v>
      </c>
      <c r="AN55" s="2">
        <f t="shared" si="3"/>
        <v>2400</v>
      </c>
      <c r="AO55" s="2" cm="1">
        <f t="array" ref="AO55">_xlfn.IFS(AN55&gt;=5000,3000,AN55&gt;=2000,1000,AN55&gt;=500,500,AN55&lt;500,AN55)</f>
        <v>1000</v>
      </c>
      <c r="AP55" s="4">
        <v>45461</v>
      </c>
      <c r="AQ55" s="2">
        <f t="shared" si="4"/>
        <v>1400</v>
      </c>
      <c r="AR55" s="2">
        <v>1000</v>
      </c>
      <c r="AS55" s="4">
        <v>45491</v>
      </c>
      <c r="AT55" s="2">
        <f t="shared" si="5"/>
        <v>400</v>
      </c>
      <c r="AU55" s="2">
        <v>400</v>
      </c>
      <c r="AV55" s="4">
        <v>45522</v>
      </c>
      <c r="AW55" s="2">
        <v>0</v>
      </c>
      <c r="AX55" s="2">
        <f t="shared" si="6"/>
        <v>13400</v>
      </c>
      <c r="AY55" s="2">
        <f t="shared" si="7"/>
        <v>0</v>
      </c>
      <c r="AZ55" s="2" t="str">
        <f t="shared" si="8"/>
        <v>Paid</v>
      </c>
      <c r="BA55" s="9" t="str" cm="1">
        <f t="array" ref="BA55">_xlfn.IFS(AZ55="Paid","R",AZ55="Unpaid","Q")</f>
        <v>R</v>
      </c>
      <c r="BB55" s="8" t="s">
        <v>2815</v>
      </c>
    </row>
    <row r="56" spans="1:54" x14ac:dyDescent="0.25">
      <c r="A56" s="2">
        <v>55</v>
      </c>
      <c r="B56" s="2">
        <v>55</v>
      </c>
      <c r="C56" s="2" t="s">
        <v>132</v>
      </c>
      <c r="D56" s="2" t="s">
        <v>1716</v>
      </c>
      <c r="E56" s="2" t="s">
        <v>133</v>
      </c>
      <c r="F56" s="4">
        <v>45359</v>
      </c>
      <c r="G56" s="8" t="s">
        <v>21</v>
      </c>
      <c r="H56" s="8" t="s">
        <v>1252</v>
      </c>
      <c r="I56" s="2" t="s">
        <v>14</v>
      </c>
      <c r="J56" s="2" t="s">
        <v>15</v>
      </c>
      <c r="K56" s="2" t="s">
        <v>791</v>
      </c>
      <c r="L56" s="2" t="s">
        <v>1257</v>
      </c>
      <c r="M56" s="2" t="s">
        <v>1261</v>
      </c>
      <c r="N56" s="2" t="s">
        <v>2070</v>
      </c>
      <c r="O56" s="4">
        <v>39504</v>
      </c>
      <c r="P56" s="2" t="s">
        <v>2477</v>
      </c>
      <c r="Q56" s="2" t="s">
        <v>2478</v>
      </c>
      <c r="R56" s="2" t="s">
        <v>2393</v>
      </c>
      <c r="S56" s="2" t="s">
        <v>788</v>
      </c>
      <c r="T56" s="2" t="s">
        <v>1342</v>
      </c>
      <c r="U56" s="2" t="s">
        <v>1277</v>
      </c>
      <c r="V56" s="2">
        <v>7166910786</v>
      </c>
      <c r="W56" s="2" t="s">
        <v>858</v>
      </c>
      <c r="X56" s="2" t="s">
        <v>1183</v>
      </c>
      <c r="Y56" s="2" t="s">
        <v>1184</v>
      </c>
      <c r="Z56" s="2" t="s">
        <v>1185</v>
      </c>
      <c r="AA56" s="2">
        <v>3000</v>
      </c>
      <c r="AB56" s="2">
        <v>200</v>
      </c>
      <c r="AC56" s="2">
        <v>300</v>
      </c>
      <c r="AD56" s="2">
        <v>0</v>
      </c>
      <c r="AE56" s="2">
        <f t="shared" si="0"/>
        <v>3500</v>
      </c>
      <c r="AF56" s="2">
        <v>1000</v>
      </c>
      <c r="AG56" s="4">
        <v>45369</v>
      </c>
      <c r="AH56" s="2">
        <f t="shared" si="1"/>
        <v>2500</v>
      </c>
      <c r="AI56" s="2">
        <v>1000</v>
      </c>
      <c r="AJ56" s="4">
        <v>45400</v>
      </c>
      <c r="AK56" s="2">
        <f t="shared" si="2"/>
        <v>1500</v>
      </c>
      <c r="AL56" s="2">
        <v>500</v>
      </c>
      <c r="AM56" s="4">
        <v>45430</v>
      </c>
      <c r="AN56" s="2">
        <f t="shared" si="3"/>
        <v>1000</v>
      </c>
      <c r="AO56" s="2" cm="1">
        <f t="array" ref="AO56">_xlfn.IFS(AN56&gt;=5000,3000,AN56&gt;=2000,1000,AN56&gt;=500,500,AN56&lt;500,AN56)</f>
        <v>500</v>
      </c>
      <c r="AP56" s="4">
        <v>45461</v>
      </c>
      <c r="AQ56" s="2">
        <f t="shared" si="4"/>
        <v>500</v>
      </c>
      <c r="AR56" s="2">
        <v>500</v>
      </c>
      <c r="AS56" s="4">
        <v>45491</v>
      </c>
      <c r="AT56" s="2">
        <f t="shared" si="5"/>
        <v>0</v>
      </c>
      <c r="AU56" s="2" t="s">
        <v>1200</v>
      </c>
      <c r="AV56" s="4" t="s">
        <v>1200</v>
      </c>
      <c r="AW56" s="2" t="s">
        <v>1200</v>
      </c>
      <c r="AX56" s="2">
        <f t="shared" si="6"/>
        <v>3500</v>
      </c>
      <c r="AY56" s="2">
        <f t="shared" si="7"/>
        <v>0</v>
      </c>
      <c r="AZ56" s="2" t="str">
        <f t="shared" si="8"/>
        <v>Paid</v>
      </c>
      <c r="BA56" s="9" t="str" cm="1">
        <f t="array" ref="BA56">_xlfn.IFS(AZ56="Paid","R",AZ56="Unpaid","Q")</f>
        <v>R</v>
      </c>
      <c r="BB56" s="8" t="s">
        <v>2815</v>
      </c>
    </row>
    <row r="57" spans="1:54" x14ac:dyDescent="0.25">
      <c r="A57" s="2">
        <v>56</v>
      </c>
      <c r="B57" s="2">
        <v>56</v>
      </c>
      <c r="C57" s="2" t="s">
        <v>134</v>
      </c>
      <c r="D57" s="2" t="s">
        <v>1717</v>
      </c>
      <c r="E57" s="2" t="s">
        <v>135</v>
      </c>
      <c r="F57" s="4">
        <v>45359</v>
      </c>
      <c r="G57" s="8" t="s">
        <v>21</v>
      </c>
      <c r="H57" s="8" t="s">
        <v>1252</v>
      </c>
      <c r="I57" s="2" t="s">
        <v>14</v>
      </c>
      <c r="J57" s="2" t="s">
        <v>15</v>
      </c>
      <c r="K57" s="2" t="s">
        <v>791</v>
      </c>
      <c r="L57" s="2" t="s">
        <v>1258</v>
      </c>
      <c r="M57" s="2" t="s">
        <v>1264</v>
      </c>
      <c r="N57" s="2" t="s">
        <v>2071</v>
      </c>
      <c r="O57" s="4">
        <v>33964</v>
      </c>
      <c r="P57" s="2" t="s">
        <v>2479</v>
      </c>
      <c r="Q57" s="2" t="s">
        <v>2480</v>
      </c>
      <c r="R57" s="2" t="s">
        <v>2393</v>
      </c>
      <c r="S57" s="2" t="s">
        <v>792</v>
      </c>
      <c r="T57" s="2" t="s">
        <v>1343</v>
      </c>
      <c r="U57" s="2" t="s">
        <v>1274</v>
      </c>
      <c r="V57" s="2">
        <v>6712540821</v>
      </c>
      <c r="W57" s="2" t="s">
        <v>859</v>
      </c>
      <c r="X57" s="2" t="s">
        <v>1183</v>
      </c>
      <c r="Y57" s="2" t="s">
        <v>1184</v>
      </c>
      <c r="Z57" s="2" t="s">
        <v>1185</v>
      </c>
      <c r="AA57" s="2">
        <v>3000</v>
      </c>
      <c r="AB57" s="2">
        <v>200</v>
      </c>
      <c r="AC57" s="2">
        <v>300</v>
      </c>
      <c r="AD57" s="2">
        <v>500</v>
      </c>
      <c r="AE57" s="2">
        <f t="shared" si="0"/>
        <v>3000</v>
      </c>
      <c r="AF57" s="2">
        <v>1000</v>
      </c>
      <c r="AG57" s="4">
        <v>45369</v>
      </c>
      <c r="AH57" s="2">
        <f t="shared" si="1"/>
        <v>2000</v>
      </c>
      <c r="AI57" s="2">
        <v>1000</v>
      </c>
      <c r="AJ57" s="4">
        <v>45400</v>
      </c>
      <c r="AK57" s="2">
        <f t="shared" si="2"/>
        <v>1000</v>
      </c>
      <c r="AL57" s="2">
        <v>500</v>
      </c>
      <c r="AM57" s="4">
        <v>45430</v>
      </c>
      <c r="AN57" s="2">
        <f t="shared" si="3"/>
        <v>500</v>
      </c>
      <c r="AO57" s="2" cm="1">
        <f t="array" ref="AO57">_xlfn.IFS(AN57&gt;=5000,3000,AN57&gt;=2000,1000,AN57&gt;=500,500,AN57&lt;500,AN57)</f>
        <v>500</v>
      </c>
      <c r="AP57" s="4">
        <v>45461</v>
      </c>
      <c r="AQ57" s="2">
        <f t="shared" si="4"/>
        <v>0</v>
      </c>
      <c r="AR57" s="2" t="s">
        <v>1200</v>
      </c>
      <c r="AS57" s="4" t="s">
        <v>1200</v>
      </c>
      <c r="AT57" s="2" t="str">
        <f t="shared" si="5"/>
        <v/>
      </c>
      <c r="AU57" s="2" t="s">
        <v>1200</v>
      </c>
      <c r="AV57" s="4" t="s">
        <v>1200</v>
      </c>
      <c r="AW57" s="2" t="s">
        <v>1200</v>
      </c>
      <c r="AX57" s="2">
        <f t="shared" si="6"/>
        <v>3000</v>
      </c>
      <c r="AY57" s="2">
        <f t="shared" si="7"/>
        <v>0</v>
      </c>
      <c r="AZ57" s="2" t="str">
        <f t="shared" si="8"/>
        <v>Paid</v>
      </c>
      <c r="BA57" s="9" t="str" cm="1">
        <f t="array" ref="BA57">_xlfn.IFS(AZ57="Paid","R",AZ57="Unpaid","Q")</f>
        <v>R</v>
      </c>
      <c r="BB57" s="8" t="s">
        <v>2815</v>
      </c>
    </row>
    <row r="58" spans="1:54" x14ac:dyDescent="0.25">
      <c r="A58" s="2">
        <v>57</v>
      </c>
      <c r="B58" s="2">
        <v>57</v>
      </c>
      <c r="C58" s="2" t="s">
        <v>136</v>
      </c>
      <c r="D58" s="2" t="s">
        <v>1718</v>
      </c>
      <c r="E58" s="2" t="s">
        <v>137</v>
      </c>
      <c r="F58" s="4">
        <v>45365</v>
      </c>
      <c r="G58" s="8" t="s">
        <v>95</v>
      </c>
      <c r="H58" s="8" t="s">
        <v>1245</v>
      </c>
      <c r="I58" s="2" t="s">
        <v>14</v>
      </c>
      <c r="J58" s="2" t="s">
        <v>15</v>
      </c>
      <c r="K58" s="2" t="s">
        <v>791</v>
      </c>
      <c r="L58" s="2" t="s">
        <v>1257</v>
      </c>
      <c r="M58" s="2" t="s">
        <v>1261</v>
      </c>
      <c r="N58" s="2" t="s">
        <v>2072</v>
      </c>
      <c r="O58" s="4">
        <v>37993</v>
      </c>
      <c r="P58" s="2" t="s">
        <v>2481</v>
      </c>
      <c r="Q58" s="2" t="s">
        <v>2424</v>
      </c>
      <c r="R58" s="2" t="s">
        <v>2393</v>
      </c>
      <c r="S58" s="2" t="s">
        <v>820</v>
      </c>
      <c r="T58" s="2" t="s">
        <v>1344</v>
      </c>
      <c r="U58" s="2" t="s">
        <v>1268</v>
      </c>
      <c r="V58" s="2">
        <v>9704255637</v>
      </c>
      <c r="W58" s="2" t="s">
        <v>860</v>
      </c>
      <c r="X58" s="2" t="s">
        <v>801</v>
      </c>
      <c r="Y58" s="2" t="s">
        <v>1184</v>
      </c>
      <c r="Z58" s="2" t="s">
        <v>1185</v>
      </c>
      <c r="AA58" s="2">
        <v>3500</v>
      </c>
      <c r="AB58" s="2">
        <v>200</v>
      </c>
      <c r="AC58" s="2">
        <v>500</v>
      </c>
      <c r="AD58" s="2">
        <v>300</v>
      </c>
      <c r="AE58" s="2">
        <f t="shared" si="0"/>
        <v>3900</v>
      </c>
      <c r="AF58" s="2">
        <v>1000</v>
      </c>
      <c r="AG58" s="4">
        <v>45375</v>
      </c>
      <c r="AH58" s="2">
        <f t="shared" si="1"/>
        <v>2900</v>
      </c>
      <c r="AI58" s="2">
        <v>1000</v>
      </c>
      <c r="AJ58" s="4">
        <v>45406</v>
      </c>
      <c r="AK58" s="2">
        <f t="shared" si="2"/>
        <v>1900</v>
      </c>
      <c r="AL58" s="2">
        <v>500</v>
      </c>
      <c r="AM58" s="4">
        <v>45436</v>
      </c>
      <c r="AN58" s="2">
        <f t="shared" si="3"/>
        <v>1400</v>
      </c>
      <c r="AO58" s="2" cm="1">
        <f t="array" ref="AO58">_xlfn.IFS(AN58&gt;=5000,3000,AN58&gt;=2000,1000,AN58&gt;=500,500,AN58&lt;500,AN58)</f>
        <v>500</v>
      </c>
      <c r="AP58" s="4">
        <v>45467</v>
      </c>
      <c r="AQ58" s="2">
        <f t="shared" si="4"/>
        <v>900</v>
      </c>
      <c r="AR58" s="2">
        <v>500</v>
      </c>
      <c r="AS58" s="4">
        <v>45497</v>
      </c>
      <c r="AT58" s="2">
        <f t="shared" si="5"/>
        <v>400</v>
      </c>
      <c r="AU58" s="2">
        <v>400</v>
      </c>
      <c r="AV58" s="4">
        <v>45528</v>
      </c>
      <c r="AW58" s="2">
        <v>0</v>
      </c>
      <c r="AX58" s="2">
        <f t="shared" si="6"/>
        <v>3900</v>
      </c>
      <c r="AY58" s="2">
        <f t="shared" si="7"/>
        <v>0</v>
      </c>
      <c r="AZ58" s="2" t="str">
        <f t="shared" si="8"/>
        <v>Paid</v>
      </c>
      <c r="BA58" s="9" t="str" cm="1">
        <f t="array" ref="BA58">_xlfn.IFS(AZ58="Paid","R",AZ58="Unpaid","Q")</f>
        <v>R</v>
      </c>
      <c r="BB58" s="8" t="s">
        <v>2815</v>
      </c>
    </row>
    <row r="59" spans="1:54" x14ac:dyDescent="0.25">
      <c r="A59" s="2">
        <v>58</v>
      </c>
      <c r="B59" s="2">
        <v>58</v>
      </c>
      <c r="C59" s="2" t="s">
        <v>138</v>
      </c>
      <c r="D59" s="2" t="s">
        <v>1719</v>
      </c>
      <c r="E59" s="2" t="s">
        <v>139</v>
      </c>
      <c r="F59" s="4">
        <v>45370</v>
      </c>
      <c r="G59" s="8" t="s">
        <v>8</v>
      </c>
      <c r="H59" s="8" t="s">
        <v>1242</v>
      </c>
      <c r="I59" s="2" t="s">
        <v>9</v>
      </c>
      <c r="J59" s="2" t="s">
        <v>10</v>
      </c>
      <c r="K59" s="2" t="s">
        <v>787</v>
      </c>
      <c r="L59" s="2" t="s">
        <v>1260</v>
      </c>
      <c r="M59" s="2" t="s">
        <v>1261</v>
      </c>
      <c r="N59" s="2" t="s">
        <v>2073</v>
      </c>
      <c r="O59" s="4">
        <v>33157</v>
      </c>
      <c r="P59" s="2" t="s">
        <v>2482</v>
      </c>
      <c r="Q59" s="2" t="s">
        <v>2392</v>
      </c>
      <c r="R59" s="2" t="s">
        <v>2393</v>
      </c>
      <c r="S59" s="2" t="s">
        <v>788</v>
      </c>
      <c r="T59" s="2" t="s">
        <v>1345</v>
      </c>
      <c r="U59" s="2" t="s">
        <v>1279</v>
      </c>
      <c r="V59" s="2">
        <v>6063317244</v>
      </c>
      <c r="W59" s="2" t="s">
        <v>861</v>
      </c>
      <c r="X59" s="2" t="s">
        <v>809</v>
      </c>
      <c r="Y59" s="2" t="s">
        <v>1184</v>
      </c>
      <c r="Z59" s="2" t="s">
        <v>1185</v>
      </c>
      <c r="AA59" s="2">
        <v>12500</v>
      </c>
      <c r="AB59" s="2">
        <v>200</v>
      </c>
      <c r="AC59" s="2">
        <v>1200</v>
      </c>
      <c r="AD59" s="2">
        <v>0</v>
      </c>
      <c r="AE59" s="2">
        <f t="shared" si="0"/>
        <v>13900</v>
      </c>
      <c r="AF59" s="2">
        <v>5000</v>
      </c>
      <c r="AG59" s="4">
        <v>45380</v>
      </c>
      <c r="AH59" s="2">
        <f t="shared" si="1"/>
        <v>8900</v>
      </c>
      <c r="AI59" s="2">
        <v>3000</v>
      </c>
      <c r="AJ59" s="4">
        <v>45411</v>
      </c>
      <c r="AK59" s="2">
        <f t="shared" si="2"/>
        <v>5900</v>
      </c>
      <c r="AL59" s="2">
        <v>3000</v>
      </c>
      <c r="AM59" s="4">
        <v>45441</v>
      </c>
      <c r="AN59" s="2">
        <f t="shared" si="3"/>
        <v>2900</v>
      </c>
      <c r="AO59" s="2" cm="1">
        <f t="array" ref="AO59">_xlfn.IFS(AN59&gt;=5000,3000,AN59&gt;=2000,1000,AN59&gt;=500,500,AN59&lt;500,AN59)</f>
        <v>1000</v>
      </c>
      <c r="AP59" s="4">
        <v>45472</v>
      </c>
      <c r="AQ59" s="2">
        <f t="shared" si="4"/>
        <v>1900</v>
      </c>
      <c r="AR59" s="2">
        <v>1000</v>
      </c>
      <c r="AS59" s="4">
        <v>45502</v>
      </c>
      <c r="AT59" s="2">
        <f t="shared" si="5"/>
        <v>900</v>
      </c>
      <c r="AU59" s="2">
        <v>900</v>
      </c>
      <c r="AV59" s="4">
        <v>45533</v>
      </c>
      <c r="AW59" s="2">
        <v>0</v>
      </c>
      <c r="AX59" s="2">
        <f t="shared" si="6"/>
        <v>13900</v>
      </c>
      <c r="AY59" s="2">
        <f t="shared" si="7"/>
        <v>0</v>
      </c>
      <c r="AZ59" s="2" t="str">
        <f t="shared" si="8"/>
        <v>Paid</v>
      </c>
      <c r="BA59" s="9" t="str" cm="1">
        <f t="array" ref="BA59">_xlfn.IFS(AZ59="Paid","R",AZ59="Unpaid","Q")</f>
        <v>R</v>
      </c>
      <c r="BB59" s="8" t="s">
        <v>2815</v>
      </c>
    </row>
    <row r="60" spans="1:54" x14ac:dyDescent="0.25">
      <c r="A60" s="2">
        <v>59</v>
      </c>
      <c r="B60" s="2">
        <v>59</v>
      </c>
      <c r="C60" s="2" t="s">
        <v>140</v>
      </c>
      <c r="D60" s="2" t="s">
        <v>1720</v>
      </c>
      <c r="E60" s="2" t="s">
        <v>141</v>
      </c>
      <c r="F60" s="4">
        <v>45372</v>
      </c>
      <c r="G60" s="8" t="s">
        <v>45</v>
      </c>
      <c r="H60" s="8" t="s">
        <v>1250</v>
      </c>
      <c r="I60" s="2" t="s">
        <v>14</v>
      </c>
      <c r="J60" s="2" t="s">
        <v>15</v>
      </c>
      <c r="K60" s="2" t="s">
        <v>791</v>
      </c>
      <c r="L60" s="2" t="s">
        <v>1259</v>
      </c>
      <c r="M60" s="2" t="s">
        <v>1262</v>
      </c>
      <c r="N60" s="2" t="s">
        <v>2074</v>
      </c>
      <c r="O60" s="4">
        <v>34570</v>
      </c>
      <c r="P60" s="2" t="s">
        <v>2483</v>
      </c>
      <c r="Q60" s="2" t="s">
        <v>2405</v>
      </c>
      <c r="R60" s="2" t="s">
        <v>2393</v>
      </c>
      <c r="S60" s="2" t="s">
        <v>788</v>
      </c>
      <c r="T60" s="2" t="s">
        <v>1346</v>
      </c>
      <c r="U60" s="2" t="s">
        <v>1278</v>
      </c>
      <c r="V60" s="2">
        <v>7345957310</v>
      </c>
      <c r="W60" s="2" t="s">
        <v>862</v>
      </c>
      <c r="X60" s="2" t="s">
        <v>801</v>
      </c>
      <c r="Y60" s="2" t="s">
        <v>1184</v>
      </c>
      <c r="Z60" s="2" t="s">
        <v>1185</v>
      </c>
      <c r="AA60" s="2">
        <v>2000</v>
      </c>
      <c r="AB60" s="2">
        <v>200</v>
      </c>
      <c r="AC60" s="2">
        <v>300</v>
      </c>
      <c r="AD60" s="2">
        <v>300</v>
      </c>
      <c r="AE60" s="2">
        <f t="shared" si="0"/>
        <v>2200</v>
      </c>
      <c r="AF60" s="2">
        <v>500</v>
      </c>
      <c r="AG60" s="4">
        <v>45382</v>
      </c>
      <c r="AH60" s="2">
        <f t="shared" si="1"/>
        <v>1700</v>
      </c>
      <c r="AI60" s="2">
        <v>500</v>
      </c>
      <c r="AJ60" s="4">
        <v>45412</v>
      </c>
      <c r="AK60" s="2">
        <f t="shared" si="2"/>
        <v>1200</v>
      </c>
      <c r="AL60" s="2">
        <v>500</v>
      </c>
      <c r="AM60" s="4">
        <v>45442</v>
      </c>
      <c r="AN60" s="2">
        <f t="shared" si="3"/>
        <v>700</v>
      </c>
      <c r="AO60" s="2" cm="1">
        <f t="array" ref="AO60">_xlfn.IFS(AN60&gt;=5000,3000,AN60&gt;=2000,1000,AN60&gt;=500,500,AN60&lt;500,AN60)</f>
        <v>500</v>
      </c>
      <c r="AP60" s="4">
        <v>45473</v>
      </c>
      <c r="AQ60" s="2">
        <f t="shared" si="4"/>
        <v>200</v>
      </c>
      <c r="AR60" s="2">
        <v>200</v>
      </c>
      <c r="AS60" s="4">
        <v>45503</v>
      </c>
      <c r="AT60" s="2">
        <f t="shared" si="5"/>
        <v>0</v>
      </c>
      <c r="AU60" s="2" t="s">
        <v>1200</v>
      </c>
      <c r="AV60" s="4" t="s">
        <v>1200</v>
      </c>
      <c r="AW60" s="2" t="s">
        <v>1200</v>
      </c>
      <c r="AX60" s="2">
        <f t="shared" si="6"/>
        <v>2200</v>
      </c>
      <c r="AY60" s="2">
        <f t="shared" si="7"/>
        <v>0</v>
      </c>
      <c r="AZ60" s="2" t="str">
        <f t="shared" si="8"/>
        <v>Paid</v>
      </c>
      <c r="BA60" s="9" t="str" cm="1">
        <f t="array" ref="BA60">_xlfn.IFS(AZ60="Paid","R",AZ60="Unpaid","Q")</f>
        <v>R</v>
      </c>
      <c r="BB60" s="8" t="s">
        <v>2815</v>
      </c>
    </row>
    <row r="61" spans="1:54" x14ac:dyDescent="0.25">
      <c r="A61" s="2">
        <v>60</v>
      </c>
      <c r="B61" s="2">
        <v>60</v>
      </c>
      <c r="C61" s="2" t="s">
        <v>142</v>
      </c>
      <c r="D61" s="2" t="s">
        <v>1721</v>
      </c>
      <c r="E61" s="2" t="s">
        <v>143</v>
      </c>
      <c r="F61" s="4">
        <v>45372</v>
      </c>
      <c r="G61" s="8" t="s">
        <v>26</v>
      </c>
      <c r="H61" s="8" t="s">
        <v>1243</v>
      </c>
      <c r="I61" s="2" t="s">
        <v>9</v>
      </c>
      <c r="J61" s="2" t="s">
        <v>10</v>
      </c>
      <c r="K61" s="2" t="s">
        <v>787</v>
      </c>
      <c r="L61" s="2" t="s">
        <v>1260</v>
      </c>
      <c r="M61" s="2" t="s">
        <v>1261</v>
      </c>
      <c r="N61" s="2" t="s">
        <v>2075</v>
      </c>
      <c r="O61" s="4">
        <v>36714</v>
      </c>
      <c r="P61" s="2" t="s">
        <v>2484</v>
      </c>
      <c r="Q61" s="2" t="s">
        <v>2485</v>
      </c>
      <c r="R61" s="2" t="s">
        <v>2393</v>
      </c>
      <c r="S61" s="2" t="s">
        <v>820</v>
      </c>
      <c r="T61" s="2" t="s">
        <v>1347</v>
      </c>
      <c r="U61" s="2" t="s">
        <v>1279</v>
      </c>
      <c r="V61" s="2">
        <v>6413521410</v>
      </c>
      <c r="W61" s="2" t="s">
        <v>863</v>
      </c>
      <c r="X61" s="2" t="s">
        <v>798</v>
      </c>
      <c r="Y61" s="2" t="s">
        <v>1184</v>
      </c>
      <c r="Z61" s="2" t="s">
        <v>1185</v>
      </c>
      <c r="AA61" s="2">
        <v>15000</v>
      </c>
      <c r="AB61" s="2">
        <v>200</v>
      </c>
      <c r="AC61" s="2">
        <v>1200</v>
      </c>
      <c r="AD61" s="2">
        <v>300</v>
      </c>
      <c r="AE61" s="2">
        <f t="shared" si="0"/>
        <v>16100</v>
      </c>
      <c r="AF61" s="2">
        <v>5000</v>
      </c>
      <c r="AG61" s="4">
        <v>45382</v>
      </c>
      <c r="AH61" s="2">
        <f t="shared" si="1"/>
        <v>11100</v>
      </c>
      <c r="AI61" s="2">
        <v>3000</v>
      </c>
      <c r="AJ61" s="4">
        <v>45412</v>
      </c>
      <c r="AK61" s="2">
        <f t="shared" si="2"/>
        <v>8100</v>
      </c>
      <c r="AL61" s="2">
        <v>3000</v>
      </c>
      <c r="AM61" s="4">
        <v>45442</v>
      </c>
      <c r="AN61" s="2">
        <f t="shared" si="3"/>
        <v>5100</v>
      </c>
      <c r="AO61" s="2" cm="1">
        <f t="array" ref="AO61">_xlfn.IFS(AN61&gt;=5000,3000,AN61&gt;=2000,1000,AN61&gt;=500,500,AN61&lt;500,AN61)</f>
        <v>3000</v>
      </c>
      <c r="AP61" s="4">
        <v>45473</v>
      </c>
      <c r="AQ61" s="2">
        <f t="shared" si="4"/>
        <v>2100</v>
      </c>
      <c r="AR61" s="2">
        <v>2000</v>
      </c>
      <c r="AS61" s="4">
        <v>45503</v>
      </c>
      <c r="AT61" s="2">
        <f t="shared" si="5"/>
        <v>100</v>
      </c>
      <c r="AU61" s="2">
        <v>100</v>
      </c>
      <c r="AV61" s="4">
        <v>45534</v>
      </c>
      <c r="AW61" s="2">
        <v>0</v>
      </c>
      <c r="AX61" s="2">
        <f t="shared" si="6"/>
        <v>16100</v>
      </c>
      <c r="AY61" s="2">
        <f t="shared" si="7"/>
        <v>0</v>
      </c>
      <c r="AZ61" s="2" t="str">
        <f t="shared" si="8"/>
        <v>Paid</v>
      </c>
      <c r="BA61" s="9" t="str" cm="1">
        <f t="array" ref="BA61">_xlfn.IFS(AZ61="Paid","R",AZ61="Unpaid","Q")</f>
        <v>R</v>
      </c>
      <c r="BB61" s="8" t="s">
        <v>2815</v>
      </c>
    </row>
    <row r="62" spans="1:54" x14ac:dyDescent="0.25">
      <c r="A62" s="2">
        <v>61</v>
      </c>
      <c r="B62" s="2">
        <v>61</v>
      </c>
      <c r="C62" s="2" t="s">
        <v>144</v>
      </c>
      <c r="D62" s="2" t="s">
        <v>1722</v>
      </c>
      <c r="E62" s="2" t="s">
        <v>145</v>
      </c>
      <c r="F62" s="4">
        <v>45372</v>
      </c>
      <c r="G62" s="8" t="s">
        <v>35</v>
      </c>
      <c r="H62" s="8" t="s">
        <v>1244</v>
      </c>
      <c r="I62" s="2" t="s">
        <v>14</v>
      </c>
      <c r="J62" s="2" t="s">
        <v>15</v>
      </c>
      <c r="K62" s="2" t="s">
        <v>791</v>
      </c>
      <c r="L62" s="2" t="s">
        <v>1259</v>
      </c>
      <c r="M62" s="2" t="s">
        <v>1262</v>
      </c>
      <c r="N62" s="2" t="s">
        <v>2076</v>
      </c>
      <c r="O62" s="4">
        <v>34670</v>
      </c>
      <c r="P62" s="2" t="s">
        <v>2486</v>
      </c>
      <c r="Q62" s="2" t="s">
        <v>2392</v>
      </c>
      <c r="R62" s="2" t="s">
        <v>2393</v>
      </c>
      <c r="S62" s="2" t="s">
        <v>788</v>
      </c>
      <c r="T62" s="2" t="s">
        <v>1348</v>
      </c>
      <c r="U62" s="2" t="s">
        <v>1270</v>
      </c>
      <c r="V62" s="2">
        <v>9327135628</v>
      </c>
      <c r="W62" s="2" t="s">
        <v>864</v>
      </c>
      <c r="X62" s="2" t="s">
        <v>822</v>
      </c>
      <c r="Y62" s="2" t="s">
        <v>1184</v>
      </c>
      <c r="Z62" s="2" t="s">
        <v>1185</v>
      </c>
      <c r="AA62" s="2">
        <v>3000</v>
      </c>
      <c r="AB62" s="2">
        <v>200</v>
      </c>
      <c r="AC62" s="2">
        <v>500</v>
      </c>
      <c r="AD62" s="2">
        <v>0</v>
      </c>
      <c r="AE62" s="2">
        <f t="shared" si="0"/>
        <v>3700</v>
      </c>
      <c r="AF62" s="2">
        <v>1000</v>
      </c>
      <c r="AG62" s="4">
        <v>45382</v>
      </c>
      <c r="AH62" s="2">
        <f t="shared" si="1"/>
        <v>2700</v>
      </c>
      <c r="AI62" s="2">
        <v>1000</v>
      </c>
      <c r="AJ62" s="4">
        <v>45412</v>
      </c>
      <c r="AK62" s="2">
        <f t="shared" si="2"/>
        <v>1700</v>
      </c>
      <c r="AL62" s="2">
        <v>500</v>
      </c>
      <c r="AM62" s="4">
        <v>45442</v>
      </c>
      <c r="AN62" s="2">
        <f t="shared" si="3"/>
        <v>1200</v>
      </c>
      <c r="AO62" s="2" cm="1">
        <f t="array" ref="AO62">_xlfn.IFS(AN62&gt;=5000,3000,AN62&gt;=2000,1000,AN62&gt;=500,500,AN62&lt;500,AN62)</f>
        <v>500</v>
      </c>
      <c r="AP62" s="4">
        <v>45473</v>
      </c>
      <c r="AQ62" s="2">
        <f t="shared" si="4"/>
        <v>700</v>
      </c>
      <c r="AR62" s="2">
        <v>500</v>
      </c>
      <c r="AS62" s="4">
        <v>45503</v>
      </c>
      <c r="AT62" s="2">
        <f t="shared" si="5"/>
        <v>200</v>
      </c>
      <c r="AU62" s="2">
        <v>200</v>
      </c>
      <c r="AV62" s="4">
        <v>45534</v>
      </c>
      <c r="AW62" s="2">
        <v>0</v>
      </c>
      <c r="AX62" s="2">
        <f t="shared" si="6"/>
        <v>3700</v>
      </c>
      <c r="AY62" s="2">
        <f t="shared" si="7"/>
        <v>0</v>
      </c>
      <c r="AZ62" s="2" t="str">
        <f t="shared" si="8"/>
        <v>Paid</v>
      </c>
      <c r="BA62" s="9" t="str" cm="1">
        <f t="array" ref="BA62">_xlfn.IFS(AZ62="Paid","R",AZ62="Unpaid","Q")</f>
        <v>R</v>
      </c>
      <c r="BB62" s="8" t="s">
        <v>2815</v>
      </c>
    </row>
    <row r="63" spans="1:54" x14ac:dyDescent="0.25">
      <c r="A63" s="2">
        <v>62</v>
      </c>
      <c r="B63" s="2">
        <v>62</v>
      </c>
      <c r="C63" s="2" t="s">
        <v>146</v>
      </c>
      <c r="D63" s="2" t="s">
        <v>1723</v>
      </c>
      <c r="E63" s="2" t="s">
        <v>147</v>
      </c>
      <c r="F63" s="4">
        <v>45372</v>
      </c>
      <c r="G63" s="8" t="s">
        <v>70</v>
      </c>
      <c r="H63" s="8" t="s">
        <v>1247</v>
      </c>
      <c r="I63" s="2" t="s">
        <v>9</v>
      </c>
      <c r="J63" s="2" t="s">
        <v>15</v>
      </c>
      <c r="K63" s="2" t="s">
        <v>795</v>
      </c>
      <c r="L63" s="2" t="s">
        <v>1257</v>
      </c>
      <c r="M63" s="2" t="s">
        <v>1261</v>
      </c>
      <c r="N63" s="2" t="s">
        <v>2077</v>
      </c>
      <c r="O63" s="4">
        <v>39639</v>
      </c>
      <c r="P63" s="2" t="s">
        <v>2487</v>
      </c>
      <c r="Q63" s="2" t="s">
        <v>2441</v>
      </c>
      <c r="R63" s="2" t="s">
        <v>2393</v>
      </c>
      <c r="S63" s="2" t="s">
        <v>788</v>
      </c>
      <c r="T63" s="2" t="s">
        <v>1349</v>
      </c>
      <c r="U63" s="2" t="s">
        <v>1274</v>
      </c>
      <c r="V63" s="2">
        <v>8905770618</v>
      </c>
      <c r="W63" s="2" t="s">
        <v>865</v>
      </c>
      <c r="X63" s="2" t="s">
        <v>1183</v>
      </c>
      <c r="Y63" s="2" t="s">
        <v>1184</v>
      </c>
      <c r="Z63" s="2" t="s">
        <v>1185</v>
      </c>
      <c r="AA63" s="2">
        <v>8000</v>
      </c>
      <c r="AB63" s="2">
        <v>200</v>
      </c>
      <c r="AC63" s="2">
        <v>1000</v>
      </c>
      <c r="AD63" s="2">
        <v>500</v>
      </c>
      <c r="AE63" s="2">
        <f t="shared" si="0"/>
        <v>8700</v>
      </c>
      <c r="AF63" s="2">
        <v>2500</v>
      </c>
      <c r="AG63" s="4">
        <v>45382</v>
      </c>
      <c r="AH63" s="2">
        <f t="shared" si="1"/>
        <v>6200</v>
      </c>
      <c r="AI63" s="2">
        <v>3000</v>
      </c>
      <c r="AJ63" s="4">
        <v>45412</v>
      </c>
      <c r="AK63" s="2">
        <f t="shared" si="2"/>
        <v>3200</v>
      </c>
      <c r="AL63" s="2">
        <v>1000</v>
      </c>
      <c r="AM63" s="4">
        <v>45442</v>
      </c>
      <c r="AN63" s="2">
        <f t="shared" si="3"/>
        <v>2200</v>
      </c>
      <c r="AO63" s="2" cm="1">
        <f t="array" ref="AO63">_xlfn.IFS(AN63&gt;=5000,3000,AN63&gt;=2000,1000,AN63&gt;=500,500,AN63&lt;500,AN63)</f>
        <v>1000</v>
      </c>
      <c r="AP63" s="4">
        <v>45473</v>
      </c>
      <c r="AQ63" s="2">
        <f t="shared" si="4"/>
        <v>1200</v>
      </c>
      <c r="AR63" s="2">
        <v>1000</v>
      </c>
      <c r="AS63" s="4">
        <v>45503</v>
      </c>
      <c r="AT63" s="2">
        <f t="shared" si="5"/>
        <v>200</v>
      </c>
      <c r="AU63" s="2">
        <v>200</v>
      </c>
      <c r="AV63" s="4">
        <v>45534</v>
      </c>
      <c r="AW63" s="2">
        <v>0</v>
      </c>
      <c r="AX63" s="2">
        <f t="shared" si="6"/>
        <v>8700</v>
      </c>
      <c r="AY63" s="2">
        <f t="shared" si="7"/>
        <v>0</v>
      </c>
      <c r="AZ63" s="2" t="str">
        <f t="shared" si="8"/>
        <v>Paid</v>
      </c>
      <c r="BA63" s="9" t="str" cm="1">
        <f t="array" ref="BA63">_xlfn.IFS(AZ63="Paid","R",AZ63="Unpaid","Q")</f>
        <v>R</v>
      </c>
      <c r="BB63" s="8" t="s">
        <v>2815</v>
      </c>
    </row>
    <row r="64" spans="1:54" x14ac:dyDescent="0.25">
      <c r="A64" s="2">
        <v>63</v>
      </c>
      <c r="B64" s="2">
        <v>63</v>
      </c>
      <c r="C64" s="2" t="s">
        <v>148</v>
      </c>
      <c r="D64" s="2" t="s">
        <v>1724</v>
      </c>
      <c r="E64" s="2" t="s">
        <v>149</v>
      </c>
      <c r="F64" s="4">
        <v>45373</v>
      </c>
      <c r="G64" s="8" t="s">
        <v>18</v>
      </c>
      <c r="H64" s="8" t="s">
        <v>1253</v>
      </c>
      <c r="I64" s="2" t="s">
        <v>9</v>
      </c>
      <c r="J64" s="2" t="s">
        <v>15</v>
      </c>
      <c r="K64" s="2" t="s">
        <v>795</v>
      </c>
      <c r="L64" s="2" t="s">
        <v>1258</v>
      </c>
      <c r="M64" s="2" t="s">
        <v>1264</v>
      </c>
      <c r="N64" s="2" t="s">
        <v>2078</v>
      </c>
      <c r="O64" s="4">
        <v>37687</v>
      </c>
      <c r="P64" s="2" t="s">
        <v>2488</v>
      </c>
      <c r="Q64" s="2" t="s">
        <v>2434</v>
      </c>
      <c r="R64" s="2" t="s">
        <v>2393</v>
      </c>
      <c r="S64" s="2" t="s">
        <v>792</v>
      </c>
      <c r="T64" s="2" t="s">
        <v>1350</v>
      </c>
      <c r="U64" s="2" t="s">
        <v>1280</v>
      </c>
      <c r="V64" s="2">
        <v>9004388625</v>
      </c>
      <c r="W64" s="2" t="s">
        <v>866</v>
      </c>
      <c r="X64" s="2" t="s">
        <v>807</v>
      </c>
      <c r="Y64" s="2" t="s">
        <v>1184</v>
      </c>
      <c r="Z64" s="2" t="s">
        <v>1185</v>
      </c>
      <c r="AA64" s="2">
        <v>7000</v>
      </c>
      <c r="AB64" s="2">
        <v>200</v>
      </c>
      <c r="AC64" s="2">
        <v>800</v>
      </c>
      <c r="AD64" s="2">
        <v>0</v>
      </c>
      <c r="AE64" s="2">
        <f t="shared" si="0"/>
        <v>8000</v>
      </c>
      <c r="AF64" s="2">
        <v>2500</v>
      </c>
      <c r="AG64" s="4">
        <v>45383</v>
      </c>
      <c r="AH64" s="2">
        <f t="shared" si="1"/>
        <v>5500</v>
      </c>
      <c r="AI64" s="2">
        <v>3000</v>
      </c>
      <c r="AJ64" s="4">
        <v>45413</v>
      </c>
      <c r="AK64" s="2">
        <f t="shared" si="2"/>
        <v>2500</v>
      </c>
      <c r="AL64" s="2">
        <v>1000</v>
      </c>
      <c r="AM64" s="4">
        <v>45444</v>
      </c>
      <c r="AN64" s="2">
        <f t="shared" si="3"/>
        <v>1500</v>
      </c>
      <c r="AO64" s="2" cm="1">
        <f t="array" ref="AO64">_xlfn.IFS(AN64&gt;=5000,3000,AN64&gt;=2000,1000,AN64&gt;=500,500,AN64&lt;500,AN64)</f>
        <v>500</v>
      </c>
      <c r="AP64" s="4">
        <v>45474</v>
      </c>
      <c r="AQ64" s="2">
        <f t="shared" si="4"/>
        <v>1000</v>
      </c>
      <c r="AR64" s="2">
        <v>1000</v>
      </c>
      <c r="AS64" s="4">
        <v>45505</v>
      </c>
      <c r="AT64" s="2">
        <f t="shared" si="5"/>
        <v>0</v>
      </c>
      <c r="AU64" s="2" t="s">
        <v>1200</v>
      </c>
      <c r="AV64" s="4" t="s">
        <v>1200</v>
      </c>
      <c r="AW64" s="2" t="s">
        <v>1200</v>
      </c>
      <c r="AX64" s="2">
        <f t="shared" si="6"/>
        <v>8000</v>
      </c>
      <c r="AY64" s="2">
        <f t="shared" si="7"/>
        <v>0</v>
      </c>
      <c r="AZ64" s="2" t="str">
        <f t="shared" si="8"/>
        <v>Paid</v>
      </c>
      <c r="BA64" s="9" t="str" cm="1">
        <f t="array" ref="BA64">_xlfn.IFS(AZ64="Paid","R",AZ64="Unpaid","Q")</f>
        <v>R</v>
      </c>
      <c r="BB64" s="8" t="s">
        <v>2815</v>
      </c>
    </row>
    <row r="65" spans="1:54" x14ac:dyDescent="0.25">
      <c r="A65" s="2">
        <v>64</v>
      </c>
      <c r="B65" s="2">
        <v>64</v>
      </c>
      <c r="C65" s="2" t="s">
        <v>150</v>
      </c>
      <c r="D65" s="2" t="s">
        <v>1725</v>
      </c>
      <c r="E65" s="2" t="s">
        <v>151</v>
      </c>
      <c r="F65" s="4">
        <v>45375</v>
      </c>
      <c r="G65" s="8" t="s">
        <v>35</v>
      </c>
      <c r="H65" s="8" t="s">
        <v>1244</v>
      </c>
      <c r="I65" s="2" t="s">
        <v>14</v>
      </c>
      <c r="J65" s="2" t="s">
        <v>15</v>
      </c>
      <c r="K65" s="2" t="s">
        <v>791</v>
      </c>
      <c r="L65" s="2" t="s">
        <v>1256</v>
      </c>
      <c r="M65" s="2" t="s">
        <v>1263</v>
      </c>
      <c r="N65" s="2" t="s">
        <v>2079</v>
      </c>
      <c r="O65" s="4">
        <v>34106</v>
      </c>
      <c r="P65" s="2" t="s">
        <v>2489</v>
      </c>
      <c r="Q65" s="2" t="s">
        <v>2490</v>
      </c>
      <c r="R65" s="2" t="s">
        <v>2393</v>
      </c>
      <c r="S65" s="2" t="s">
        <v>788</v>
      </c>
      <c r="T65" s="2" t="s">
        <v>1351</v>
      </c>
      <c r="U65" s="2" t="s">
        <v>1279</v>
      </c>
      <c r="V65" s="2">
        <v>6258947190</v>
      </c>
      <c r="W65" s="2" t="s">
        <v>867</v>
      </c>
      <c r="X65" s="2" t="s">
        <v>790</v>
      </c>
      <c r="Y65" s="2" t="s">
        <v>1184</v>
      </c>
      <c r="Z65" s="2" t="s">
        <v>1185</v>
      </c>
      <c r="AA65" s="2">
        <v>3000</v>
      </c>
      <c r="AB65" s="2">
        <v>200</v>
      </c>
      <c r="AC65" s="2">
        <v>500</v>
      </c>
      <c r="AD65" s="2">
        <v>500</v>
      </c>
      <c r="AE65" s="2">
        <f t="shared" si="0"/>
        <v>3200</v>
      </c>
      <c r="AF65" s="2">
        <v>1000</v>
      </c>
      <c r="AG65" s="4">
        <v>45385</v>
      </c>
      <c r="AH65" s="2">
        <f t="shared" si="1"/>
        <v>2200</v>
      </c>
      <c r="AI65" s="2">
        <v>1000</v>
      </c>
      <c r="AJ65" s="4">
        <v>45415</v>
      </c>
      <c r="AK65" s="2">
        <f t="shared" si="2"/>
        <v>1200</v>
      </c>
      <c r="AL65" s="2">
        <v>500</v>
      </c>
      <c r="AM65" s="4">
        <v>45446</v>
      </c>
      <c r="AN65" s="2">
        <f t="shared" si="3"/>
        <v>700</v>
      </c>
      <c r="AO65" s="2" cm="1">
        <f t="array" ref="AO65">_xlfn.IFS(AN65&gt;=5000,3000,AN65&gt;=2000,1000,AN65&gt;=500,500,AN65&lt;500,AN65)</f>
        <v>500</v>
      </c>
      <c r="AP65" s="4">
        <v>45476</v>
      </c>
      <c r="AQ65" s="2">
        <f t="shared" si="4"/>
        <v>200</v>
      </c>
      <c r="AR65" s="2">
        <v>200</v>
      </c>
      <c r="AS65" s="4">
        <v>45507</v>
      </c>
      <c r="AT65" s="2">
        <f t="shared" si="5"/>
        <v>0</v>
      </c>
      <c r="AU65" s="2" t="s">
        <v>1200</v>
      </c>
      <c r="AV65" s="4" t="s">
        <v>1200</v>
      </c>
      <c r="AW65" s="2" t="s">
        <v>1200</v>
      </c>
      <c r="AX65" s="2">
        <f t="shared" si="6"/>
        <v>3200</v>
      </c>
      <c r="AY65" s="2">
        <f t="shared" si="7"/>
        <v>0</v>
      </c>
      <c r="AZ65" s="2" t="str">
        <f t="shared" si="8"/>
        <v>Paid</v>
      </c>
      <c r="BA65" s="9" t="str" cm="1">
        <f t="array" ref="BA65">_xlfn.IFS(AZ65="Paid","R",AZ65="Unpaid","Q")</f>
        <v>R</v>
      </c>
      <c r="BB65" s="8" t="s">
        <v>2815</v>
      </c>
    </row>
    <row r="66" spans="1:54" x14ac:dyDescent="0.25">
      <c r="A66" s="2">
        <v>65</v>
      </c>
      <c r="B66" s="2">
        <v>65</v>
      </c>
      <c r="C66" s="2" t="s">
        <v>152</v>
      </c>
      <c r="D66" s="2" t="s">
        <v>1726</v>
      </c>
      <c r="E66" s="2" t="s">
        <v>153</v>
      </c>
      <c r="F66" s="4">
        <v>45375</v>
      </c>
      <c r="G66" s="8" t="s">
        <v>21</v>
      </c>
      <c r="H66" s="8" t="s">
        <v>1252</v>
      </c>
      <c r="I66" s="2" t="s">
        <v>14</v>
      </c>
      <c r="J66" s="2" t="s">
        <v>15</v>
      </c>
      <c r="K66" s="2" t="s">
        <v>791</v>
      </c>
      <c r="L66" s="2" t="s">
        <v>1257</v>
      </c>
      <c r="M66" s="2" t="s">
        <v>1261</v>
      </c>
      <c r="N66" s="2" t="s">
        <v>2080</v>
      </c>
      <c r="O66" s="4">
        <v>35249</v>
      </c>
      <c r="P66" s="2" t="s">
        <v>2491</v>
      </c>
      <c r="Q66" s="2" t="s">
        <v>2492</v>
      </c>
      <c r="R66" s="2" t="s">
        <v>2396</v>
      </c>
      <c r="S66" s="2" t="s">
        <v>796</v>
      </c>
      <c r="T66" s="2" t="s">
        <v>1352</v>
      </c>
      <c r="U66" s="2" t="s">
        <v>1283</v>
      </c>
      <c r="V66" s="2">
        <v>6353528226</v>
      </c>
      <c r="W66" s="2" t="s">
        <v>868</v>
      </c>
      <c r="X66" s="2" t="s">
        <v>794</v>
      </c>
      <c r="Y66" s="2" t="s">
        <v>1184</v>
      </c>
      <c r="Z66" s="2" t="s">
        <v>1185</v>
      </c>
      <c r="AA66" s="2">
        <v>3000</v>
      </c>
      <c r="AB66" s="2">
        <v>200</v>
      </c>
      <c r="AC66" s="2">
        <v>300</v>
      </c>
      <c r="AD66" s="2">
        <v>300</v>
      </c>
      <c r="AE66" s="2">
        <f t="shared" si="0"/>
        <v>3200</v>
      </c>
      <c r="AF66" s="2">
        <v>1000</v>
      </c>
      <c r="AG66" s="4">
        <v>45385</v>
      </c>
      <c r="AH66" s="2">
        <f t="shared" si="1"/>
        <v>2200</v>
      </c>
      <c r="AI66" s="2">
        <v>1000</v>
      </c>
      <c r="AJ66" s="4">
        <v>45415</v>
      </c>
      <c r="AK66" s="2">
        <f t="shared" si="2"/>
        <v>1200</v>
      </c>
      <c r="AL66" s="2">
        <v>500</v>
      </c>
      <c r="AM66" s="4">
        <v>45446</v>
      </c>
      <c r="AN66" s="2">
        <f t="shared" si="3"/>
        <v>700</v>
      </c>
      <c r="AO66" s="2" cm="1">
        <f t="array" ref="AO66">_xlfn.IFS(AN66&gt;=5000,3000,AN66&gt;=2000,1000,AN66&gt;=500,500,AN66&lt;500,AN66)</f>
        <v>500</v>
      </c>
      <c r="AP66" s="4">
        <v>45476</v>
      </c>
      <c r="AQ66" s="2">
        <f t="shared" si="4"/>
        <v>200</v>
      </c>
      <c r="AR66" s="2">
        <v>200</v>
      </c>
      <c r="AS66" s="4">
        <v>45507</v>
      </c>
      <c r="AT66" s="2">
        <f t="shared" si="5"/>
        <v>0</v>
      </c>
      <c r="AU66" s="2" t="s">
        <v>1200</v>
      </c>
      <c r="AV66" s="4" t="s">
        <v>1200</v>
      </c>
      <c r="AW66" s="2" t="s">
        <v>1200</v>
      </c>
      <c r="AX66" s="2">
        <f t="shared" si="6"/>
        <v>3200</v>
      </c>
      <c r="AY66" s="2">
        <f t="shared" si="7"/>
        <v>0</v>
      </c>
      <c r="AZ66" s="2" t="str">
        <f t="shared" si="8"/>
        <v>Paid</v>
      </c>
      <c r="BA66" s="9" t="str" cm="1">
        <f t="array" ref="BA66">_xlfn.IFS(AZ66="Paid","R",AZ66="Unpaid","Q")</f>
        <v>R</v>
      </c>
      <c r="BB66" s="8" t="s">
        <v>2815</v>
      </c>
    </row>
    <row r="67" spans="1:54" x14ac:dyDescent="0.25">
      <c r="A67" s="2">
        <v>66</v>
      </c>
      <c r="B67" s="2">
        <v>66</v>
      </c>
      <c r="C67" s="2" t="s">
        <v>154</v>
      </c>
      <c r="D67" s="2" t="s">
        <v>1727</v>
      </c>
      <c r="E67" s="2" t="s">
        <v>155</v>
      </c>
      <c r="F67" s="4">
        <v>45379</v>
      </c>
      <c r="G67" s="8" t="s">
        <v>26</v>
      </c>
      <c r="H67" s="8" t="s">
        <v>1243</v>
      </c>
      <c r="I67" s="2" t="s">
        <v>9</v>
      </c>
      <c r="J67" s="2" t="s">
        <v>10</v>
      </c>
      <c r="K67" s="2" t="s">
        <v>787</v>
      </c>
      <c r="L67" s="2" t="s">
        <v>1260</v>
      </c>
      <c r="M67" s="2" t="s">
        <v>1261</v>
      </c>
      <c r="N67" s="2" t="s">
        <v>2081</v>
      </c>
      <c r="O67" s="4">
        <v>36445</v>
      </c>
      <c r="P67" s="2" t="s">
        <v>2493</v>
      </c>
      <c r="Q67" s="2" t="s">
        <v>2449</v>
      </c>
      <c r="R67" s="2" t="s">
        <v>2393</v>
      </c>
      <c r="S67" s="2" t="s">
        <v>792</v>
      </c>
      <c r="T67" s="2" t="s">
        <v>1353</v>
      </c>
      <c r="U67" s="2" t="s">
        <v>1284</v>
      </c>
      <c r="V67" s="2">
        <v>8700800178</v>
      </c>
      <c r="W67" s="2" t="s">
        <v>869</v>
      </c>
      <c r="X67" s="2" t="s">
        <v>798</v>
      </c>
      <c r="Y67" s="2" t="s">
        <v>1184</v>
      </c>
      <c r="Z67" s="2" t="s">
        <v>1185</v>
      </c>
      <c r="AA67" s="2">
        <v>15000</v>
      </c>
      <c r="AB67" s="2">
        <v>200</v>
      </c>
      <c r="AC67" s="2">
        <v>1200</v>
      </c>
      <c r="AD67" s="2">
        <v>0</v>
      </c>
      <c r="AE67" s="2">
        <f t="shared" ref="AE67:AE130" si="9">SUM(AA67:AC67) -AD67</f>
        <v>16400</v>
      </c>
      <c r="AF67" s="2">
        <v>5000</v>
      </c>
      <c r="AG67" s="4">
        <v>45389</v>
      </c>
      <c r="AH67" s="2">
        <f t="shared" ref="AH67:AH130" si="10">AE67-AF67</f>
        <v>11400</v>
      </c>
      <c r="AI67" s="2">
        <v>3000</v>
      </c>
      <c r="AJ67" s="4">
        <v>45419</v>
      </c>
      <c r="AK67" s="2">
        <f t="shared" ref="AK67:AK130" si="11">AH67-AI67</f>
        <v>8400</v>
      </c>
      <c r="AL67" s="2">
        <v>3000</v>
      </c>
      <c r="AM67" s="4">
        <v>45450</v>
      </c>
      <c r="AN67" s="2">
        <f t="shared" ref="AN67:AN130" si="12">AK67-AL67</f>
        <v>5400</v>
      </c>
      <c r="AO67" s="2" cm="1">
        <f t="array" ref="AO67">_xlfn.IFS(AN67&gt;=5000,3000,AN67&gt;=2000,1000,AN67&gt;=500,500,AN67&lt;500,AN67)</f>
        <v>3000</v>
      </c>
      <c r="AP67" s="4">
        <v>45480</v>
      </c>
      <c r="AQ67" s="2">
        <f t="shared" ref="AQ67:AQ130" si="13">AN67-AO67</f>
        <v>2400</v>
      </c>
      <c r="AR67" s="2">
        <v>2000</v>
      </c>
      <c r="AS67" s="4">
        <v>45511</v>
      </c>
      <c r="AT67" s="2">
        <f t="shared" ref="AT67:AT130" si="14">IFERROR(AQ67-AR67,"")</f>
        <v>400</v>
      </c>
      <c r="AU67" s="2">
        <v>400</v>
      </c>
      <c r="AV67" s="4">
        <v>45542</v>
      </c>
      <c r="AW67" s="2">
        <v>0</v>
      </c>
      <c r="AX67" s="2">
        <f t="shared" ref="AX67:AX130" si="15">SUM(AF67,AI67,AL67,AO67,AR67,AU67)</f>
        <v>16400</v>
      </c>
      <c r="AY67" s="2">
        <f t="shared" ref="AY67:AY130" si="16">AE67-AX67</f>
        <v>0</v>
      </c>
      <c r="AZ67" s="2" t="str">
        <f t="shared" ref="AZ67:AZ130" si="17">IF(AY67=0,"Paid","Unpaid")</f>
        <v>Paid</v>
      </c>
      <c r="BA67" s="9" t="str" cm="1">
        <f t="array" ref="BA67">_xlfn.IFS(AZ67="Paid","R",AZ67="Unpaid","Q")</f>
        <v>R</v>
      </c>
      <c r="BB67" s="8" t="s">
        <v>2815</v>
      </c>
    </row>
    <row r="68" spans="1:54" x14ac:dyDescent="0.25">
      <c r="A68" s="2">
        <v>67</v>
      </c>
      <c r="B68" s="2">
        <v>67</v>
      </c>
      <c r="C68" s="2" t="s">
        <v>156</v>
      </c>
      <c r="D68" s="2" t="s">
        <v>1728</v>
      </c>
      <c r="E68" s="2" t="s">
        <v>157</v>
      </c>
      <c r="F68" s="4">
        <v>45379</v>
      </c>
      <c r="G68" s="8" t="s">
        <v>29</v>
      </c>
      <c r="H68" s="8" t="s">
        <v>1248</v>
      </c>
      <c r="I68" s="2" t="s">
        <v>14</v>
      </c>
      <c r="J68" s="2" t="s">
        <v>15</v>
      </c>
      <c r="K68" s="2" t="s">
        <v>791</v>
      </c>
      <c r="L68" s="2" t="s">
        <v>1260</v>
      </c>
      <c r="M68" s="2" t="s">
        <v>1261</v>
      </c>
      <c r="N68" s="2" t="s">
        <v>2082</v>
      </c>
      <c r="O68" s="4">
        <v>35879</v>
      </c>
      <c r="P68" s="2" t="s">
        <v>2494</v>
      </c>
      <c r="Q68" s="2" t="s">
        <v>2449</v>
      </c>
      <c r="R68" s="2" t="s">
        <v>2393</v>
      </c>
      <c r="S68" s="2" t="s">
        <v>820</v>
      </c>
      <c r="T68" s="2" t="s">
        <v>1354</v>
      </c>
      <c r="U68" s="2" t="s">
        <v>1274</v>
      </c>
      <c r="V68" s="2">
        <v>6777553182</v>
      </c>
      <c r="W68" s="2" t="s">
        <v>870</v>
      </c>
      <c r="X68" s="2" t="s">
        <v>1183</v>
      </c>
      <c r="Y68" s="2" t="s">
        <v>1184</v>
      </c>
      <c r="Z68" s="2" t="s">
        <v>1185</v>
      </c>
      <c r="AA68" s="2">
        <v>2500</v>
      </c>
      <c r="AB68" s="2">
        <v>200</v>
      </c>
      <c r="AC68" s="2">
        <v>400</v>
      </c>
      <c r="AD68" s="2">
        <v>0</v>
      </c>
      <c r="AE68" s="2">
        <f t="shared" si="9"/>
        <v>3100</v>
      </c>
      <c r="AF68" s="2">
        <v>1000</v>
      </c>
      <c r="AG68" s="4">
        <v>45389</v>
      </c>
      <c r="AH68" s="2">
        <f t="shared" si="10"/>
        <v>2100</v>
      </c>
      <c r="AI68" s="2">
        <v>1000</v>
      </c>
      <c r="AJ68" s="4">
        <v>45419</v>
      </c>
      <c r="AK68" s="2">
        <f t="shared" si="11"/>
        <v>1100</v>
      </c>
      <c r="AL68" s="2">
        <v>500</v>
      </c>
      <c r="AM68" s="4">
        <v>45450</v>
      </c>
      <c r="AN68" s="2">
        <f t="shared" si="12"/>
        <v>600</v>
      </c>
      <c r="AO68" s="2" cm="1">
        <f t="array" ref="AO68">_xlfn.IFS(AN68&gt;=5000,3000,AN68&gt;=2000,1000,AN68&gt;=500,500,AN68&lt;500,AN68)</f>
        <v>500</v>
      </c>
      <c r="AP68" s="4">
        <v>45480</v>
      </c>
      <c r="AQ68" s="2">
        <f t="shared" si="13"/>
        <v>100</v>
      </c>
      <c r="AR68" s="2">
        <v>100</v>
      </c>
      <c r="AS68" s="4">
        <v>45511</v>
      </c>
      <c r="AT68" s="2">
        <f t="shared" si="14"/>
        <v>0</v>
      </c>
      <c r="AU68" s="2" t="s">
        <v>1200</v>
      </c>
      <c r="AV68" s="4" t="s">
        <v>1200</v>
      </c>
      <c r="AW68" s="2" t="s">
        <v>1200</v>
      </c>
      <c r="AX68" s="2">
        <f t="shared" si="15"/>
        <v>3100</v>
      </c>
      <c r="AY68" s="2">
        <f t="shared" si="16"/>
        <v>0</v>
      </c>
      <c r="AZ68" s="2" t="str">
        <f t="shared" si="17"/>
        <v>Paid</v>
      </c>
      <c r="BA68" s="9" t="str" cm="1">
        <f t="array" ref="BA68">_xlfn.IFS(AZ68="Paid","R",AZ68="Unpaid","Q")</f>
        <v>R</v>
      </c>
      <c r="BB68" s="8" t="s">
        <v>2815</v>
      </c>
    </row>
    <row r="69" spans="1:54" x14ac:dyDescent="0.25">
      <c r="A69" s="2">
        <v>68</v>
      </c>
      <c r="B69" s="2">
        <v>68</v>
      </c>
      <c r="C69" s="2" t="s">
        <v>158</v>
      </c>
      <c r="D69" s="2" t="s">
        <v>1671</v>
      </c>
      <c r="E69" s="2" t="s">
        <v>159</v>
      </c>
      <c r="F69" s="4">
        <v>45379</v>
      </c>
      <c r="G69" s="8" t="s">
        <v>95</v>
      </c>
      <c r="H69" s="8" t="s">
        <v>1245</v>
      </c>
      <c r="I69" s="2" t="s">
        <v>14</v>
      </c>
      <c r="J69" s="2" t="s">
        <v>15</v>
      </c>
      <c r="K69" s="2" t="s">
        <v>791</v>
      </c>
      <c r="L69" s="2" t="s">
        <v>1259</v>
      </c>
      <c r="M69" s="2" t="s">
        <v>1262</v>
      </c>
      <c r="N69" s="2" t="s">
        <v>2083</v>
      </c>
      <c r="O69" s="4">
        <v>34693</v>
      </c>
      <c r="P69" s="2" t="s">
        <v>2495</v>
      </c>
      <c r="Q69" s="2" t="s">
        <v>2496</v>
      </c>
      <c r="R69" s="2" t="s">
        <v>2393</v>
      </c>
      <c r="S69" s="2" t="s">
        <v>796</v>
      </c>
      <c r="T69" s="2" t="s">
        <v>1355</v>
      </c>
      <c r="U69" s="2" t="s">
        <v>1285</v>
      </c>
      <c r="V69" s="2">
        <v>7176832550</v>
      </c>
      <c r="W69" s="2" t="s">
        <v>871</v>
      </c>
      <c r="X69" s="2" t="s">
        <v>822</v>
      </c>
      <c r="Y69" s="2" t="s">
        <v>1184</v>
      </c>
      <c r="Z69" s="2" t="s">
        <v>1185</v>
      </c>
      <c r="AA69" s="2">
        <v>3500</v>
      </c>
      <c r="AB69" s="2">
        <v>200</v>
      </c>
      <c r="AC69" s="2">
        <v>500</v>
      </c>
      <c r="AD69" s="2">
        <v>0</v>
      </c>
      <c r="AE69" s="2">
        <f t="shared" si="9"/>
        <v>4200</v>
      </c>
      <c r="AF69" s="2">
        <v>1000</v>
      </c>
      <c r="AG69" s="4">
        <v>45389</v>
      </c>
      <c r="AH69" s="2">
        <f t="shared" si="10"/>
        <v>3200</v>
      </c>
      <c r="AI69" s="2">
        <v>1000</v>
      </c>
      <c r="AJ69" s="4">
        <v>45419</v>
      </c>
      <c r="AK69" s="2">
        <f t="shared" si="11"/>
        <v>2200</v>
      </c>
      <c r="AL69" s="2">
        <v>1000</v>
      </c>
      <c r="AM69" s="4">
        <v>45450</v>
      </c>
      <c r="AN69" s="2">
        <f t="shared" si="12"/>
        <v>1200</v>
      </c>
      <c r="AO69" s="2" cm="1">
        <f t="array" ref="AO69">_xlfn.IFS(AN69&gt;=5000,3000,AN69&gt;=2000,1000,AN69&gt;=500,500,AN69&lt;500,AN69)</f>
        <v>500</v>
      </c>
      <c r="AP69" s="4">
        <v>45480</v>
      </c>
      <c r="AQ69" s="2">
        <f t="shared" si="13"/>
        <v>700</v>
      </c>
      <c r="AR69" s="2">
        <v>500</v>
      </c>
      <c r="AS69" s="4">
        <v>45511</v>
      </c>
      <c r="AT69" s="2">
        <f t="shared" si="14"/>
        <v>200</v>
      </c>
      <c r="AU69" s="2">
        <v>200</v>
      </c>
      <c r="AV69" s="4">
        <v>45542</v>
      </c>
      <c r="AW69" s="2">
        <v>0</v>
      </c>
      <c r="AX69" s="2">
        <f t="shared" si="15"/>
        <v>4200</v>
      </c>
      <c r="AY69" s="2">
        <f t="shared" si="16"/>
        <v>0</v>
      </c>
      <c r="AZ69" s="2" t="str">
        <f t="shared" si="17"/>
        <v>Paid</v>
      </c>
      <c r="BA69" s="9" t="str" cm="1">
        <f t="array" ref="BA69">_xlfn.IFS(AZ69="Paid","R",AZ69="Unpaid","Q")</f>
        <v>R</v>
      </c>
      <c r="BB69" s="8" t="s">
        <v>2815</v>
      </c>
    </row>
    <row r="70" spans="1:54" x14ac:dyDescent="0.25">
      <c r="A70" s="2">
        <v>69</v>
      </c>
      <c r="B70" s="2">
        <v>69</v>
      </c>
      <c r="C70" s="2" t="s">
        <v>160</v>
      </c>
      <c r="D70" s="2" t="s">
        <v>1729</v>
      </c>
      <c r="E70" s="2" t="s">
        <v>161</v>
      </c>
      <c r="F70" s="4">
        <v>45383</v>
      </c>
      <c r="G70" s="8" t="s">
        <v>8</v>
      </c>
      <c r="H70" s="8" t="s">
        <v>1242</v>
      </c>
      <c r="I70" s="2" t="s">
        <v>9</v>
      </c>
      <c r="J70" s="2" t="s">
        <v>10</v>
      </c>
      <c r="K70" s="2" t="s">
        <v>787</v>
      </c>
      <c r="L70" s="2" t="s">
        <v>1257</v>
      </c>
      <c r="M70" s="2" t="s">
        <v>1261</v>
      </c>
      <c r="N70" s="2" t="s">
        <v>2084</v>
      </c>
      <c r="O70" s="4">
        <v>38044</v>
      </c>
      <c r="P70" s="2" t="s">
        <v>2497</v>
      </c>
      <c r="Q70" s="2" t="s">
        <v>2498</v>
      </c>
      <c r="R70" s="2" t="s">
        <v>2393</v>
      </c>
      <c r="S70" s="2" t="s">
        <v>788</v>
      </c>
      <c r="T70" s="2" t="s">
        <v>1356</v>
      </c>
      <c r="U70" s="2" t="s">
        <v>1268</v>
      </c>
      <c r="V70" s="2">
        <v>8576909453</v>
      </c>
      <c r="W70" s="2" t="s">
        <v>872</v>
      </c>
      <c r="X70" s="2" t="s">
        <v>1183</v>
      </c>
      <c r="Y70" s="2" t="s">
        <v>1184</v>
      </c>
      <c r="Z70" s="2" t="s">
        <v>1185</v>
      </c>
      <c r="AA70" s="2">
        <v>12500</v>
      </c>
      <c r="AB70" s="2">
        <v>200</v>
      </c>
      <c r="AC70" s="2">
        <v>1200</v>
      </c>
      <c r="AD70" s="2">
        <v>0</v>
      </c>
      <c r="AE70" s="2">
        <f t="shared" si="9"/>
        <v>13900</v>
      </c>
      <c r="AF70" s="2">
        <v>5000</v>
      </c>
      <c r="AG70" s="4">
        <v>45393</v>
      </c>
      <c r="AH70" s="2">
        <f t="shared" si="10"/>
        <v>8900</v>
      </c>
      <c r="AI70" s="2">
        <v>3000</v>
      </c>
      <c r="AJ70" s="4">
        <v>45423</v>
      </c>
      <c r="AK70" s="2">
        <f t="shared" si="11"/>
        <v>5900</v>
      </c>
      <c r="AL70" s="2">
        <v>3000</v>
      </c>
      <c r="AM70" s="4">
        <v>45454</v>
      </c>
      <c r="AN70" s="2">
        <f t="shared" si="12"/>
        <v>2900</v>
      </c>
      <c r="AO70" s="2" cm="1">
        <f t="array" ref="AO70">_xlfn.IFS(AN70&gt;=5000,3000,AN70&gt;=2000,1000,AN70&gt;=500,500,AN70&lt;500,AN70)</f>
        <v>1000</v>
      </c>
      <c r="AP70" s="4">
        <v>45484</v>
      </c>
      <c r="AQ70" s="2">
        <f t="shared" si="13"/>
        <v>1900</v>
      </c>
      <c r="AR70" s="2">
        <v>1000</v>
      </c>
      <c r="AS70" s="4">
        <v>45515</v>
      </c>
      <c r="AT70" s="2">
        <f t="shared" si="14"/>
        <v>900</v>
      </c>
      <c r="AU70" s="2">
        <v>900</v>
      </c>
      <c r="AV70" s="4">
        <v>45546</v>
      </c>
      <c r="AW70" s="2">
        <v>0</v>
      </c>
      <c r="AX70" s="2">
        <f t="shared" si="15"/>
        <v>13900</v>
      </c>
      <c r="AY70" s="2">
        <f t="shared" si="16"/>
        <v>0</v>
      </c>
      <c r="AZ70" s="2" t="str">
        <f t="shared" si="17"/>
        <v>Paid</v>
      </c>
      <c r="BA70" s="9" t="str" cm="1">
        <f t="array" ref="BA70">_xlfn.IFS(AZ70="Paid","R",AZ70="Unpaid","Q")</f>
        <v>R</v>
      </c>
      <c r="BB70" s="8" t="s">
        <v>2815</v>
      </c>
    </row>
    <row r="71" spans="1:54" x14ac:dyDescent="0.25">
      <c r="A71" s="2">
        <v>70</v>
      </c>
      <c r="B71" s="2">
        <v>70</v>
      </c>
      <c r="C71" s="2" t="s">
        <v>162</v>
      </c>
      <c r="D71" s="2" t="s">
        <v>1730</v>
      </c>
      <c r="E71" s="2" t="s">
        <v>163</v>
      </c>
      <c r="F71" s="4">
        <v>45383</v>
      </c>
      <c r="G71" s="8" t="s">
        <v>48</v>
      </c>
      <c r="H71" s="8" t="s">
        <v>1251</v>
      </c>
      <c r="I71" s="2" t="s">
        <v>14</v>
      </c>
      <c r="J71" s="2" t="s">
        <v>15</v>
      </c>
      <c r="K71" s="2" t="s">
        <v>791</v>
      </c>
      <c r="L71" s="2" t="s">
        <v>1259</v>
      </c>
      <c r="M71" s="2" t="s">
        <v>1262</v>
      </c>
      <c r="N71" s="2" t="s">
        <v>2085</v>
      </c>
      <c r="O71" s="4">
        <v>37343</v>
      </c>
      <c r="P71" s="2" t="s">
        <v>2499</v>
      </c>
      <c r="Q71" s="2" t="s">
        <v>2500</v>
      </c>
      <c r="R71" s="2" t="s">
        <v>2393</v>
      </c>
      <c r="S71" s="2" t="s">
        <v>796</v>
      </c>
      <c r="T71" s="2" t="s">
        <v>1357</v>
      </c>
      <c r="U71" s="2" t="s">
        <v>1279</v>
      </c>
      <c r="V71" s="2">
        <v>6335800220</v>
      </c>
      <c r="W71" s="2" t="s">
        <v>873</v>
      </c>
      <c r="X71" s="2" t="s">
        <v>790</v>
      </c>
      <c r="Y71" s="2" t="s">
        <v>1184</v>
      </c>
      <c r="Z71" s="2" t="s">
        <v>1185</v>
      </c>
      <c r="AA71" s="2">
        <v>3000</v>
      </c>
      <c r="AB71" s="2">
        <v>200</v>
      </c>
      <c r="AC71" s="2">
        <v>500</v>
      </c>
      <c r="AD71" s="2">
        <v>200</v>
      </c>
      <c r="AE71" s="2">
        <f t="shared" si="9"/>
        <v>3500</v>
      </c>
      <c r="AF71" s="2">
        <v>1000</v>
      </c>
      <c r="AG71" s="4">
        <v>45393</v>
      </c>
      <c r="AH71" s="2">
        <f t="shared" si="10"/>
        <v>2500</v>
      </c>
      <c r="AI71" s="2">
        <v>1000</v>
      </c>
      <c r="AJ71" s="4">
        <v>45423</v>
      </c>
      <c r="AK71" s="2">
        <f t="shared" si="11"/>
        <v>1500</v>
      </c>
      <c r="AL71" s="2">
        <v>500</v>
      </c>
      <c r="AM71" s="4">
        <v>45454</v>
      </c>
      <c r="AN71" s="2">
        <f t="shared" si="12"/>
        <v>1000</v>
      </c>
      <c r="AO71" s="2" cm="1">
        <f t="array" ref="AO71">_xlfn.IFS(AN71&gt;=5000,3000,AN71&gt;=2000,1000,AN71&gt;=500,500,AN71&lt;500,AN71)</f>
        <v>500</v>
      </c>
      <c r="AP71" s="4">
        <v>45484</v>
      </c>
      <c r="AQ71" s="2">
        <f t="shared" si="13"/>
        <v>500</v>
      </c>
      <c r="AR71" s="2">
        <v>500</v>
      </c>
      <c r="AS71" s="4">
        <v>45515</v>
      </c>
      <c r="AT71" s="2">
        <f t="shared" si="14"/>
        <v>0</v>
      </c>
      <c r="AU71" s="2" t="s">
        <v>1200</v>
      </c>
      <c r="AV71" s="4" t="s">
        <v>1200</v>
      </c>
      <c r="AW71" s="2" t="s">
        <v>1200</v>
      </c>
      <c r="AX71" s="2">
        <f t="shared" si="15"/>
        <v>3500</v>
      </c>
      <c r="AY71" s="2">
        <f t="shared" si="16"/>
        <v>0</v>
      </c>
      <c r="AZ71" s="2" t="str">
        <f t="shared" si="17"/>
        <v>Paid</v>
      </c>
      <c r="BA71" s="9" t="str" cm="1">
        <f t="array" ref="BA71">_xlfn.IFS(AZ71="Paid","R",AZ71="Unpaid","Q")</f>
        <v>R</v>
      </c>
      <c r="BB71" s="8" t="s">
        <v>2815</v>
      </c>
    </row>
    <row r="72" spans="1:54" x14ac:dyDescent="0.25">
      <c r="A72" s="2">
        <v>71</v>
      </c>
      <c r="B72" s="2">
        <v>71</v>
      </c>
      <c r="C72" s="2" t="s">
        <v>164</v>
      </c>
      <c r="D72" s="2" t="s">
        <v>1731</v>
      </c>
      <c r="E72" s="2" t="s">
        <v>165</v>
      </c>
      <c r="F72" s="4">
        <v>45383</v>
      </c>
      <c r="G72" s="8" t="s">
        <v>45</v>
      </c>
      <c r="H72" s="8" t="s">
        <v>1250</v>
      </c>
      <c r="I72" s="2" t="s">
        <v>14</v>
      </c>
      <c r="J72" s="2" t="s">
        <v>15</v>
      </c>
      <c r="K72" s="2" t="s">
        <v>791</v>
      </c>
      <c r="L72" s="2" t="s">
        <v>1257</v>
      </c>
      <c r="M72" s="2" t="s">
        <v>1261</v>
      </c>
      <c r="N72" s="2" t="s">
        <v>2086</v>
      </c>
      <c r="O72" s="4">
        <v>39053</v>
      </c>
      <c r="P72" s="2" t="s">
        <v>2501</v>
      </c>
      <c r="Q72" s="2" t="s">
        <v>2498</v>
      </c>
      <c r="R72" s="2" t="s">
        <v>2393</v>
      </c>
      <c r="S72" s="2" t="s">
        <v>788</v>
      </c>
      <c r="T72" s="2" t="s">
        <v>1358</v>
      </c>
      <c r="U72" s="2" t="s">
        <v>1268</v>
      </c>
      <c r="V72" s="2">
        <v>8343269053</v>
      </c>
      <c r="W72" s="2" t="s">
        <v>874</v>
      </c>
      <c r="X72" s="2" t="s">
        <v>794</v>
      </c>
      <c r="Y72" s="2" t="s">
        <v>1184</v>
      </c>
      <c r="Z72" s="2" t="s">
        <v>1185</v>
      </c>
      <c r="AA72" s="2">
        <v>2000</v>
      </c>
      <c r="AB72" s="2">
        <v>200</v>
      </c>
      <c r="AC72" s="2">
        <v>300</v>
      </c>
      <c r="AD72" s="2">
        <v>500</v>
      </c>
      <c r="AE72" s="2">
        <f t="shared" si="9"/>
        <v>2000</v>
      </c>
      <c r="AF72" s="2">
        <v>500</v>
      </c>
      <c r="AG72" s="4">
        <v>45393</v>
      </c>
      <c r="AH72" s="2">
        <f t="shared" si="10"/>
        <v>1500</v>
      </c>
      <c r="AI72" s="2">
        <v>500</v>
      </c>
      <c r="AJ72" s="4">
        <v>45423</v>
      </c>
      <c r="AK72" s="2">
        <f t="shared" si="11"/>
        <v>1000</v>
      </c>
      <c r="AL72" s="2">
        <v>500</v>
      </c>
      <c r="AM72" s="4">
        <v>45454</v>
      </c>
      <c r="AN72" s="2">
        <f t="shared" si="12"/>
        <v>500</v>
      </c>
      <c r="AO72" s="2" cm="1">
        <f t="array" ref="AO72">_xlfn.IFS(AN72&gt;=5000,3000,AN72&gt;=2000,1000,AN72&gt;=500,500,AN72&lt;500,AN72)</f>
        <v>500</v>
      </c>
      <c r="AP72" s="4">
        <v>45484</v>
      </c>
      <c r="AQ72" s="2">
        <f t="shared" si="13"/>
        <v>0</v>
      </c>
      <c r="AR72" s="2" t="s">
        <v>1200</v>
      </c>
      <c r="AS72" s="4" t="s">
        <v>1200</v>
      </c>
      <c r="AT72" s="2" t="str">
        <f t="shared" si="14"/>
        <v/>
      </c>
      <c r="AU72" s="2" t="s">
        <v>1200</v>
      </c>
      <c r="AV72" s="4" t="s">
        <v>1200</v>
      </c>
      <c r="AW72" s="2" t="s">
        <v>1200</v>
      </c>
      <c r="AX72" s="2">
        <f t="shared" si="15"/>
        <v>2000</v>
      </c>
      <c r="AY72" s="2">
        <f t="shared" si="16"/>
        <v>0</v>
      </c>
      <c r="AZ72" s="2" t="str">
        <f t="shared" si="17"/>
        <v>Paid</v>
      </c>
      <c r="BA72" s="9" t="str" cm="1">
        <f t="array" ref="BA72">_xlfn.IFS(AZ72="Paid","R",AZ72="Unpaid","Q")</f>
        <v>R</v>
      </c>
      <c r="BB72" s="8" t="s">
        <v>2815</v>
      </c>
    </row>
    <row r="73" spans="1:54" x14ac:dyDescent="0.25">
      <c r="A73" s="2">
        <v>72</v>
      </c>
      <c r="B73" s="2">
        <v>72</v>
      </c>
      <c r="C73" s="2" t="s">
        <v>166</v>
      </c>
      <c r="D73" s="2" t="s">
        <v>1732</v>
      </c>
      <c r="E73" s="2" t="s">
        <v>167</v>
      </c>
      <c r="F73" s="4">
        <v>45384</v>
      </c>
      <c r="G73" s="8" t="s">
        <v>35</v>
      </c>
      <c r="H73" s="8" t="s">
        <v>1244</v>
      </c>
      <c r="I73" s="2" t="s">
        <v>14</v>
      </c>
      <c r="J73" s="2" t="s">
        <v>15</v>
      </c>
      <c r="K73" s="2" t="s">
        <v>791</v>
      </c>
      <c r="L73" s="2" t="s">
        <v>1259</v>
      </c>
      <c r="M73" s="2" t="s">
        <v>1262</v>
      </c>
      <c r="N73" s="2" t="s">
        <v>2087</v>
      </c>
      <c r="O73" s="4">
        <v>35107</v>
      </c>
      <c r="P73" s="2" t="s">
        <v>2502</v>
      </c>
      <c r="Q73" s="2" t="s">
        <v>2437</v>
      </c>
      <c r="R73" s="2" t="s">
        <v>2393</v>
      </c>
      <c r="S73" s="2" t="s">
        <v>820</v>
      </c>
      <c r="T73" s="2" t="s">
        <v>1359</v>
      </c>
      <c r="U73" s="2" t="s">
        <v>1268</v>
      </c>
      <c r="V73" s="2">
        <v>9722900204</v>
      </c>
      <c r="W73" s="2" t="s">
        <v>875</v>
      </c>
      <c r="X73" s="2" t="s">
        <v>1183</v>
      </c>
      <c r="Y73" s="2" t="s">
        <v>1184</v>
      </c>
      <c r="Z73" s="2" t="s">
        <v>1185</v>
      </c>
      <c r="AA73" s="2">
        <v>3000</v>
      </c>
      <c r="AB73" s="2">
        <v>200</v>
      </c>
      <c r="AC73" s="2">
        <v>500</v>
      </c>
      <c r="AD73" s="2">
        <v>300</v>
      </c>
      <c r="AE73" s="2">
        <f t="shared" si="9"/>
        <v>3400</v>
      </c>
      <c r="AF73" s="2">
        <v>1000</v>
      </c>
      <c r="AG73" s="4">
        <v>45394</v>
      </c>
      <c r="AH73" s="2">
        <f t="shared" si="10"/>
        <v>2400</v>
      </c>
      <c r="AI73" s="2">
        <v>1000</v>
      </c>
      <c r="AJ73" s="4">
        <v>45424</v>
      </c>
      <c r="AK73" s="2">
        <f t="shared" si="11"/>
        <v>1400</v>
      </c>
      <c r="AL73" s="2">
        <v>500</v>
      </c>
      <c r="AM73" s="4">
        <v>45455</v>
      </c>
      <c r="AN73" s="2">
        <f t="shared" si="12"/>
        <v>900</v>
      </c>
      <c r="AO73" s="2" cm="1">
        <f t="array" ref="AO73">_xlfn.IFS(AN73&gt;=5000,3000,AN73&gt;=2000,1000,AN73&gt;=500,500,AN73&lt;500,AN73)</f>
        <v>500</v>
      </c>
      <c r="AP73" s="4">
        <v>45485</v>
      </c>
      <c r="AQ73" s="2">
        <f t="shared" si="13"/>
        <v>400</v>
      </c>
      <c r="AR73" s="2">
        <v>400</v>
      </c>
      <c r="AS73" s="4">
        <v>45516</v>
      </c>
      <c r="AT73" s="2">
        <f t="shared" si="14"/>
        <v>0</v>
      </c>
      <c r="AU73" s="2" t="s">
        <v>1200</v>
      </c>
      <c r="AV73" s="4" t="s">
        <v>1200</v>
      </c>
      <c r="AW73" s="2" t="s">
        <v>1200</v>
      </c>
      <c r="AX73" s="2">
        <f t="shared" si="15"/>
        <v>3400</v>
      </c>
      <c r="AY73" s="2">
        <f t="shared" si="16"/>
        <v>0</v>
      </c>
      <c r="AZ73" s="2" t="str">
        <f t="shared" si="17"/>
        <v>Paid</v>
      </c>
      <c r="BA73" s="9" t="str" cm="1">
        <f t="array" ref="BA73">_xlfn.IFS(AZ73="Paid","R",AZ73="Unpaid","Q")</f>
        <v>R</v>
      </c>
      <c r="BB73" s="8" t="s">
        <v>2815</v>
      </c>
    </row>
    <row r="74" spans="1:54" x14ac:dyDescent="0.25">
      <c r="A74" s="2">
        <v>73</v>
      </c>
      <c r="B74" s="2">
        <v>73</v>
      </c>
      <c r="C74" s="2" t="s">
        <v>168</v>
      </c>
      <c r="D74" s="2" t="s">
        <v>1733</v>
      </c>
      <c r="E74" s="2" t="s">
        <v>169</v>
      </c>
      <c r="F74" s="4">
        <v>45388</v>
      </c>
      <c r="G74" s="8" t="s">
        <v>65</v>
      </c>
      <c r="H74" s="8" t="s">
        <v>65</v>
      </c>
      <c r="I74" s="2" t="s">
        <v>14</v>
      </c>
      <c r="J74" s="2" t="s">
        <v>15</v>
      </c>
      <c r="K74" s="2" t="s">
        <v>791</v>
      </c>
      <c r="L74" s="2" t="s">
        <v>1256</v>
      </c>
      <c r="M74" s="2" t="s">
        <v>1263</v>
      </c>
      <c r="N74" s="2" t="s">
        <v>2088</v>
      </c>
      <c r="O74" s="4">
        <v>33348</v>
      </c>
      <c r="P74" s="2" t="s">
        <v>2503</v>
      </c>
      <c r="Q74" s="2" t="s">
        <v>2478</v>
      </c>
      <c r="R74" s="2" t="s">
        <v>2393</v>
      </c>
      <c r="S74" s="2" t="s">
        <v>820</v>
      </c>
      <c r="T74" s="2" t="s">
        <v>1360</v>
      </c>
      <c r="U74" s="2" t="s">
        <v>1269</v>
      </c>
      <c r="V74" s="2">
        <v>7826334220</v>
      </c>
      <c r="W74" s="2" t="s">
        <v>876</v>
      </c>
      <c r="X74" s="2" t="s">
        <v>809</v>
      </c>
      <c r="Y74" s="2" t="s">
        <v>1184</v>
      </c>
      <c r="Z74" s="2" t="s">
        <v>1185</v>
      </c>
      <c r="AA74" s="2">
        <v>2500</v>
      </c>
      <c r="AB74" s="2">
        <v>200</v>
      </c>
      <c r="AC74" s="2">
        <v>500</v>
      </c>
      <c r="AD74" s="2">
        <v>200</v>
      </c>
      <c r="AE74" s="2">
        <f t="shared" si="9"/>
        <v>3000</v>
      </c>
      <c r="AF74" s="2">
        <v>1000</v>
      </c>
      <c r="AG74" s="4">
        <v>45398</v>
      </c>
      <c r="AH74" s="2">
        <f t="shared" si="10"/>
        <v>2000</v>
      </c>
      <c r="AI74" s="2">
        <v>1000</v>
      </c>
      <c r="AJ74" s="4">
        <v>45428</v>
      </c>
      <c r="AK74" s="2">
        <f t="shared" si="11"/>
        <v>1000</v>
      </c>
      <c r="AL74" s="2">
        <v>500</v>
      </c>
      <c r="AM74" s="4">
        <v>45459</v>
      </c>
      <c r="AN74" s="2">
        <f t="shared" si="12"/>
        <v>500</v>
      </c>
      <c r="AO74" s="2" cm="1">
        <f t="array" ref="AO74">_xlfn.IFS(AN74&gt;=5000,3000,AN74&gt;=2000,1000,AN74&gt;=500,500,AN74&lt;500,AN74)</f>
        <v>500</v>
      </c>
      <c r="AP74" s="4">
        <v>45489</v>
      </c>
      <c r="AQ74" s="2">
        <f t="shared" si="13"/>
        <v>0</v>
      </c>
      <c r="AR74" s="2" t="s">
        <v>1200</v>
      </c>
      <c r="AS74" s="4" t="s">
        <v>1200</v>
      </c>
      <c r="AT74" s="2" t="str">
        <f t="shared" si="14"/>
        <v/>
      </c>
      <c r="AU74" s="2" t="s">
        <v>1200</v>
      </c>
      <c r="AV74" s="4" t="s">
        <v>1200</v>
      </c>
      <c r="AW74" s="2" t="s">
        <v>1200</v>
      </c>
      <c r="AX74" s="2">
        <f t="shared" si="15"/>
        <v>3000</v>
      </c>
      <c r="AY74" s="2">
        <f t="shared" si="16"/>
        <v>0</v>
      </c>
      <c r="AZ74" s="2" t="str">
        <f t="shared" si="17"/>
        <v>Paid</v>
      </c>
      <c r="BA74" s="9" t="str" cm="1">
        <f t="array" ref="BA74">_xlfn.IFS(AZ74="Paid","R",AZ74="Unpaid","Q")</f>
        <v>R</v>
      </c>
      <c r="BB74" s="8" t="s">
        <v>2815</v>
      </c>
    </row>
    <row r="75" spans="1:54" x14ac:dyDescent="0.25">
      <c r="A75" s="2">
        <v>74</v>
      </c>
      <c r="B75" s="2">
        <v>74</v>
      </c>
      <c r="C75" s="2" t="s">
        <v>170</v>
      </c>
      <c r="D75" s="2" t="s">
        <v>1734</v>
      </c>
      <c r="E75" s="2" t="s">
        <v>171</v>
      </c>
      <c r="F75" s="4">
        <v>45389</v>
      </c>
      <c r="G75" s="8" t="s">
        <v>8</v>
      </c>
      <c r="H75" s="8" t="s">
        <v>1242</v>
      </c>
      <c r="I75" s="2" t="s">
        <v>9</v>
      </c>
      <c r="J75" s="2" t="s">
        <v>10</v>
      </c>
      <c r="K75" s="2" t="s">
        <v>787</v>
      </c>
      <c r="L75" s="2" t="s">
        <v>1259</v>
      </c>
      <c r="M75" s="2" t="s">
        <v>1262</v>
      </c>
      <c r="N75" s="2" t="s">
        <v>2089</v>
      </c>
      <c r="O75" s="4">
        <v>37223</v>
      </c>
      <c r="P75" s="2" t="s">
        <v>2504</v>
      </c>
      <c r="Q75" s="2" t="s">
        <v>2505</v>
      </c>
      <c r="R75" s="2" t="s">
        <v>2396</v>
      </c>
      <c r="S75" s="2" t="s">
        <v>820</v>
      </c>
      <c r="T75" s="2" t="s">
        <v>1361</v>
      </c>
      <c r="U75" s="2" t="s">
        <v>1275</v>
      </c>
      <c r="V75" s="2">
        <v>7441158545</v>
      </c>
      <c r="W75" s="2" t="s">
        <v>877</v>
      </c>
      <c r="X75" s="2" t="s">
        <v>794</v>
      </c>
      <c r="Y75" s="2" t="s">
        <v>1184</v>
      </c>
      <c r="Z75" s="2" t="s">
        <v>1185</v>
      </c>
      <c r="AA75" s="2">
        <v>12500</v>
      </c>
      <c r="AB75" s="2">
        <v>200</v>
      </c>
      <c r="AC75" s="2">
        <v>1200</v>
      </c>
      <c r="AD75" s="2">
        <v>300</v>
      </c>
      <c r="AE75" s="2">
        <f t="shared" si="9"/>
        <v>13600</v>
      </c>
      <c r="AF75" s="2">
        <v>5000</v>
      </c>
      <c r="AG75" s="4">
        <v>45399</v>
      </c>
      <c r="AH75" s="2">
        <f t="shared" si="10"/>
        <v>8600</v>
      </c>
      <c r="AI75" s="2">
        <v>3000</v>
      </c>
      <c r="AJ75" s="4">
        <v>45429</v>
      </c>
      <c r="AK75" s="2">
        <f t="shared" si="11"/>
        <v>5600</v>
      </c>
      <c r="AL75" s="2">
        <v>3000</v>
      </c>
      <c r="AM75" s="4">
        <v>45460</v>
      </c>
      <c r="AN75" s="2">
        <f t="shared" si="12"/>
        <v>2600</v>
      </c>
      <c r="AO75" s="2" cm="1">
        <f t="array" ref="AO75">_xlfn.IFS(AN75&gt;=5000,3000,AN75&gt;=2000,1000,AN75&gt;=500,500,AN75&lt;500,AN75)</f>
        <v>1000</v>
      </c>
      <c r="AP75" s="4">
        <v>45490</v>
      </c>
      <c r="AQ75" s="2">
        <f t="shared" si="13"/>
        <v>1600</v>
      </c>
      <c r="AR75" s="2">
        <v>1000</v>
      </c>
      <c r="AS75" s="4">
        <v>45521</v>
      </c>
      <c r="AT75" s="2">
        <f t="shared" si="14"/>
        <v>600</v>
      </c>
      <c r="AU75" s="2">
        <v>600</v>
      </c>
      <c r="AV75" s="4">
        <v>45552</v>
      </c>
      <c r="AW75" s="2">
        <v>0</v>
      </c>
      <c r="AX75" s="2">
        <f t="shared" si="15"/>
        <v>13600</v>
      </c>
      <c r="AY75" s="2">
        <f t="shared" si="16"/>
        <v>0</v>
      </c>
      <c r="AZ75" s="2" t="str">
        <f t="shared" si="17"/>
        <v>Paid</v>
      </c>
      <c r="BA75" s="9" t="str" cm="1">
        <f t="array" ref="BA75">_xlfn.IFS(AZ75="Paid","R",AZ75="Unpaid","Q")</f>
        <v>R</v>
      </c>
      <c r="BB75" s="8" t="s">
        <v>2815</v>
      </c>
    </row>
    <row r="76" spans="1:54" x14ac:dyDescent="0.25">
      <c r="A76" s="2">
        <v>75</v>
      </c>
      <c r="B76" s="2">
        <v>75</v>
      </c>
      <c r="C76" s="2" t="s">
        <v>172</v>
      </c>
      <c r="D76" s="2" t="s">
        <v>1735</v>
      </c>
      <c r="E76" s="2" t="s">
        <v>173</v>
      </c>
      <c r="F76" s="4">
        <v>45389</v>
      </c>
      <c r="G76" s="8" t="s">
        <v>38</v>
      </c>
      <c r="H76" s="8" t="s">
        <v>1246</v>
      </c>
      <c r="I76" s="2" t="s">
        <v>9</v>
      </c>
      <c r="J76" s="2" t="s">
        <v>15</v>
      </c>
      <c r="K76" s="2" t="s">
        <v>795</v>
      </c>
      <c r="L76" s="2" t="s">
        <v>1257</v>
      </c>
      <c r="M76" s="2" t="s">
        <v>1261</v>
      </c>
      <c r="N76" s="2" t="s">
        <v>2090</v>
      </c>
      <c r="O76" s="4">
        <v>35051</v>
      </c>
      <c r="P76" s="2" t="s">
        <v>2506</v>
      </c>
      <c r="Q76" s="2" t="s">
        <v>2439</v>
      </c>
      <c r="R76" s="2" t="s">
        <v>2393</v>
      </c>
      <c r="S76" s="2" t="s">
        <v>788</v>
      </c>
      <c r="T76" s="2" t="s">
        <v>1362</v>
      </c>
      <c r="U76" s="2" t="s">
        <v>1276</v>
      </c>
      <c r="V76" s="2">
        <v>9053641277</v>
      </c>
      <c r="W76" s="2" t="s">
        <v>878</v>
      </c>
      <c r="X76" s="2" t="s">
        <v>794</v>
      </c>
      <c r="Y76" s="2" t="s">
        <v>1184</v>
      </c>
      <c r="Z76" s="2" t="s">
        <v>1185</v>
      </c>
      <c r="AA76" s="2">
        <v>6000</v>
      </c>
      <c r="AB76" s="2">
        <v>200</v>
      </c>
      <c r="AC76" s="2">
        <v>800</v>
      </c>
      <c r="AD76" s="2">
        <v>300</v>
      </c>
      <c r="AE76" s="2">
        <f t="shared" si="9"/>
        <v>6700</v>
      </c>
      <c r="AF76" s="2">
        <v>2500</v>
      </c>
      <c r="AG76" s="4">
        <v>45399</v>
      </c>
      <c r="AH76" s="2">
        <f t="shared" si="10"/>
        <v>4200</v>
      </c>
      <c r="AI76" s="2">
        <v>1000</v>
      </c>
      <c r="AJ76" s="4">
        <v>45429</v>
      </c>
      <c r="AK76" s="2">
        <f t="shared" si="11"/>
        <v>3200</v>
      </c>
      <c r="AL76" s="2">
        <v>1000</v>
      </c>
      <c r="AM76" s="4">
        <v>45460</v>
      </c>
      <c r="AN76" s="2">
        <f t="shared" si="12"/>
        <v>2200</v>
      </c>
      <c r="AO76" s="2" cm="1">
        <f t="array" ref="AO76">_xlfn.IFS(AN76&gt;=5000,3000,AN76&gt;=2000,1000,AN76&gt;=500,500,AN76&lt;500,AN76)</f>
        <v>1000</v>
      </c>
      <c r="AP76" s="4">
        <v>45490</v>
      </c>
      <c r="AQ76" s="2">
        <f t="shared" si="13"/>
        <v>1200</v>
      </c>
      <c r="AR76" s="2">
        <v>1000</v>
      </c>
      <c r="AS76" s="4">
        <v>45521</v>
      </c>
      <c r="AT76" s="2">
        <f t="shared" si="14"/>
        <v>200</v>
      </c>
      <c r="AU76" s="2">
        <v>200</v>
      </c>
      <c r="AV76" s="4">
        <v>45552</v>
      </c>
      <c r="AW76" s="2">
        <v>0</v>
      </c>
      <c r="AX76" s="2">
        <f t="shared" si="15"/>
        <v>6700</v>
      </c>
      <c r="AY76" s="2">
        <f t="shared" si="16"/>
        <v>0</v>
      </c>
      <c r="AZ76" s="2" t="str">
        <f t="shared" si="17"/>
        <v>Paid</v>
      </c>
      <c r="BA76" s="9" t="str" cm="1">
        <f t="array" ref="BA76">_xlfn.IFS(AZ76="Paid","R",AZ76="Unpaid","Q")</f>
        <v>R</v>
      </c>
      <c r="BB76" s="8" t="s">
        <v>2815</v>
      </c>
    </row>
    <row r="77" spans="1:54" x14ac:dyDescent="0.25">
      <c r="A77" s="2">
        <v>76</v>
      </c>
      <c r="B77" s="2">
        <v>76</v>
      </c>
      <c r="C77" s="2" t="s">
        <v>174</v>
      </c>
      <c r="D77" s="2" t="s">
        <v>1736</v>
      </c>
      <c r="E77" s="2" t="s">
        <v>175</v>
      </c>
      <c r="F77" s="4">
        <v>45390</v>
      </c>
      <c r="G77" s="8" t="s">
        <v>8</v>
      </c>
      <c r="H77" s="8" t="s">
        <v>1242</v>
      </c>
      <c r="I77" s="2" t="s">
        <v>9</v>
      </c>
      <c r="J77" s="2" t="s">
        <v>10</v>
      </c>
      <c r="K77" s="2" t="s">
        <v>787</v>
      </c>
      <c r="L77" s="2" t="s">
        <v>1259</v>
      </c>
      <c r="M77" s="2" t="s">
        <v>1262</v>
      </c>
      <c r="N77" s="2" t="s">
        <v>2091</v>
      </c>
      <c r="O77" s="4">
        <v>36669</v>
      </c>
      <c r="P77" s="2" t="s">
        <v>2507</v>
      </c>
      <c r="Q77" s="2" t="s">
        <v>2490</v>
      </c>
      <c r="R77" s="2" t="s">
        <v>2393</v>
      </c>
      <c r="S77" s="2" t="s">
        <v>788</v>
      </c>
      <c r="T77" s="2" t="s">
        <v>1363</v>
      </c>
      <c r="U77" s="2" t="s">
        <v>1268</v>
      </c>
      <c r="V77" s="2">
        <v>9306337897</v>
      </c>
      <c r="W77" s="2" t="s">
        <v>879</v>
      </c>
      <c r="X77" s="2" t="s">
        <v>1183</v>
      </c>
      <c r="Y77" s="2" t="s">
        <v>1184</v>
      </c>
      <c r="Z77" s="2" t="s">
        <v>1185</v>
      </c>
      <c r="AA77" s="2">
        <v>12500</v>
      </c>
      <c r="AB77" s="2">
        <v>200</v>
      </c>
      <c r="AC77" s="2">
        <v>1200</v>
      </c>
      <c r="AD77" s="2">
        <v>0</v>
      </c>
      <c r="AE77" s="2">
        <f t="shared" si="9"/>
        <v>13900</v>
      </c>
      <c r="AF77" s="2">
        <v>5000</v>
      </c>
      <c r="AG77" s="4">
        <v>45400</v>
      </c>
      <c r="AH77" s="2">
        <f t="shared" si="10"/>
        <v>8900</v>
      </c>
      <c r="AI77" s="2">
        <v>3000</v>
      </c>
      <c r="AJ77" s="4">
        <v>45430</v>
      </c>
      <c r="AK77" s="2">
        <f t="shared" si="11"/>
        <v>5900</v>
      </c>
      <c r="AL77" s="2">
        <v>3000</v>
      </c>
      <c r="AM77" s="4">
        <v>45461</v>
      </c>
      <c r="AN77" s="2">
        <f t="shared" si="12"/>
        <v>2900</v>
      </c>
      <c r="AO77" s="2" cm="1">
        <f t="array" ref="AO77">_xlfn.IFS(AN77&gt;=5000,3000,AN77&gt;=2000,1000,AN77&gt;=500,500,AN77&lt;500,AN77)</f>
        <v>1000</v>
      </c>
      <c r="AP77" s="4">
        <v>45491</v>
      </c>
      <c r="AQ77" s="2">
        <f t="shared" si="13"/>
        <v>1900</v>
      </c>
      <c r="AR77" s="2">
        <v>1000</v>
      </c>
      <c r="AS77" s="4">
        <v>45522</v>
      </c>
      <c r="AT77" s="2">
        <f t="shared" si="14"/>
        <v>900</v>
      </c>
      <c r="AU77" s="2">
        <v>900</v>
      </c>
      <c r="AV77" s="4">
        <v>45553</v>
      </c>
      <c r="AW77" s="2">
        <v>0</v>
      </c>
      <c r="AX77" s="2">
        <f t="shared" si="15"/>
        <v>13900</v>
      </c>
      <c r="AY77" s="2">
        <f t="shared" si="16"/>
        <v>0</v>
      </c>
      <c r="AZ77" s="2" t="str">
        <f t="shared" si="17"/>
        <v>Paid</v>
      </c>
      <c r="BA77" s="9" t="str" cm="1">
        <f t="array" ref="BA77">_xlfn.IFS(AZ77="Paid","R",AZ77="Unpaid","Q")</f>
        <v>R</v>
      </c>
      <c r="BB77" s="8" t="s">
        <v>2815</v>
      </c>
    </row>
    <row r="78" spans="1:54" x14ac:dyDescent="0.25">
      <c r="A78" s="2">
        <v>77</v>
      </c>
      <c r="B78" s="2">
        <v>77</v>
      </c>
      <c r="C78" s="2" t="s">
        <v>176</v>
      </c>
      <c r="D78" s="2" t="s">
        <v>1737</v>
      </c>
      <c r="E78" s="2" t="s">
        <v>177</v>
      </c>
      <c r="F78" s="4">
        <v>45392</v>
      </c>
      <c r="G78" s="8" t="s">
        <v>65</v>
      </c>
      <c r="H78" s="8" t="s">
        <v>65</v>
      </c>
      <c r="I78" s="2" t="s">
        <v>14</v>
      </c>
      <c r="J78" s="2" t="s">
        <v>15</v>
      </c>
      <c r="K78" s="2" t="s">
        <v>791</v>
      </c>
      <c r="L78" s="2" t="s">
        <v>1257</v>
      </c>
      <c r="M78" s="2" t="s">
        <v>1261</v>
      </c>
      <c r="N78" s="2" t="s">
        <v>2092</v>
      </c>
      <c r="O78" s="4">
        <v>38798</v>
      </c>
      <c r="P78" s="2" t="s">
        <v>2508</v>
      </c>
      <c r="Q78" s="2" t="s">
        <v>2478</v>
      </c>
      <c r="R78" s="2" t="s">
        <v>2393</v>
      </c>
      <c r="S78" s="2" t="s">
        <v>792</v>
      </c>
      <c r="T78" s="2" t="s">
        <v>1364</v>
      </c>
      <c r="U78" s="2" t="s">
        <v>1274</v>
      </c>
      <c r="V78" s="2">
        <v>8046476463</v>
      </c>
      <c r="W78" s="2" t="s">
        <v>880</v>
      </c>
      <c r="X78" s="2" t="s">
        <v>794</v>
      </c>
      <c r="Y78" s="2" t="s">
        <v>1184</v>
      </c>
      <c r="Z78" s="2" t="s">
        <v>1185</v>
      </c>
      <c r="AA78" s="2">
        <v>2500</v>
      </c>
      <c r="AB78" s="2">
        <v>200</v>
      </c>
      <c r="AC78" s="2">
        <v>500</v>
      </c>
      <c r="AD78" s="2">
        <v>0</v>
      </c>
      <c r="AE78" s="2">
        <f t="shared" si="9"/>
        <v>3200</v>
      </c>
      <c r="AF78" s="2">
        <v>1000</v>
      </c>
      <c r="AG78" s="4">
        <v>45402</v>
      </c>
      <c r="AH78" s="2">
        <f t="shared" si="10"/>
        <v>2200</v>
      </c>
      <c r="AI78" s="2">
        <v>1000</v>
      </c>
      <c r="AJ78" s="4">
        <v>45432</v>
      </c>
      <c r="AK78" s="2">
        <f t="shared" si="11"/>
        <v>1200</v>
      </c>
      <c r="AL78" s="2">
        <v>500</v>
      </c>
      <c r="AM78" s="4">
        <v>45463</v>
      </c>
      <c r="AN78" s="2">
        <f t="shared" si="12"/>
        <v>700</v>
      </c>
      <c r="AO78" s="2" cm="1">
        <f t="array" ref="AO78">_xlfn.IFS(AN78&gt;=5000,3000,AN78&gt;=2000,1000,AN78&gt;=500,500,AN78&lt;500,AN78)</f>
        <v>500</v>
      </c>
      <c r="AP78" s="4">
        <v>45493</v>
      </c>
      <c r="AQ78" s="2">
        <f t="shared" si="13"/>
        <v>200</v>
      </c>
      <c r="AR78" s="2">
        <v>200</v>
      </c>
      <c r="AS78" s="4">
        <v>45524</v>
      </c>
      <c r="AT78" s="2">
        <f t="shared" si="14"/>
        <v>0</v>
      </c>
      <c r="AU78" s="2" t="s">
        <v>1200</v>
      </c>
      <c r="AV78" s="4" t="s">
        <v>1200</v>
      </c>
      <c r="AW78" s="2" t="s">
        <v>1200</v>
      </c>
      <c r="AX78" s="2">
        <f t="shared" si="15"/>
        <v>3200</v>
      </c>
      <c r="AY78" s="2">
        <f t="shared" si="16"/>
        <v>0</v>
      </c>
      <c r="AZ78" s="2" t="str">
        <f t="shared" si="17"/>
        <v>Paid</v>
      </c>
      <c r="BA78" s="9" t="str" cm="1">
        <f t="array" ref="BA78">_xlfn.IFS(AZ78="Paid","R",AZ78="Unpaid","Q")</f>
        <v>R</v>
      </c>
      <c r="BB78" s="8" t="s">
        <v>2815</v>
      </c>
    </row>
    <row r="79" spans="1:54" x14ac:dyDescent="0.25">
      <c r="A79" s="2">
        <v>78</v>
      </c>
      <c r="B79" s="2">
        <v>78</v>
      </c>
      <c r="C79" s="2" t="s">
        <v>178</v>
      </c>
      <c r="D79" s="2" t="s">
        <v>1738</v>
      </c>
      <c r="E79" s="2" t="s">
        <v>179</v>
      </c>
      <c r="F79" s="4">
        <v>45392</v>
      </c>
      <c r="G79" s="8" t="s">
        <v>95</v>
      </c>
      <c r="H79" s="8" t="s">
        <v>1245</v>
      </c>
      <c r="I79" s="2" t="s">
        <v>14</v>
      </c>
      <c r="J79" s="2" t="s">
        <v>15</v>
      </c>
      <c r="K79" s="2" t="s">
        <v>791</v>
      </c>
      <c r="L79" s="2" t="s">
        <v>1260</v>
      </c>
      <c r="M79" s="2" t="s">
        <v>1261</v>
      </c>
      <c r="N79" s="2" t="s">
        <v>2093</v>
      </c>
      <c r="O79" s="4">
        <v>37032</v>
      </c>
      <c r="P79" s="2" t="s">
        <v>2509</v>
      </c>
      <c r="Q79" s="2" t="s">
        <v>2470</v>
      </c>
      <c r="R79" s="2" t="s">
        <v>2393</v>
      </c>
      <c r="S79" s="2" t="s">
        <v>820</v>
      </c>
      <c r="T79" s="2" t="s">
        <v>1365</v>
      </c>
      <c r="U79" s="2" t="s">
        <v>1285</v>
      </c>
      <c r="V79" s="2">
        <v>6963501547</v>
      </c>
      <c r="W79" s="2" t="s">
        <v>881</v>
      </c>
      <c r="X79" s="2" t="s">
        <v>1183</v>
      </c>
      <c r="Y79" s="2" t="s">
        <v>1184</v>
      </c>
      <c r="Z79" s="2" t="s">
        <v>1185</v>
      </c>
      <c r="AA79" s="2">
        <v>3500</v>
      </c>
      <c r="AB79" s="2">
        <v>200</v>
      </c>
      <c r="AC79" s="2">
        <v>500</v>
      </c>
      <c r="AD79" s="2">
        <v>0</v>
      </c>
      <c r="AE79" s="2">
        <f t="shared" si="9"/>
        <v>4200</v>
      </c>
      <c r="AF79" s="2">
        <v>1000</v>
      </c>
      <c r="AG79" s="4">
        <v>45402</v>
      </c>
      <c r="AH79" s="2">
        <f t="shared" si="10"/>
        <v>3200</v>
      </c>
      <c r="AI79" s="2">
        <v>1000</v>
      </c>
      <c r="AJ79" s="4">
        <v>45432</v>
      </c>
      <c r="AK79" s="2">
        <f t="shared" si="11"/>
        <v>2200</v>
      </c>
      <c r="AL79" s="2">
        <v>1000</v>
      </c>
      <c r="AM79" s="4">
        <v>45463</v>
      </c>
      <c r="AN79" s="2">
        <f t="shared" si="12"/>
        <v>1200</v>
      </c>
      <c r="AO79" s="2" cm="1">
        <f t="array" ref="AO79">_xlfn.IFS(AN79&gt;=5000,3000,AN79&gt;=2000,1000,AN79&gt;=500,500,AN79&lt;500,AN79)</f>
        <v>500</v>
      </c>
      <c r="AP79" s="4">
        <v>45493</v>
      </c>
      <c r="AQ79" s="2">
        <f t="shared" si="13"/>
        <v>700</v>
      </c>
      <c r="AR79" s="2">
        <v>500</v>
      </c>
      <c r="AS79" s="4">
        <v>45524</v>
      </c>
      <c r="AT79" s="2">
        <f t="shared" si="14"/>
        <v>200</v>
      </c>
      <c r="AU79" s="2">
        <v>200</v>
      </c>
      <c r="AV79" s="4">
        <v>45555</v>
      </c>
      <c r="AW79" s="2">
        <v>0</v>
      </c>
      <c r="AX79" s="2">
        <f t="shared" si="15"/>
        <v>4200</v>
      </c>
      <c r="AY79" s="2">
        <f t="shared" si="16"/>
        <v>0</v>
      </c>
      <c r="AZ79" s="2" t="str">
        <f t="shared" si="17"/>
        <v>Paid</v>
      </c>
      <c r="BA79" s="9" t="str" cm="1">
        <f t="array" ref="BA79">_xlfn.IFS(AZ79="Paid","R",AZ79="Unpaid","Q")</f>
        <v>R</v>
      </c>
      <c r="BB79" s="8" t="s">
        <v>2815</v>
      </c>
    </row>
    <row r="80" spans="1:54" x14ac:dyDescent="0.25">
      <c r="A80" s="2">
        <v>79</v>
      </c>
      <c r="B80" s="2">
        <v>79</v>
      </c>
      <c r="C80" s="2" t="s">
        <v>180</v>
      </c>
      <c r="D80" s="2" t="s">
        <v>1739</v>
      </c>
      <c r="E80" s="2" t="s">
        <v>181</v>
      </c>
      <c r="F80" s="4">
        <v>45393</v>
      </c>
      <c r="G80" s="8" t="s">
        <v>8</v>
      </c>
      <c r="H80" s="8" t="s">
        <v>1242</v>
      </c>
      <c r="I80" s="2" t="s">
        <v>9</v>
      </c>
      <c r="J80" s="2" t="s">
        <v>10</v>
      </c>
      <c r="K80" s="2" t="s">
        <v>787</v>
      </c>
      <c r="L80" s="2" t="s">
        <v>1256</v>
      </c>
      <c r="M80" s="2" t="s">
        <v>1263</v>
      </c>
      <c r="N80" s="2" t="s">
        <v>2094</v>
      </c>
      <c r="O80" s="4">
        <v>32704</v>
      </c>
      <c r="P80" s="2" t="s">
        <v>2510</v>
      </c>
      <c r="Q80" s="2" t="s">
        <v>2437</v>
      </c>
      <c r="R80" s="2" t="s">
        <v>2393</v>
      </c>
      <c r="S80" s="2" t="s">
        <v>788</v>
      </c>
      <c r="T80" s="2" t="s">
        <v>1366</v>
      </c>
      <c r="U80" s="2" t="s">
        <v>1282</v>
      </c>
      <c r="V80" s="2">
        <v>8591977575</v>
      </c>
      <c r="W80" s="2" t="s">
        <v>882</v>
      </c>
      <c r="X80" s="2" t="s">
        <v>790</v>
      </c>
      <c r="Y80" s="2" t="s">
        <v>1184</v>
      </c>
      <c r="Z80" s="2" t="s">
        <v>1185</v>
      </c>
      <c r="AA80" s="2">
        <v>12500</v>
      </c>
      <c r="AB80" s="2">
        <v>200</v>
      </c>
      <c r="AC80" s="2">
        <v>1200</v>
      </c>
      <c r="AD80" s="2">
        <v>0</v>
      </c>
      <c r="AE80" s="2">
        <f t="shared" si="9"/>
        <v>13900</v>
      </c>
      <c r="AF80" s="2">
        <v>5000</v>
      </c>
      <c r="AG80" s="4">
        <v>45403</v>
      </c>
      <c r="AH80" s="2">
        <f t="shared" si="10"/>
        <v>8900</v>
      </c>
      <c r="AI80" s="2">
        <v>3000</v>
      </c>
      <c r="AJ80" s="4">
        <v>45433</v>
      </c>
      <c r="AK80" s="2">
        <f t="shared" si="11"/>
        <v>5900</v>
      </c>
      <c r="AL80" s="2">
        <v>3000</v>
      </c>
      <c r="AM80" s="4">
        <v>45464</v>
      </c>
      <c r="AN80" s="2">
        <f t="shared" si="12"/>
        <v>2900</v>
      </c>
      <c r="AO80" s="2" cm="1">
        <f t="array" ref="AO80">_xlfn.IFS(AN80&gt;=5000,3000,AN80&gt;=2000,1000,AN80&gt;=500,500,AN80&lt;500,AN80)</f>
        <v>1000</v>
      </c>
      <c r="AP80" s="4">
        <v>45494</v>
      </c>
      <c r="AQ80" s="2">
        <f t="shared" si="13"/>
        <v>1900</v>
      </c>
      <c r="AR80" s="2">
        <v>1000</v>
      </c>
      <c r="AS80" s="4">
        <v>45525</v>
      </c>
      <c r="AT80" s="2">
        <f t="shared" si="14"/>
        <v>900</v>
      </c>
      <c r="AU80" s="2">
        <v>900</v>
      </c>
      <c r="AV80" s="4">
        <v>45556</v>
      </c>
      <c r="AW80" s="2">
        <v>0</v>
      </c>
      <c r="AX80" s="2">
        <f t="shared" si="15"/>
        <v>13900</v>
      </c>
      <c r="AY80" s="2">
        <f t="shared" si="16"/>
        <v>0</v>
      </c>
      <c r="AZ80" s="2" t="str">
        <f t="shared" si="17"/>
        <v>Paid</v>
      </c>
      <c r="BA80" s="9" t="str" cm="1">
        <f t="array" ref="BA80">_xlfn.IFS(AZ80="Paid","R",AZ80="Unpaid","Q")</f>
        <v>R</v>
      </c>
      <c r="BB80" s="8" t="s">
        <v>2815</v>
      </c>
    </row>
    <row r="81" spans="1:54" x14ac:dyDescent="0.25">
      <c r="A81" s="2">
        <v>80</v>
      </c>
      <c r="B81" s="2">
        <v>80</v>
      </c>
      <c r="C81" s="2" t="s">
        <v>182</v>
      </c>
      <c r="D81" s="2" t="s">
        <v>1740</v>
      </c>
      <c r="E81" s="2" t="s">
        <v>183</v>
      </c>
      <c r="F81" s="4">
        <v>45393</v>
      </c>
      <c r="G81" s="8" t="s">
        <v>32</v>
      </c>
      <c r="H81" s="8" t="s">
        <v>1249</v>
      </c>
      <c r="I81" s="2" t="s">
        <v>14</v>
      </c>
      <c r="J81" s="2" t="s">
        <v>15</v>
      </c>
      <c r="K81" s="2" t="s">
        <v>791</v>
      </c>
      <c r="L81" s="2" t="s">
        <v>1259</v>
      </c>
      <c r="M81" s="2" t="s">
        <v>1262</v>
      </c>
      <c r="N81" s="2" t="s">
        <v>2095</v>
      </c>
      <c r="O81" s="4">
        <v>35232</v>
      </c>
      <c r="P81" s="2" t="s">
        <v>2511</v>
      </c>
      <c r="Q81" s="2" t="s">
        <v>2439</v>
      </c>
      <c r="R81" s="2" t="s">
        <v>2393</v>
      </c>
      <c r="S81" s="2" t="s">
        <v>788</v>
      </c>
      <c r="T81" s="2" t="s">
        <v>1367</v>
      </c>
      <c r="U81" s="2" t="s">
        <v>1279</v>
      </c>
      <c r="V81" s="2">
        <v>7746805585</v>
      </c>
      <c r="W81" s="2" t="s">
        <v>883</v>
      </c>
      <c r="X81" s="2" t="s">
        <v>794</v>
      </c>
      <c r="Y81" s="2" t="s">
        <v>1184</v>
      </c>
      <c r="Z81" s="2" t="s">
        <v>1185</v>
      </c>
      <c r="AA81" s="2">
        <v>2000</v>
      </c>
      <c r="AB81" s="2">
        <v>200</v>
      </c>
      <c r="AC81" s="2">
        <v>300</v>
      </c>
      <c r="AD81" s="2">
        <v>0</v>
      </c>
      <c r="AE81" s="2">
        <f t="shared" si="9"/>
        <v>2500</v>
      </c>
      <c r="AF81" s="2">
        <v>1000</v>
      </c>
      <c r="AG81" s="4">
        <v>45403</v>
      </c>
      <c r="AH81" s="2">
        <f t="shared" si="10"/>
        <v>1500</v>
      </c>
      <c r="AI81" s="2">
        <v>500</v>
      </c>
      <c r="AJ81" s="4">
        <v>45433</v>
      </c>
      <c r="AK81" s="2">
        <f t="shared" si="11"/>
        <v>1000</v>
      </c>
      <c r="AL81" s="2">
        <v>500</v>
      </c>
      <c r="AM81" s="4">
        <v>45464</v>
      </c>
      <c r="AN81" s="2">
        <f t="shared" si="12"/>
        <v>500</v>
      </c>
      <c r="AO81" s="2" cm="1">
        <f t="array" ref="AO81">_xlfn.IFS(AN81&gt;=5000,3000,AN81&gt;=2000,1000,AN81&gt;=500,500,AN81&lt;500,AN81)</f>
        <v>500</v>
      </c>
      <c r="AP81" s="4">
        <v>45494</v>
      </c>
      <c r="AQ81" s="2">
        <f t="shared" si="13"/>
        <v>0</v>
      </c>
      <c r="AR81" s="2" t="s">
        <v>1200</v>
      </c>
      <c r="AS81" s="4" t="s">
        <v>1200</v>
      </c>
      <c r="AT81" s="2" t="str">
        <f t="shared" si="14"/>
        <v/>
      </c>
      <c r="AU81" s="2" t="s">
        <v>1200</v>
      </c>
      <c r="AV81" s="4" t="s">
        <v>1200</v>
      </c>
      <c r="AW81" s="2" t="s">
        <v>1200</v>
      </c>
      <c r="AX81" s="2">
        <f t="shared" si="15"/>
        <v>2500</v>
      </c>
      <c r="AY81" s="2">
        <f t="shared" si="16"/>
        <v>0</v>
      </c>
      <c r="AZ81" s="2" t="str">
        <f t="shared" si="17"/>
        <v>Paid</v>
      </c>
      <c r="BA81" s="9" t="str" cm="1">
        <f t="array" ref="BA81">_xlfn.IFS(AZ81="Paid","R",AZ81="Unpaid","Q")</f>
        <v>R</v>
      </c>
      <c r="BB81" s="8" t="s">
        <v>2815</v>
      </c>
    </row>
    <row r="82" spans="1:54" x14ac:dyDescent="0.25">
      <c r="A82" s="2">
        <v>81</v>
      </c>
      <c r="B82" s="2">
        <v>81</v>
      </c>
      <c r="C82" s="2" t="s">
        <v>184</v>
      </c>
      <c r="D82" s="2" t="s">
        <v>1741</v>
      </c>
      <c r="E82" s="2" t="s">
        <v>185</v>
      </c>
      <c r="F82" s="4">
        <v>45394</v>
      </c>
      <c r="G82" s="8" t="s">
        <v>95</v>
      </c>
      <c r="H82" s="8" t="s">
        <v>1245</v>
      </c>
      <c r="I82" s="2" t="s">
        <v>14</v>
      </c>
      <c r="J82" s="2" t="s">
        <v>15</v>
      </c>
      <c r="K82" s="2" t="s">
        <v>791</v>
      </c>
      <c r="L82" s="2" t="s">
        <v>1257</v>
      </c>
      <c r="M82" s="2" t="s">
        <v>1261</v>
      </c>
      <c r="N82" s="2" t="s">
        <v>2096</v>
      </c>
      <c r="O82" s="4">
        <v>38915</v>
      </c>
      <c r="P82" s="2" t="s">
        <v>2512</v>
      </c>
      <c r="Q82" s="2" t="s">
        <v>2513</v>
      </c>
      <c r="R82" s="2" t="s">
        <v>2393</v>
      </c>
      <c r="S82" s="2" t="s">
        <v>792</v>
      </c>
      <c r="T82" s="2" t="s">
        <v>1368</v>
      </c>
      <c r="U82" s="2" t="s">
        <v>1272</v>
      </c>
      <c r="V82" s="2">
        <v>6860884301</v>
      </c>
      <c r="W82" s="2" t="s">
        <v>884</v>
      </c>
      <c r="X82" s="2" t="s">
        <v>809</v>
      </c>
      <c r="Y82" s="2" t="s">
        <v>1184</v>
      </c>
      <c r="Z82" s="2" t="s">
        <v>1185</v>
      </c>
      <c r="AA82" s="2">
        <v>3500</v>
      </c>
      <c r="AB82" s="2">
        <v>200</v>
      </c>
      <c r="AC82" s="2">
        <v>500</v>
      </c>
      <c r="AD82" s="2">
        <v>0</v>
      </c>
      <c r="AE82" s="2">
        <f t="shared" si="9"/>
        <v>4200</v>
      </c>
      <c r="AF82" s="2">
        <v>1000</v>
      </c>
      <c r="AG82" s="4">
        <v>45404</v>
      </c>
      <c r="AH82" s="2">
        <f t="shared" si="10"/>
        <v>3200</v>
      </c>
      <c r="AI82" s="2">
        <v>1000</v>
      </c>
      <c r="AJ82" s="4">
        <v>45434</v>
      </c>
      <c r="AK82" s="2">
        <f t="shared" si="11"/>
        <v>2200</v>
      </c>
      <c r="AL82" s="2">
        <v>1000</v>
      </c>
      <c r="AM82" s="4">
        <v>45465</v>
      </c>
      <c r="AN82" s="2">
        <f t="shared" si="12"/>
        <v>1200</v>
      </c>
      <c r="AO82" s="2" cm="1">
        <f t="array" ref="AO82">_xlfn.IFS(AN82&gt;=5000,3000,AN82&gt;=2000,1000,AN82&gt;=500,500,AN82&lt;500,AN82)</f>
        <v>500</v>
      </c>
      <c r="AP82" s="4">
        <v>45495</v>
      </c>
      <c r="AQ82" s="2">
        <f t="shared" si="13"/>
        <v>700</v>
      </c>
      <c r="AR82" s="2">
        <v>500</v>
      </c>
      <c r="AS82" s="4">
        <v>45526</v>
      </c>
      <c r="AT82" s="2">
        <f t="shared" si="14"/>
        <v>200</v>
      </c>
      <c r="AU82" s="2">
        <v>200</v>
      </c>
      <c r="AV82" s="4">
        <v>45557</v>
      </c>
      <c r="AW82" s="2">
        <v>0</v>
      </c>
      <c r="AX82" s="2">
        <f t="shared" si="15"/>
        <v>4200</v>
      </c>
      <c r="AY82" s="2">
        <f t="shared" si="16"/>
        <v>0</v>
      </c>
      <c r="AZ82" s="2" t="str">
        <f t="shared" si="17"/>
        <v>Paid</v>
      </c>
      <c r="BA82" s="9" t="str" cm="1">
        <f t="array" ref="BA82">_xlfn.IFS(AZ82="Paid","R",AZ82="Unpaid","Q")</f>
        <v>R</v>
      </c>
      <c r="BB82" s="8" t="s">
        <v>2815</v>
      </c>
    </row>
    <row r="83" spans="1:54" x14ac:dyDescent="0.25">
      <c r="A83" s="2">
        <v>82</v>
      </c>
      <c r="B83" s="2">
        <v>82</v>
      </c>
      <c r="C83" s="2" t="s">
        <v>186</v>
      </c>
      <c r="D83" s="2" t="s">
        <v>1742</v>
      </c>
      <c r="E83" s="2" t="s">
        <v>187</v>
      </c>
      <c r="F83" s="4">
        <v>45395</v>
      </c>
      <c r="G83" s="8" t="s">
        <v>13</v>
      </c>
      <c r="H83" s="8" t="s">
        <v>1254</v>
      </c>
      <c r="I83" s="2" t="s">
        <v>14</v>
      </c>
      <c r="J83" s="2" t="s">
        <v>15</v>
      </c>
      <c r="K83" s="2" t="s">
        <v>791</v>
      </c>
      <c r="L83" s="2" t="s">
        <v>1257</v>
      </c>
      <c r="M83" s="2" t="s">
        <v>1261</v>
      </c>
      <c r="N83" s="2" t="s">
        <v>2097</v>
      </c>
      <c r="O83" s="4">
        <v>32786</v>
      </c>
      <c r="P83" s="2" t="s">
        <v>2514</v>
      </c>
      <c r="Q83" s="2" t="s">
        <v>2478</v>
      </c>
      <c r="R83" s="2" t="s">
        <v>2393</v>
      </c>
      <c r="S83" s="2" t="s">
        <v>820</v>
      </c>
      <c r="T83" s="2" t="s">
        <v>1369</v>
      </c>
      <c r="U83" s="2" t="s">
        <v>1279</v>
      </c>
      <c r="V83" s="2">
        <v>7256623455</v>
      </c>
      <c r="W83" s="2" t="s">
        <v>885</v>
      </c>
      <c r="X83" s="2" t="s">
        <v>1183</v>
      </c>
      <c r="Y83" s="2" t="s">
        <v>1184</v>
      </c>
      <c r="Z83" s="2" t="s">
        <v>1185</v>
      </c>
      <c r="AA83" s="2">
        <v>3000</v>
      </c>
      <c r="AB83" s="2">
        <v>200</v>
      </c>
      <c r="AC83" s="2">
        <v>500</v>
      </c>
      <c r="AD83" s="2">
        <v>0</v>
      </c>
      <c r="AE83" s="2">
        <f t="shared" si="9"/>
        <v>3700</v>
      </c>
      <c r="AF83" s="2">
        <v>1000</v>
      </c>
      <c r="AG83" s="4">
        <v>45405</v>
      </c>
      <c r="AH83" s="2">
        <f t="shared" si="10"/>
        <v>2700</v>
      </c>
      <c r="AI83" s="2">
        <v>1000</v>
      </c>
      <c r="AJ83" s="4">
        <v>45435</v>
      </c>
      <c r="AK83" s="2">
        <f t="shared" si="11"/>
        <v>1700</v>
      </c>
      <c r="AL83" s="2">
        <v>500</v>
      </c>
      <c r="AM83" s="4">
        <v>45466</v>
      </c>
      <c r="AN83" s="2">
        <f t="shared" si="12"/>
        <v>1200</v>
      </c>
      <c r="AO83" s="2" cm="1">
        <f t="array" ref="AO83">_xlfn.IFS(AN83&gt;=5000,3000,AN83&gt;=2000,1000,AN83&gt;=500,500,AN83&lt;500,AN83)</f>
        <v>500</v>
      </c>
      <c r="AP83" s="4">
        <v>45496</v>
      </c>
      <c r="AQ83" s="2">
        <f t="shared" si="13"/>
        <v>700</v>
      </c>
      <c r="AR83" s="2">
        <v>500</v>
      </c>
      <c r="AS83" s="4">
        <v>45527</v>
      </c>
      <c r="AT83" s="2">
        <f t="shared" si="14"/>
        <v>200</v>
      </c>
      <c r="AU83" s="2">
        <v>200</v>
      </c>
      <c r="AV83" s="4">
        <v>45558</v>
      </c>
      <c r="AW83" s="2">
        <v>0</v>
      </c>
      <c r="AX83" s="2">
        <f t="shared" si="15"/>
        <v>3700</v>
      </c>
      <c r="AY83" s="2">
        <f t="shared" si="16"/>
        <v>0</v>
      </c>
      <c r="AZ83" s="2" t="str">
        <f t="shared" si="17"/>
        <v>Paid</v>
      </c>
      <c r="BA83" s="9" t="str" cm="1">
        <f t="array" ref="BA83">_xlfn.IFS(AZ83="Paid","R",AZ83="Unpaid","Q")</f>
        <v>R</v>
      </c>
      <c r="BB83" s="8" t="s">
        <v>2815</v>
      </c>
    </row>
    <row r="84" spans="1:54" x14ac:dyDescent="0.25">
      <c r="A84" s="2">
        <v>83</v>
      </c>
      <c r="B84" s="2">
        <v>83</v>
      </c>
      <c r="C84" s="2" t="s">
        <v>188</v>
      </c>
      <c r="D84" s="2" t="s">
        <v>1743</v>
      </c>
      <c r="E84" s="2" t="s">
        <v>189</v>
      </c>
      <c r="F84" s="4">
        <v>45395</v>
      </c>
      <c r="G84" s="8" t="s">
        <v>8</v>
      </c>
      <c r="H84" s="8" t="s">
        <v>1242</v>
      </c>
      <c r="I84" s="2" t="s">
        <v>9</v>
      </c>
      <c r="J84" s="2" t="s">
        <v>10</v>
      </c>
      <c r="K84" s="2" t="s">
        <v>787</v>
      </c>
      <c r="L84" s="2" t="s">
        <v>1259</v>
      </c>
      <c r="M84" s="2" t="s">
        <v>1262</v>
      </c>
      <c r="N84" s="2" t="s">
        <v>2098</v>
      </c>
      <c r="O84" s="4">
        <v>40484</v>
      </c>
      <c r="P84" s="2" t="s">
        <v>2515</v>
      </c>
      <c r="Q84" s="2" t="s">
        <v>2426</v>
      </c>
      <c r="R84" s="2" t="s">
        <v>2393</v>
      </c>
      <c r="S84" s="2" t="s">
        <v>788</v>
      </c>
      <c r="T84" s="2" t="s">
        <v>1370</v>
      </c>
      <c r="U84" s="2" t="s">
        <v>1269</v>
      </c>
      <c r="V84" s="2">
        <v>9277104076</v>
      </c>
      <c r="W84" s="2" t="s">
        <v>886</v>
      </c>
      <c r="X84" s="2" t="s">
        <v>798</v>
      </c>
      <c r="Y84" s="2" t="s">
        <v>1184</v>
      </c>
      <c r="Z84" s="2" t="s">
        <v>1185</v>
      </c>
      <c r="AA84" s="2">
        <v>12500</v>
      </c>
      <c r="AB84" s="2">
        <v>200</v>
      </c>
      <c r="AC84" s="2">
        <v>1200</v>
      </c>
      <c r="AD84" s="2">
        <v>0</v>
      </c>
      <c r="AE84" s="2">
        <f t="shared" si="9"/>
        <v>13900</v>
      </c>
      <c r="AF84" s="2">
        <v>5000</v>
      </c>
      <c r="AG84" s="4">
        <v>45405</v>
      </c>
      <c r="AH84" s="2">
        <f t="shared" si="10"/>
        <v>8900</v>
      </c>
      <c r="AI84" s="2">
        <v>3000</v>
      </c>
      <c r="AJ84" s="4">
        <v>45435</v>
      </c>
      <c r="AK84" s="2">
        <f t="shared" si="11"/>
        <v>5900</v>
      </c>
      <c r="AL84" s="2">
        <v>3000</v>
      </c>
      <c r="AM84" s="4">
        <v>45466</v>
      </c>
      <c r="AN84" s="2">
        <f t="shared" si="12"/>
        <v>2900</v>
      </c>
      <c r="AO84" s="2" cm="1">
        <f t="array" ref="AO84">_xlfn.IFS(AN84&gt;=5000,3000,AN84&gt;=2000,1000,AN84&gt;=500,500,AN84&lt;500,AN84)</f>
        <v>1000</v>
      </c>
      <c r="AP84" s="4">
        <v>45496</v>
      </c>
      <c r="AQ84" s="2">
        <f t="shared" si="13"/>
        <v>1900</v>
      </c>
      <c r="AR84" s="2">
        <v>1000</v>
      </c>
      <c r="AS84" s="4">
        <v>45527</v>
      </c>
      <c r="AT84" s="2">
        <f t="shared" si="14"/>
        <v>900</v>
      </c>
      <c r="AU84" s="2">
        <v>900</v>
      </c>
      <c r="AV84" s="4">
        <v>45558</v>
      </c>
      <c r="AW84" s="2">
        <v>0</v>
      </c>
      <c r="AX84" s="2">
        <f t="shared" si="15"/>
        <v>13900</v>
      </c>
      <c r="AY84" s="2">
        <f t="shared" si="16"/>
        <v>0</v>
      </c>
      <c r="AZ84" s="2" t="str">
        <f t="shared" si="17"/>
        <v>Paid</v>
      </c>
      <c r="BA84" s="9" t="str" cm="1">
        <f t="array" ref="BA84">_xlfn.IFS(AZ84="Paid","R",AZ84="Unpaid","Q")</f>
        <v>R</v>
      </c>
      <c r="BB84" s="8" t="s">
        <v>2815</v>
      </c>
    </row>
    <row r="85" spans="1:54" x14ac:dyDescent="0.25">
      <c r="A85" s="2">
        <v>84</v>
      </c>
      <c r="B85" s="2">
        <v>84</v>
      </c>
      <c r="C85" s="2" t="s">
        <v>190</v>
      </c>
      <c r="D85" s="2" t="s">
        <v>1744</v>
      </c>
      <c r="E85" s="2" t="s">
        <v>191</v>
      </c>
      <c r="F85" s="4">
        <v>45396</v>
      </c>
      <c r="G85" s="8" t="s">
        <v>35</v>
      </c>
      <c r="H85" s="8" t="s">
        <v>1244</v>
      </c>
      <c r="I85" s="2" t="s">
        <v>14</v>
      </c>
      <c r="J85" s="2" t="s">
        <v>15</v>
      </c>
      <c r="K85" s="2" t="s">
        <v>791</v>
      </c>
      <c r="L85" s="2" t="s">
        <v>1260</v>
      </c>
      <c r="M85" s="2" t="s">
        <v>1261</v>
      </c>
      <c r="N85" s="2" t="s">
        <v>2099</v>
      </c>
      <c r="O85" s="4">
        <v>37553</v>
      </c>
      <c r="P85" s="2" t="s">
        <v>2516</v>
      </c>
      <c r="Q85" s="2" t="s">
        <v>2480</v>
      </c>
      <c r="R85" s="2" t="s">
        <v>2393</v>
      </c>
      <c r="S85" s="2" t="s">
        <v>820</v>
      </c>
      <c r="T85" s="2" t="s">
        <v>1371</v>
      </c>
      <c r="U85" s="2" t="s">
        <v>1279</v>
      </c>
      <c r="V85" s="2">
        <v>7075090690</v>
      </c>
      <c r="W85" s="2" t="s">
        <v>887</v>
      </c>
      <c r="X85" s="2" t="s">
        <v>790</v>
      </c>
      <c r="Y85" s="2" t="s">
        <v>1184</v>
      </c>
      <c r="Z85" s="2" t="s">
        <v>1185</v>
      </c>
      <c r="AA85" s="2">
        <v>3000</v>
      </c>
      <c r="AB85" s="2">
        <v>200</v>
      </c>
      <c r="AC85" s="2">
        <v>500</v>
      </c>
      <c r="AD85" s="2">
        <v>300</v>
      </c>
      <c r="AE85" s="2">
        <f t="shared" si="9"/>
        <v>3400</v>
      </c>
      <c r="AF85" s="2">
        <v>1000</v>
      </c>
      <c r="AG85" s="4">
        <v>45406</v>
      </c>
      <c r="AH85" s="2">
        <f t="shared" si="10"/>
        <v>2400</v>
      </c>
      <c r="AI85" s="2">
        <v>1000</v>
      </c>
      <c r="AJ85" s="4">
        <v>45436</v>
      </c>
      <c r="AK85" s="2">
        <f t="shared" si="11"/>
        <v>1400</v>
      </c>
      <c r="AL85" s="2">
        <v>500</v>
      </c>
      <c r="AM85" s="4">
        <v>45467</v>
      </c>
      <c r="AN85" s="2">
        <f t="shared" si="12"/>
        <v>900</v>
      </c>
      <c r="AO85" s="2" cm="1">
        <f t="array" ref="AO85">_xlfn.IFS(AN85&gt;=5000,3000,AN85&gt;=2000,1000,AN85&gt;=500,500,AN85&lt;500,AN85)</f>
        <v>500</v>
      </c>
      <c r="AP85" s="4">
        <v>45497</v>
      </c>
      <c r="AQ85" s="2">
        <f t="shared" si="13"/>
        <v>400</v>
      </c>
      <c r="AR85" s="2">
        <v>400</v>
      </c>
      <c r="AS85" s="4">
        <v>45528</v>
      </c>
      <c r="AT85" s="2">
        <f t="shared" si="14"/>
        <v>0</v>
      </c>
      <c r="AU85" s="2" t="s">
        <v>1200</v>
      </c>
      <c r="AV85" s="4" t="s">
        <v>1200</v>
      </c>
      <c r="AW85" s="2" t="s">
        <v>1200</v>
      </c>
      <c r="AX85" s="2">
        <f t="shared" si="15"/>
        <v>3400</v>
      </c>
      <c r="AY85" s="2">
        <f t="shared" si="16"/>
        <v>0</v>
      </c>
      <c r="AZ85" s="2" t="str">
        <f t="shared" si="17"/>
        <v>Paid</v>
      </c>
      <c r="BA85" s="9" t="str" cm="1">
        <f t="array" ref="BA85">_xlfn.IFS(AZ85="Paid","R",AZ85="Unpaid","Q")</f>
        <v>R</v>
      </c>
      <c r="BB85" s="8" t="s">
        <v>2815</v>
      </c>
    </row>
    <row r="86" spans="1:54" x14ac:dyDescent="0.25">
      <c r="A86" s="2">
        <v>85</v>
      </c>
      <c r="B86" s="2">
        <v>85</v>
      </c>
      <c r="C86" s="2" t="s">
        <v>192</v>
      </c>
      <c r="D86" s="2" t="s">
        <v>1745</v>
      </c>
      <c r="E86" s="2" t="s">
        <v>193</v>
      </c>
      <c r="F86" s="4">
        <v>45400</v>
      </c>
      <c r="G86" s="8" t="s">
        <v>29</v>
      </c>
      <c r="H86" s="8" t="s">
        <v>1248</v>
      </c>
      <c r="I86" s="2" t="s">
        <v>14</v>
      </c>
      <c r="J86" s="2" t="s">
        <v>15</v>
      </c>
      <c r="K86" s="2" t="s">
        <v>791</v>
      </c>
      <c r="L86" s="2" t="s">
        <v>1257</v>
      </c>
      <c r="M86" s="2" t="s">
        <v>1261</v>
      </c>
      <c r="N86" s="2" t="s">
        <v>2100</v>
      </c>
      <c r="O86" s="4">
        <v>38331</v>
      </c>
      <c r="P86" s="2" t="s">
        <v>2517</v>
      </c>
      <c r="Q86" s="2" t="s">
        <v>2420</v>
      </c>
      <c r="R86" s="2" t="s">
        <v>2393</v>
      </c>
      <c r="S86" s="2" t="s">
        <v>820</v>
      </c>
      <c r="T86" s="2" t="s">
        <v>1372</v>
      </c>
      <c r="U86" s="2" t="s">
        <v>1275</v>
      </c>
      <c r="V86" s="2">
        <v>8069316498</v>
      </c>
      <c r="W86" s="2" t="s">
        <v>888</v>
      </c>
      <c r="X86" s="2" t="s">
        <v>813</v>
      </c>
      <c r="Y86" s="2" t="s">
        <v>1184</v>
      </c>
      <c r="Z86" s="2" t="s">
        <v>1185</v>
      </c>
      <c r="AA86" s="2">
        <v>2500</v>
      </c>
      <c r="AB86" s="2">
        <v>200</v>
      </c>
      <c r="AC86" s="2">
        <v>400</v>
      </c>
      <c r="AD86" s="2">
        <v>500</v>
      </c>
      <c r="AE86" s="2">
        <f t="shared" si="9"/>
        <v>2600</v>
      </c>
      <c r="AF86" s="2">
        <v>1000</v>
      </c>
      <c r="AG86" s="4">
        <v>45410</v>
      </c>
      <c r="AH86" s="2">
        <f t="shared" si="10"/>
        <v>1600</v>
      </c>
      <c r="AI86" s="2">
        <v>500</v>
      </c>
      <c r="AJ86" s="4">
        <v>45440</v>
      </c>
      <c r="AK86" s="2">
        <f t="shared" si="11"/>
        <v>1100</v>
      </c>
      <c r="AL86" s="2">
        <v>500</v>
      </c>
      <c r="AM86" s="4">
        <v>45471</v>
      </c>
      <c r="AN86" s="2">
        <f t="shared" si="12"/>
        <v>600</v>
      </c>
      <c r="AO86" s="2" cm="1">
        <f t="array" ref="AO86">_xlfn.IFS(AN86&gt;=5000,3000,AN86&gt;=2000,1000,AN86&gt;=500,500,AN86&lt;500,AN86)</f>
        <v>500</v>
      </c>
      <c r="AP86" s="4">
        <v>45501</v>
      </c>
      <c r="AQ86" s="2">
        <f t="shared" si="13"/>
        <v>100</v>
      </c>
      <c r="AR86" s="2">
        <v>100</v>
      </c>
      <c r="AS86" s="4">
        <v>45532</v>
      </c>
      <c r="AT86" s="2">
        <f t="shared" si="14"/>
        <v>0</v>
      </c>
      <c r="AU86" s="2" t="s">
        <v>1200</v>
      </c>
      <c r="AV86" s="4" t="s">
        <v>1200</v>
      </c>
      <c r="AW86" s="2" t="s">
        <v>1200</v>
      </c>
      <c r="AX86" s="2">
        <f t="shared" si="15"/>
        <v>2600</v>
      </c>
      <c r="AY86" s="2">
        <f t="shared" si="16"/>
        <v>0</v>
      </c>
      <c r="AZ86" s="2" t="str">
        <f t="shared" si="17"/>
        <v>Paid</v>
      </c>
      <c r="BA86" s="9" t="str" cm="1">
        <f t="array" ref="BA86">_xlfn.IFS(AZ86="Paid","R",AZ86="Unpaid","Q")</f>
        <v>R</v>
      </c>
      <c r="BB86" s="8" t="s">
        <v>2815</v>
      </c>
    </row>
    <row r="87" spans="1:54" x14ac:dyDescent="0.25">
      <c r="A87" s="2">
        <v>86</v>
      </c>
      <c r="B87" s="2">
        <v>86</v>
      </c>
      <c r="C87" s="2" t="s">
        <v>194</v>
      </c>
      <c r="D87" s="2" t="s">
        <v>1746</v>
      </c>
      <c r="E87" s="2" t="s">
        <v>195</v>
      </c>
      <c r="F87" s="4">
        <v>45401</v>
      </c>
      <c r="G87" s="8" t="s">
        <v>45</v>
      </c>
      <c r="H87" s="8" t="s">
        <v>1250</v>
      </c>
      <c r="I87" s="2" t="s">
        <v>14</v>
      </c>
      <c r="J87" s="2" t="s">
        <v>15</v>
      </c>
      <c r="K87" s="2" t="s">
        <v>791</v>
      </c>
      <c r="L87" s="2" t="s">
        <v>1260</v>
      </c>
      <c r="M87" s="2" t="s">
        <v>1261</v>
      </c>
      <c r="N87" s="2" t="s">
        <v>2101</v>
      </c>
      <c r="O87" s="4">
        <v>38707</v>
      </c>
      <c r="P87" s="2" t="s">
        <v>2518</v>
      </c>
      <c r="Q87" s="2" t="s">
        <v>2496</v>
      </c>
      <c r="R87" s="2" t="s">
        <v>2396</v>
      </c>
      <c r="S87" s="2" t="s">
        <v>792</v>
      </c>
      <c r="T87" s="2" t="s">
        <v>1373</v>
      </c>
      <c r="U87" s="2" t="s">
        <v>1279</v>
      </c>
      <c r="V87" s="2">
        <v>8414046937</v>
      </c>
      <c r="W87" s="2" t="s">
        <v>889</v>
      </c>
      <c r="X87" s="2" t="s">
        <v>801</v>
      </c>
      <c r="Y87" s="2" t="s">
        <v>1184</v>
      </c>
      <c r="Z87" s="2" t="s">
        <v>1185</v>
      </c>
      <c r="AA87" s="2">
        <v>2000</v>
      </c>
      <c r="AB87" s="2">
        <v>200</v>
      </c>
      <c r="AC87" s="2">
        <v>300</v>
      </c>
      <c r="AD87" s="2">
        <v>300</v>
      </c>
      <c r="AE87" s="2">
        <f t="shared" si="9"/>
        <v>2200</v>
      </c>
      <c r="AF87" s="2">
        <v>500</v>
      </c>
      <c r="AG87" s="4">
        <v>45411</v>
      </c>
      <c r="AH87" s="2">
        <f t="shared" si="10"/>
        <v>1700</v>
      </c>
      <c r="AI87" s="2">
        <v>500</v>
      </c>
      <c r="AJ87" s="4">
        <v>45441</v>
      </c>
      <c r="AK87" s="2">
        <f t="shared" si="11"/>
        <v>1200</v>
      </c>
      <c r="AL87" s="2">
        <v>500</v>
      </c>
      <c r="AM87" s="4">
        <v>45472</v>
      </c>
      <c r="AN87" s="2">
        <f t="shared" si="12"/>
        <v>700</v>
      </c>
      <c r="AO87" s="2" cm="1">
        <f t="array" ref="AO87">_xlfn.IFS(AN87&gt;=5000,3000,AN87&gt;=2000,1000,AN87&gt;=500,500,AN87&lt;500,AN87)</f>
        <v>500</v>
      </c>
      <c r="AP87" s="4">
        <v>45502</v>
      </c>
      <c r="AQ87" s="2">
        <f t="shared" si="13"/>
        <v>200</v>
      </c>
      <c r="AR87" s="2">
        <v>200</v>
      </c>
      <c r="AS87" s="4">
        <v>45533</v>
      </c>
      <c r="AT87" s="2">
        <f t="shared" si="14"/>
        <v>0</v>
      </c>
      <c r="AU87" s="2" t="s">
        <v>1200</v>
      </c>
      <c r="AV87" s="4" t="s">
        <v>1200</v>
      </c>
      <c r="AW87" s="2" t="s">
        <v>1200</v>
      </c>
      <c r="AX87" s="2">
        <f t="shared" si="15"/>
        <v>2200</v>
      </c>
      <c r="AY87" s="2">
        <f t="shared" si="16"/>
        <v>0</v>
      </c>
      <c r="AZ87" s="2" t="str">
        <f t="shared" si="17"/>
        <v>Paid</v>
      </c>
      <c r="BA87" s="9" t="str" cm="1">
        <f t="array" ref="BA87">_xlfn.IFS(AZ87="Paid","R",AZ87="Unpaid","Q")</f>
        <v>R</v>
      </c>
      <c r="BB87" s="8" t="s">
        <v>2815</v>
      </c>
    </row>
    <row r="88" spans="1:54" x14ac:dyDescent="0.25">
      <c r="A88" s="2">
        <v>87</v>
      </c>
      <c r="B88" s="2">
        <v>87</v>
      </c>
      <c r="C88" s="2" t="s">
        <v>196</v>
      </c>
      <c r="D88" s="2" t="s">
        <v>1747</v>
      </c>
      <c r="E88" s="2" t="s">
        <v>197</v>
      </c>
      <c r="F88" s="4">
        <v>45401</v>
      </c>
      <c r="G88" s="8" t="s">
        <v>26</v>
      </c>
      <c r="H88" s="8" t="s">
        <v>1243</v>
      </c>
      <c r="I88" s="2" t="s">
        <v>9</v>
      </c>
      <c r="J88" s="2" t="s">
        <v>10</v>
      </c>
      <c r="K88" s="2" t="s">
        <v>787</v>
      </c>
      <c r="L88" s="2" t="s">
        <v>1256</v>
      </c>
      <c r="M88" s="2" t="s">
        <v>1263</v>
      </c>
      <c r="N88" s="2" t="s">
        <v>2102</v>
      </c>
      <c r="O88" s="4">
        <v>37208</v>
      </c>
      <c r="P88" s="2" t="s">
        <v>2519</v>
      </c>
      <c r="Q88" s="2" t="s">
        <v>2520</v>
      </c>
      <c r="R88" s="2" t="s">
        <v>2393</v>
      </c>
      <c r="S88" s="2" t="s">
        <v>788</v>
      </c>
      <c r="T88" s="2" t="s">
        <v>1374</v>
      </c>
      <c r="U88" s="2" t="s">
        <v>1284</v>
      </c>
      <c r="V88" s="2">
        <v>8478105040</v>
      </c>
      <c r="W88" s="2" t="s">
        <v>890</v>
      </c>
      <c r="X88" s="2" t="s">
        <v>1183</v>
      </c>
      <c r="Y88" s="2" t="s">
        <v>1184</v>
      </c>
      <c r="Z88" s="2" t="s">
        <v>1185</v>
      </c>
      <c r="AA88" s="2">
        <v>15000</v>
      </c>
      <c r="AB88" s="2">
        <v>200</v>
      </c>
      <c r="AC88" s="2">
        <v>1200</v>
      </c>
      <c r="AD88" s="2">
        <v>200</v>
      </c>
      <c r="AE88" s="2">
        <f t="shared" si="9"/>
        <v>16200</v>
      </c>
      <c r="AF88" s="2">
        <v>5000</v>
      </c>
      <c r="AG88" s="4">
        <v>45411</v>
      </c>
      <c r="AH88" s="2">
        <f t="shared" si="10"/>
        <v>11200</v>
      </c>
      <c r="AI88" s="2">
        <v>3000</v>
      </c>
      <c r="AJ88" s="4">
        <v>45441</v>
      </c>
      <c r="AK88" s="2">
        <f t="shared" si="11"/>
        <v>8200</v>
      </c>
      <c r="AL88" s="2">
        <v>3000</v>
      </c>
      <c r="AM88" s="4">
        <v>45472</v>
      </c>
      <c r="AN88" s="2">
        <f t="shared" si="12"/>
        <v>5200</v>
      </c>
      <c r="AO88" s="2" cm="1">
        <f t="array" ref="AO88">_xlfn.IFS(AN88&gt;=5000,3000,AN88&gt;=2000,1000,AN88&gt;=500,500,AN88&lt;500,AN88)</f>
        <v>3000</v>
      </c>
      <c r="AP88" s="4">
        <v>45502</v>
      </c>
      <c r="AQ88" s="2">
        <f t="shared" si="13"/>
        <v>2200</v>
      </c>
      <c r="AR88" s="2">
        <v>2000</v>
      </c>
      <c r="AS88" s="4">
        <v>45533</v>
      </c>
      <c r="AT88" s="2">
        <f t="shared" si="14"/>
        <v>200</v>
      </c>
      <c r="AU88" s="2">
        <v>200</v>
      </c>
      <c r="AV88" s="4">
        <v>45564</v>
      </c>
      <c r="AW88" s="2">
        <v>0</v>
      </c>
      <c r="AX88" s="2">
        <f t="shared" si="15"/>
        <v>16200</v>
      </c>
      <c r="AY88" s="2">
        <f t="shared" si="16"/>
        <v>0</v>
      </c>
      <c r="AZ88" s="2" t="str">
        <f t="shared" si="17"/>
        <v>Paid</v>
      </c>
      <c r="BA88" s="9" t="str" cm="1">
        <f t="array" ref="BA88">_xlfn.IFS(AZ88="Paid","R",AZ88="Unpaid","Q")</f>
        <v>R</v>
      </c>
      <c r="BB88" s="8" t="s">
        <v>2815</v>
      </c>
    </row>
    <row r="89" spans="1:54" x14ac:dyDescent="0.25">
      <c r="A89" s="2">
        <v>88</v>
      </c>
      <c r="B89" s="2">
        <v>88</v>
      </c>
      <c r="C89" s="2" t="s">
        <v>198</v>
      </c>
      <c r="D89" s="2" t="s">
        <v>1748</v>
      </c>
      <c r="E89" s="2" t="s">
        <v>199</v>
      </c>
      <c r="F89" s="4">
        <v>45404</v>
      </c>
      <c r="G89" s="8" t="s">
        <v>38</v>
      </c>
      <c r="H89" s="8" t="s">
        <v>1246</v>
      </c>
      <c r="I89" s="2" t="s">
        <v>9</v>
      </c>
      <c r="J89" s="2" t="s">
        <v>15</v>
      </c>
      <c r="K89" s="2" t="s">
        <v>795</v>
      </c>
      <c r="L89" s="2" t="s">
        <v>1256</v>
      </c>
      <c r="M89" s="2" t="s">
        <v>1263</v>
      </c>
      <c r="N89" s="2" t="s">
        <v>2103</v>
      </c>
      <c r="O89" s="4">
        <v>36755</v>
      </c>
      <c r="P89" s="2" t="s">
        <v>2521</v>
      </c>
      <c r="Q89" s="2" t="s">
        <v>2472</v>
      </c>
      <c r="R89" s="2" t="s">
        <v>2393</v>
      </c>
      <c r="S89" s="2" t="s">
        <v>820</v>
      </c>
      <c r="T89" s="2" t="s">
        <v>1375</v>
      </c>
      <c r="U89" s="2" t="s">
        <v>1269</v>
      </c>
      <c r="V89" s="2">
        <v>7288835242</v>
      </c>
      <c r="W89" s="2" t="s">
        <v>891</v>
      </c>
      <c r="X89" s="2" t="s">
        <v>813</v>
      </c>
      <c r="Y89" s="2" t="s">
        <v>1184</v>
      </c>
      <c r="Z89" s="2" t="s">
        <v>1185</v>
      </c>
      <c r="AA89" s="2">
        <v>6000</v>
      </c>
      <c r="AB89" s="2">
        <v>200</v>
      </c>
      <c r="AC89" s="2">
        <v>800</v>
      </c>
      <c r="AD89" s="2">
        <v>200</v>
      </c>
      <c r="AE89" s="2">
        <f t="shared" si="9"/>
        <v>6800</v>
      </c>
      <c r="AF89" s="2">
        <v>2500</v>
      </c>
      <c r="AG89" s="4">
        <v>45414</v>
      </c>
      <c r="AH89" s="2">
        <f t="shared" si="10"/>
        <v>4300</v>
      </c>
      <c r="AI89" s="2">
        <v>1000</v>
      </c>
      <c r="AJ89" s="4">
        <v>45445</v>
      </c>
      <c r="AK89" s="2">
        <f t="shared" si="11"/>
        <v>3300</v>
      </c>
      <c r="AL89" s="2">
        <v>1000</v>
      </c>
      <c r="AM89" s="4">
        <v>45475</v>
      </c>
      <c r="AN89" s="2">
        <f t="shared" si="12"/>
        <v>2300</v>
      </c>
      <c r="AO89" s="2" cm="1">
        <f t="array" ref="AO89">_xlfn.IFS(AN89&gt;=5000,3000,AN89&gt;=2000,1000,AN89&gt;=500,500,AN89&lt;500,AN89)</f>
        <v>1000</v>
      </c>
      <c r="AP89" s="4">
        <v>45506</v>
      </c>
      <c r="AQ89" s="2">
        <f t="shared" si="13"/>
        <v>1300</v>
      </c>
      <c r="AR89" s="2">
        <v>1000</v>
      </c>
      <c r="AS89" s="4">
        <v>45537</v>
      </c>
      <c r="AT89" s="2">
        <f t="shared" si="14"/>
        <v>300</v>
      </c>
      <c r="AU89" s="2">
        <v>300</v>
      </c>
      <c r="AV89" s="4">
        <v>45567</v>
      </c>
      <c r="AW89" s="2">
        <v>0</v>
      </c>
      <c r="AX89" s="2">
        <f t="shared" si="15"/>
        <v>6800</v>
      </c>
      <c r="AY89" s="2">
        <f t="shared" si="16"/>
        <v>0</v>
      </c>
      <c r="AZ89" s="2" t="str">
        <f t="shared" si="17"/>
        <v>Paid</v>
      </c>
      <c r="BA89" s="9" t="str" cm="1">
        <f t="array" ref="BA89">_xlfn.IFS(AZ89="Paid","R",AZ89="Unpaid","Q")</f>
        <v>R</v>
      </c>
      <c r="BB89" s="8" t="s">
        <v>2815</v>
      </c>
    </row>
    <row r="90" spans="1:54" x14ac:dyDescent="0.25">
      <c r="A90" s="2">
        <v>89</v>
      </c>
      <c r="B90" s="2">
        <v>89</v>
      </c>
      <c r="C90" s="2" t="s">
        <v>200</v>
      </c>
      <c r="D90" s="2" t="s">
        <v>1749</v>
      </c>
      <c r="E90" s="2" t="s">
        <v>201</v>
      </c>
      <c r="F90" s="4">
        <v>45404</v>
      </c>
      <c r="G90" s="8" t="s">
        <v>13</v>
      </c>
      <c r="H90" s="8" t="s">
        <v>1254</v>
      </c>
      <c r="I90" s="2" t="s">
        <v>14</v>
      </c>
      <c r="J90" s="2" t="s">
        <v>15</v>
      </c>
      <c r="K90" s="2" t="s">
        <v>791</v>
      </c>
      <c r="L90" s="2" t="s">
        <v>1260</v>
      </c>
      <c r="M90" s="2" t="s">
        <v>1261</v>
      </c>
      <c r="N90" s="2" t="s">
        <v>2104</v>
      </c>
      <c r="O90" s="4">
        <v>39510</v>
      </c>
      <c r="P90" s="2" t="s">
        <v>2522</v>
      </c>
      <c r="Q90" s="2" t="s">
        <v>2523</v>
      </c>
      <c r="R90" s="2" t="s">
        <v>2393</v>
      </c>
      <c r="S90" s="2" t="s">
        <v>820</v>
      </c>
      <c r="T90" s="2" t="s">
        <v>1376</v>
      </c>
      <c r="U90" s="2" t="s">
        <v>1282</v>
      </c>
      <c r="V90" s="2">
        <v>7473265678</v>
      </c>
      <c r="W90" s="2" t="s">
        <v>892</v>
      </c>
      <c r="X90" s="2" t="s">
        <v>811</v>
      </c>
      <c r="Y90" s="2" t="s">
        <v>1184</v>
      </c>
      <c r="Z90" s="2" t="s">
        <v>1185</v>
      </c>
      <c r="AA90" s="2">
        <v>3000</v>
      </c>
      <c r="AB90" s="2">
        <v>200</v>
      </c>
      <c r="AC90" s="2">
        <v>500</v>
      </c>
      <c r="AD90" s="2">
        <v>200</v>
      </c>
      <c r="AE90" s="2">
        <f t="shared" si="9"/>
        <v>3500</v>
      </c>
      <c r="AF90" s="2">
        <v>1000</v>
      </c>
      <c r="AG90" s="4">
        <v>45414</v>
      </c>
      <c r="AH90" s="2">
        <f t="shared" si="10"/>
        <v>2500</v>
      </c>
      <c r="AI90" s="2">
        <v>1000</v>
      </c>
      <c r="AJ90" s="4">
        <v>45445</v>
      </c>
      <c r="AK90" s="2">
        <f t="shared" si="11"/>
        <v>1500</v>
      </c>
      <c r="AL90" s="2">
        <v>500</v>
      </c>
      <c r="AM90" s="4">
        <v>45475</v>
      </c>
      <c r="AN90" s="2">
        <f t="shared" si="12"/>
        <v>1000</v>
      </c>
      <c r="AO90" s="2" cm="1">
        <f t="array" ref="AO90">_xlfn.IFS(AN90&gt;=5000,3000,AN90&gt;=2000,1000,AN90&gt;=500,500,AN90&lt;500,AN90)</f>
        <v>500</v>
      </c>
      <c r="AP90" s="4">
        <v>45506</v>
      </c>
      <c r="AQ90" s="2">
        <f t="shared" si="13"/>
        <v>500</v>
      </c>
      <c r="AR90" s="2">
        <v>500</v>
      </c>
      <c r="AS90" s="4">
        <v>45537</v>
      </c>
      <c r="AT90" s="2">
        <f t="shared" si="14"/>
        <v>0</v>
      </c>
      <c r="AU90" s="2" t="s">
        <v>1200</v>
      </c>
      <c r="AV90" s="4" t="s">
        <v>1200</v>
      </c>
      <c r="AW90" s="2" t="s">
        <v>1200</v>
      </c>
      <c r="AX90" s="2">
        <f t="shared" si="15"/>
        <v>3500</v>
      </c>
      <c r="AY90" s="2">
        <f t="shared" si="16"/>
        <v>0</v>
      </c>
      <c r="AZ90" s="2" t="str">
        <f t="shared" si="17"/>
        <v>Paid</v>
      </c>
      <c r="BA90" s="9" t="str" cm="1">
        <f t="array" ref="BA90">_xlfn.IFS(AZ90="Paid","R",AZ90="Unpaid","Q")</f>
        <v>R</v>
      </c>
      <c r="BB90" s="8" t="s">
        <v>2815</v>
      </c>
    </row>
    <row r="91" spans="1:54" x14ac:dyDescent="0.25">
      <c r="A91" s="2">
        <v>90</v>
      </c>
      <c r="B91" s="2">
        <v>90</v>
      </c>
      <c r="C91" s="2" t="s">
        <v>202</v>
      </c>
      <c r="D91" s="2" t="s">
        <v>1750</v>
      </c>
      <c r="E91" s="2" t="s">
        <v>203</v>
      </c>
      <c r="F91" s="4">
        <v>45405</v>
      </c>
      <c r="G91" s="8" t="s">
        <v>29</v>
      </c>
      <c r="H91" s="8" t="s">
        <v>1248</v>
      </c>
      <c r="I91" s="2" t="s">
        <v>14</v>
      </c>
      <c r="J91" s="2" t="s">
        <v>15</v>
      </c>
      <c r="K91" s="2" t="s">
        <v>791</v>
      </c>
      <c r="L91" s="2" t="s">
        <v>1258</v>
      </c>
      <c r="M91" s="2" t="s">
        <v>1264</v>
      </c>
      <c r="N91" s="2" t="s">
        <v>2105</v>
      </c>
      <c r="O91" s="4">
        <v>40080</v>
      </c>
      <c r="P91" s="2" t="s">
        <v>2519</v>
      </c>
      <c r="Q91" s="2" t="s">
        <v>2441</v>
      </c>
      <c r="R91" s="2" t="s">
        <v>2393</v>
      </c>
      <c r="S91" s="2" t="s">
        <v>788</v>
      </c>
      <c r="T91" s="2" t="s">
        <v>1377</v>
      </c>
      <c r="U91" s="2" t="s">
        <v>1269</v>
      </c>
      <c r="V91" s="2">
        <v>8203017383</v>
      </c>
      <c r="W91" s="2" t="s">
        <v>893</v>
      </c>
      <c r="X91" s="2" t="s">
        <v>837</v>
      </c>
      <c r="Y91" s="2" t="s">
        <v>1184</v>
      </c>
      <c r="Z91" s="2" t="s">
        <v>1185</v>
      </c>
      <c r="AA91" s="2">
        <v>2500</v>
      </c>
      <c r="AB91" s="2">
        <v>200</v>
      </c>
      <c r="AC91" s="2">
        <v>400</v>
      </c>
      <c r="AD91" s="2">
        <v>300</v>
      </c>
      <c r="AE91" s="2">
        <f t="shared" si="9"/>
        <v>2800</v>
      </c>
      <c r="AF91" s="2">
        <v>1000</v>
      </c>
      <c r="AG91" s="4">
        <v>45415</v>
      </c>
      <c r="AH91" s="2">
        <f t="shared" si="10"/>
        <v>1800</v>
      </c>
      <c r="AI91" s="2">
        <v>500</v>
      </c>
      <c r="AJ91" s="4">
        <v>45446</v>
      </c>
      <c r="AK91" s="2">
        <f t="shared" si="11"/>
        <v>1300</v>
      </c>
      <c r="AL91" s="2">
        <v>500</v>
      </c>
      <c r="AM91" s="4">
        <v>45476</v>
      </c>
      <c r="AN91" s="2">
        <f t="shared" si="12"/>
        <v>800</v>
      </c>
      <c r="AO91" s="2" cm="1">
        <f t="array" ref="AO91">_xlfn.IFS(AN91&gt;=5000,3000,AN91&gt;=2000,1000,AN91&gt;=500,500,AN91&lt;500,AN91)</f>
        <v>500</v>
      </c>
      <c r="AP91" s="4">
        <v>45507</v>
      </c>
      <c r="AQ91" s="2">
        <f t="shared" si="13"/>
        <v>300</v>
      </c>
      <c r="AR91" s="2">
        <v>300</v>
      </c>
      <c r="AS91" s="4">
        <v>45538</v>
      </c>
      <c r="AT91" s="2">
        <f t="shared" si="14"/>
        <v>0</v>
      </c>
      <c r="AU91" s="2" t="s">
        <v>1200</v>
      </c>
      <c r="AV91" s="4" t="s">
        <v>1200</v>
      </c>
      <c r="AW91" s="2" t="s">
        <v>1200</v>
      </c>
      <c r="AX91" s="2">
        <f t="shared" si="15"/>
        <v>2800</v>
      </c>
      <c r="AY91" s="2">
        <f t="shared" si="16"/>
        <v>0</v>
      </c>
      <c r="AZ91" s="2" t="str">
        <f t="shared" si="17"/>
        <v>Paid</v>
      </c>
      <c r="BA91" s="9" t="str" cm="1">
        <f t="array" ref="BA91">_xlfn.IFS(AZ91="Paid","R",AZ91="Unpaid","Q")</f>
        <v>R</v>
      </c>
      <c r="BB91" s="8" t="s">
        <v>2815</v>
      </c>
    </row>
    <row r="92" spans="1:54" x14ac:dyDescent="0.25">
      <c r="A92" s="2">
        <v>91</v>
      </c>
      <c r="B92" s="2">
        <v>91</v>
      </c>
      <c r="C92" s="2" t="s">
        <v>204</v>
      </c>
      <c r="D92" s="2" t="s">
        <v>1751</v>
      </c>
      <c r="E92" s="2" t="s">
        <v>205</v>
      </c>
      <c r="F92" s="4">
        <v>45407</v>
      </c>
      <c r="G92" s="8" t="s">
        <v>48</v>
      </c>
      <c r="H92" s="8" t="s">
        <v>1251</v>
      </c>
      <c r="I92" s="2" t="s">
        <v>14</v>
      </c>
      <c r="J92" s="2" t="s">
        <v>15</v>
      </c>
      <c r="K92" s="2" t="s">
        <v>791</v>
      </c>
      <c r="L92" s="2" t="s">
        <v>1260</v>
      </c>
      <c r="M92" s="2" t="s">
        <v>1261</v>
      </c>
      <c r="N92" s="2" t="s">
        <v>2106</v>
      </c>
      <c r="O92" s="4">
        <v>35758</v>
      </c>
      <c r="P92" s="2" t="s">
        <v>2524</v>
      </c>
      <c r="Q92" s="2" t="s">
        <v>2434</v>
      </c>
      <c r="R92" s="2" t="s">
        <v>2393</v>
      </c>
      <c r="S92" s="2" t="s">
        <v>820</v>
      </c>
      <c r="T92" s="2" t="s">
        <v>1378</v>
      </c>
      <c r="U92" s="2" t="s">
        <v>1267</v>
      </c>
      <c r="V92" s="2">
        <v>9782464692</v>
      </c>
      <c r="W92" s="2" t="s">
        <v>894</v>
      </c>
      <c r="X92" s="2" t="s">
        <v>1183</v>
      </c>
      <c r="Y92" s="2" t="s">
        <v>1184</v>
      </c>
      <c r="Z92" s="2" t="s">
        <v>1185</v>
      </c>
      <c r="AA92" s="2">
        <v>3000</v>
      </c>
      <c r="AB92" s="2">
        <v>200</v>
      </c>
      <c r="AC92" s="2">
        <v>500</v>
      </c>
      <c r="AD92" s="2">
        <v>300</v>
      </c>
      <c r="AE92" s="2">
        <f t="shared" si="9"/>
        <v>3400</v>
      </c>
      <c r="AF92" s="2">
        <v>1000</v>
      </c>
      <c r="AG92" s="4">
        <v>45417</v>
      </c>
      <c r="AH92" s="2">
        <f t="shared" si="10"/>
        <v>2400</v>
      </c>
      <c r="AI92" s="2">
        <v>1000</v>
      </c>
      <c r="AJ92" s="4">
        <v>45448</v>
      </c>
      <c r="AK92" s="2">
        <f t="shared" si="11"/>
        <v>1400</v>
      </c>
      <c r="AL92" s="2">
        <v>500</v>
      </c>
      <c r="AM92" s="4">
        <v>45478</v>
      </c>
      <c r="AN92" s="2">
        <f t="shared" si="12"/>
        <v>900</v>
      </c>
      <c r="AO92" s="2" cm="1">
        <f t="array" ref="AO92">_xlfn.IFS(AN92&gt;=5000,3000,AN92&gt;=2000,1000,AN92&gt;=500,500,AN92&lt;500,AN92)</f>
        <v>500</v>
      </c>
      <c r="AP92" s="4">
        <v>45509</v>
      </c>
      <c r="AQ92" s="2">
        <f t="shared" si="13"/>
        <v>400</v>
      </c>
      <c r="AR92" s="2">
        <v>400</v>
      </c>
      <c r="AS92" s="4">
        <v>45540</v>
      </c>
      <c r="AT92" s="2">
        <f t="shared" si="14"/>
        <v>0</v>
      </c>
      <c r="AU92" s="2" t="s">
        <v>1200</v>
      </c>
      <c r="AV92" s="4" t="s">
        <v>1200</v>
      </c>
      <c r="AW92" s="2" t="s">
        <v>1200</v>
      </c>
      <c r="AX92" s="2">
        <f t="shared" si="15"/>
        <v>3400</v>
      </c>
      <c r="AY92" s="2">
        <f t="shared" si="16"/>
        <v>0</v>
      </c>
      <c r="AZ92" s="2" t="str">
        <f t="shared" si="17"/>
        <v>Paid</v>
      </c>
      <c r="BA92" s="9" t="str" cm="1">
        <f t="array" ref="BA92">_xlfn.IFS(AZ92="Paid","R",AZ92="Unpaid","Q")</f>
        <v>R</v>
      </c>
      <c r="BB92" s="8" t="s">
        <v>2815</v>
      </c>
    </row>
    <row r="93" spans="1:54" x14ac:dyDescent="0.25">
      <c r="A93" s="2">
        <v>92</v>
      </c>
      <c r="B93" s="2">
        <v>92</v>
      </c>
      <c r="C93" s="2" t="s">
        <v>206</v>
      </c>
      <c r="D93" s="2" t="s">
        <v>1752</v>
      </c>
      <c r="E93" s="2" t="s">
        <v>207</v>
      </c>
      <c r="F93" s="4">
        <v>45408</v>
      </c>
      <c r="G93" s="8" t="s">
        <v>45</v>
      </c>
      <c r="H93" s="8" t="s">
        <v>1250</v>
      </c>
      <c r="I93" s="2" t="s">
        <v>14</v>
      </c>
      <c r="J93" s="2" t="s">
        <v>15</v>
      </c>
      <c r="K93" s="2" t="s">
        <v>791</v>
      </c>
      <c r="L93" s="2" t="s">
        <v>1259</v>
      </c>
      <c r="M93" s="2" t="s">
        <v>1262</v>
      </c>
      <c r="N93" s="2" t="s">
        <v>2107</v>
      </c>
      <c r="O93" s="4">
        <v>34357</v>
      </c>
      <c r="P93" s="2" t="s">
        <v>2525</v>
      </c>
      <c r="Q93" s="2" t="s">
        <v>2416</v>
      </c>
      <c r="R93" s="2" t="s">
        <v>2393</v>
      </c>
      <c r="S93" s="2" t="s">
        <v>820</v>
      </c>
      <c r="T93" s="2" t="s">
        <v>1379</v>
      </c>
      <c r="U93" s="2" t="s">
        <v>1270</v>
      </c>
      <c r="V93" s="2">
        <v>9009952260</v>
      </c>
      <c r="W93" s="2" t="s">
        <v>895</v>
      </c>
      <c r="X93" s="2" t="s">
        <v>798</v>
      </c>
      <c r="Y93" s="2" t="s">
        <v>1184</v>
      </c>
      <c r="Z93" s="2" t="s">
        <v>1185</v>
      </c>
      <c r="AA93" s="2">
        <v>2000</v>
      </c>
      <c r="AB93" s="2">
        <v>200</v>
      </c>
      <c r="AC93" s="2">
        <v>300</v>
      </c>
      <c r="AD93" s="2">
        <v>500</v>
      </c>
      <c r="AE93" s="2">
        <f t="shared" si="9"/>
        <v>2000</v>
      </c>
      <c r="AF93" s="2">
        <v>500</v>
      </c>
      <c r="AG93" s="4">
        <v>45418</v>
      </c>
      <c r="AH93" s="2">
        <f t="shared" si="10"/>
        <v>1500</v>
      </c>
      <c r="AI93" s="2">
        <v>500</v>
      </c>
      <c r="AJ93" s="4">
        <v>45449</v>
      </c>
      <c r="AK93" s="2">
        <f t="shared" si="11"/>
        <v>1000</v>
      </c>
      <c r="AL93" s="2">
        <v>500</v>
      </c>
      <c r="AM93" s="4">
        <v>45479</v>
      </c>
      <c r="AN93" s="2">
        <f t="shared" si="12"/>
        <v>500</v>
      </c>
      <c r="AO93" s="2" cm="1">
        <f t="array" ref="AO93">_xlfn.IFS(AN93&gt;=5000,3000,AN93&gt;=2000,1000,AN93&gt;=500,500,AN93&lt;500,AN93)</f>
        <v>500</v>
      </c>
      <c r="AP93" s="4">
        <v>45510</v>
      </c>
      <c r="AQ93" s="2">
        <f t="shared" si="13"/>
        <v>0</v>
      </c>
      <c r="AR93" s="2" t="s">
        <v>1200</v>
      </c>
      <c r="AS93" s="4" t="s">
        <v>1200</v>
      </c>
      <c r="AT93" s="2" t="str">
        <f t="shared" si="14"/>
        <v/>
      </c>
      <c r="AU93" s="2" t="s">
        <v>1200</v>
      </c>
      <c r="AV93" s="4" t="s">
        <v>1200</v>
      </c>
      <c r="AW93" s="2" t="s">
        <v>1200</v>
      </c>
      <c r="AX93" s="2">
        <f t="shared" si="15"/>
        <v>2000</v>
      </c>
      <c r="AY93" s="2">
        <f t="shared" si="16"/>
        <v>0</v>
      </c>
      <c r="AZ93" s="2" t="str">
        <f t="shared" si="17"/>
        <v>Paid</v>
      </c>
      <c r="BA93" s="9" t="str" cm="1">
        <f t="array" ref="BA93">_xlfn.IFS(AZ93="Paid","R",AZ93="Unpaid","Q")</f>
        <v>R</v>
      </c>
      <c r="BB93" s="8" t="s">
        <v>2815</v>
      </c>
    </row>
    <row r="94" spans="1:54" x14ac:dyDescent="0.25">
      <c r="A94" s="2">
        <v>93</v>
      </c>
      <c r="B94" s="2">
        <v>93</v>
      </c>
      <c r="C94" s="2" t="s">
        <v>208</v>
      </c>
      <c r="D94" s="2" t="s">
        <v>1753</v>
      </c>
      <c r="E94" s="2" t="s">
        <v>209</v>
      </c>
      <c r="F94" s="4">
        <v>45409</v>
      </c>
      <c r="G94" s="8" t="s">
        <v>38</v>
      </c>
      <c r="H94" s="8" t="s">
        <v>1246</v>
      </c>
      <c r="I94" s="2" t="s">
        <v>9</v>
      </c>
      <c r="J94" s="2" t="s">
        <v>15</v>
      </c>
      <c r="K94" s="2" t="s">
        <v>795</v>
      </c>
      <c r="L94" s="2" t="s">
        <v>1256</v>
      </c>
      <c r="M94" s="2" t="s">
        <v>1263</v>
      </c>
      <c r="N94" s="2" t="s">
        <v>2108</v>
      </c>
      <c r="O94" s="4">
        <v>37340</v>
      </c>
      <c r="P94" s="2" t="s">
        <v>2526</v>
      </c>
      <c r="Q94" s="2" t="s">
        <v>2527</v>
      </c>
      <c r="R94" s="2" t="s">
        <v>2393</v>
      </c>
      <c r="S94" s="2" t="s">
        <v>788</v>
      </c>
      <c r="T94" s="2" t="s">
        <v>1380</v>
      </c>
      <c r="U94" s="2" t="s">
        <v>1268</v>
      </c>
      <c r="V94" s="2">
        <v>9229976418</v>
      </c>
      <c r="W94" s="2" t="s">
        <v>896</v>
      </c>
      <c r="X94" s="2" t="s">
        <v>1183</v>
      </c>
      <c r="Y94" s="2" t="s">
        <v>1184</v>
      </c>
      <c r="Z94" s="2" t="s">
        <v>1185</v>
      </c>
      <c r="AA94" s="2">
        <v>6000</v>
      </c>
      <c r="AB94" s="2">
        <v>200</v>
      </c>
      <c r="AC94" s="2">
        <v>800</v>
      </c>
      <c r="AD94" s="2">
        <v>0</v>
      </c>
      <c r="AE94" s="2">
        <f t="shared" si="9"/>
        <v>7000</v>
      </c>
      <c r="AF94" s="2">
        <v>2500</v>
      </c>
      <c r="AG94" s="4">
        <v>45419</v>
      </c>
      <c r="AH94" s="2">
        <f t="shared" si="10"/>
        <v>4500</v>
      </c>
      <c r="AI94" s="2">
        <v>1000</v>
      </c>
      <c r="AJ94" s="4">
        <v>45450</v>
      </c>
      <c r="AK94" s="2">
        <f t="shared" si="11"/>
        <v>3500</v>
      </c>
      <c r="AL94" s="2">
        <v>1000</v>
      </c>
      <c r="AM94" s="4">
        <v>45480</v>
      </c>
      <c r="AN94" s="2">
        <f t="shared" si="12"/>
        <v>2500</v>
      </c>
      <c r="AO94" s="2" cm="1">
        <f t="array" ref="AO94">_xlfn.IFS(AN94&gt;=5000,3000,AN94&gt;=2000,1000,AN94&gt;=500,500,AN94&lt;500,AN94)</f>
        <v>1000</v>
      </c>
      <c r="AP94" s="4">
        <v>45511</v>
      </c>
      <c r="AQ94" s="2">
        <f t="shared" si="13"/>
        <v>1500</v>
      </c>
      <c r="AR94" s="2">
        <v>1000</v>
      </c>
      <c r="AS94" s="4">
        <v>45542</v>
      </c>
      <c r="AT94" s="2">
        <f t="shared" si="14"/>
        <v>500</v>
      </c>
      <c r="AU94" s="2">
        <v>500</v>
      </c>
      <c r="AV94" s="4">
        <v>45572</v>
      </c>
      <c r="AW94" s="2">
        <v>0</v>
      </c>
      <c r="AX94" s="2">
        <f t="shared" si="15"/>
        <v>7000</v>
      </c>
      <c r="AY94" s="2">
        <f t="shared" si="16"/>
        <v>0</v>
      </c>
      <c r="AZ94" s="2" t="str">
        <f t="shared" si="17"/>
        <v>Paid</v>
      </c>
      <c r="BA94" s="9" t="str" cm="1">
        <f t="array" ref="BA94">_xlfn.IFS(AZ94="Paid","R",AZ94="Unpaid","Q")</f>
        <v>R</v>
      </c>
      <c r="BB94" s="8" t="s">
        <v>2815</v>
      </c>
    </row>
    <row r="95" spans="1:54" x14ac:dyDescent="0.25">
      <c r="A95" s="2">
        <v>94</v>
      </c>
      <c r="B95" s="2">
        <v>94</v>
      </c>
      <c r="C95" s="2" t="s">
        <v>210</v>
      </c>
      <c r="D95" s="2" t="s">
        <v>1754</v>
      </c>
      <c r="E95" s="2" t="s">
        <v>211</v>
      </c>
      <c r="F95" s="4">
        <v>45409</v>
      </c>
      <c r="G95" s="8" t="s">
        <v>95</v>
      </c>
      <c r="H95" s="8" t="s">
        <v>1245</v>
      </c>
      <c r="I95" s="2" t="s">
        <v>14</v>
      </c>
      <c r="J95" s="2" t="s">
        <v>15</v>
      </c>
      <c r="K95" s="2" t="s">
        <v>791</v>
      </c>
      <c r="L95" s="2" t="s">
        <v>1259</v>
      </c>
      <c r="M95" s="2" t="s">
        <v>1262</v>
      </c>
      <c r="N95" s="2" t="s">
        <v>2109</v>
      </c>
      <c r="O95" s="4">
        <v>34933</v>
      </c>
      <c r="P95" s="2" t="s">
        <v>2528</v>
      </c>
      <c r="Q95" s="2" t="s">
        <v>2529</v>
      </c>
      <c r="R95" s="2" t="s">
        <v>2393</v>
      </c>
      <c r="S95" s="2" t="s">
        <v>788</v>
      </c>
      <c r="T95" s="2" t="s">
        <v>1381</v>
      </c>
      <c r="U95" s="2" t="s">
        <v>1277</v>
      </c>
      <c r="V95" s="2">
        <v>7660847226</v>
      </c>
      <c r="W95" s="2" t="s">
        <v>897</v>
      </c>
      <c r="X95" s="2" t="s">
        <v>809</v>
      </c>
      <c r="Y95" s="2" t="s">
        <v>1184</v>
      </c>
      <c r="Z95" s="2" t="s">
        <v>1185</v>
      </c>
      <c r="AA95" s="2">
        <v>3500</v>
      </c>
      <c r="AB95" s="2">
        <v>200</v>
      </c>
      <c r="AC95" s="2">
        <v>500</v>
      </c>
      <c r="AD95" s="2">
        <v>0</v>
      </c>
      <c r="AE95" s="2">
        <f t="shared" si="9"/>
        <v>4200</v>
      </c>
      <c r="AF95" s="2">
        <v>1000</v>
      </c>
      <c r="AG95" s="4">
        <v>45419</v>
      </c>
      <c r="AH95" s="2">
        <f t="shared" si="10"/>
        <v>3200</v>
      </c>
      <c r="AI95" s="2">
        <v>1000</v>
      </c>
      <c r="AJ95" s="4">
        <v>45450</v>
      </c>
      <c r="AK95" s="2">
        <f t="shared" si="11"/>
        <v>2200</v>
      </c>
      <c r="AL95" s="2">
        <v>1000</v>
      </c>
      <c r="AM95" s="4">
        <v>45480</v>
      </c>
      <c r="AN95" s="2">
        <f t="shared" si="12"/>
        <v>1200</v>
      </c>
      <c r="AO95" s="2" cm="1">
        <f t="array" ref="AO95">_xlfn.IFS(AN95&gt;=5000,3000,AN95&gt;=2000,1000,AN95&gt;=500,500,AN95&lt;500,AN95)</f>
        <v>500</v>
      </c>
      <c r="AP95" s="4">
        <v>45511</v>
      </c>
      <c r="AQ95" s="2">
        <f t="shared" si="13"/>
        <v>700</v>
      </c>
      <c r="AR95" s="2">
        <v>500</v>
      </c>
      <c r="AS95" s="4">
        <v>45542</v>
      </c>
      <c r="AT95" s="2">
        <f t="shared" si="14"/>
        <v>200</v>
      </c>
      <c r="AU95" s="2">
        <v>200</v>
      </c>
      <c r="AV95" s="4">
        <v>45572</v>
      </c>
      <c r="AW95" s="2">
        <v>0</v>
      </c>
      <c r="AX95" s="2">
        <f t="shared" si="15"/>
        <v>4200</v>
      </c>
      <c r="AY95" s="2">
        <f t="shared" si="16"/>
        <v>0</v>
      </c>
      <c r="AZ95" s="2" t="str">
        <f t="shared" si="17"/>
        <v>Paid</v>
      </c>
      <c r="BA95" s="9" t="str" cm="1">
        <f t="array" ref="BA95">_xlfn.IFS(AZ95="Paid","R",AZ95="Unpaid","Q")</f>
        <v>R</v>
      </c>
      <c r="BB95" s="8" t="s">
        <v>2815</v>
      </c>
    </row>
    <row r="96" spans="1:54" x14ac:dyDescent="0.25">
      <c r="A96" s="2">
        <v>95</v>
      </c>
      <c r="B96" s="2">
        <v>95</v>
      </c>
      <c r="C96" s="2" t="s">
        <v>212</v>
      </c>
      <c r="D96" s="2" t="s">
        <v>1755</v>
      </c>
      <c r="E96" s="2" t="s">
        <v>213</v>
      </c>
      <c r="F96" s="4">
        <v>45409</v>
      </c>
      <c r="G96" s="8" t="s">
        <v>35</v>
      </c>
      <c r="H96" s="8" t="s">
        <v>1244</v>
      </c>
      <c r="I96" s="2" t="s">
        <v>14</v>
      </c>
      <c r="J96" s="2" t="s">
        <v>15</v>
      </c>
      <c r="K96" s="2" t="s">
        <v>791</v>
      </c>
      <c r="L96" s="2" t="s">
        <v>1256</v>
      </c>
      <c r="M96" s="2" t="s">
        <v>1263</v>
      </c>
      <c r="N96" s="2" t="s">
        <v>2110</v>
      </c>
      <c r="O96" s="4">
        <v>37784</v>
      </c>
      <c r="P96" s="2" t="s">
        <v>2530</v>
      </c>
      <c r="Q96" s="2" t="s">
        <v>2485</v>
      </c>
      <c r="R96" s="2" t="s">
        <v>2393</v>
      </c>
      <c r="S96" s="2" t="s">
        <v>788</v>
      </c>
      <c r="T96" s="2" t="s">
        <v>1382</v>
      </c>
      <c r="U96" s="2" t="s">
        <v>1273</v>
      </c>
      <c r="V96" s="2">
        <v>8963557040</v>
      </c>
      <c r="W96" s="2" t="s">
        <v>898</v>
      </c>
      <c r="X96" s="2" t="s">
        <v>1183</v>
      </c>
      <c r="Y96" s="2" t="s">
        <v>1184</v>
      </c>
      <c r="Z96" s="2" t="s">
        <v>1185</v>
      </c>
      <c r="AA96" s="2">
        <v>3000</v>
      </c>
      <c r="AB96" s="2">
        <v>200</v>
      </c>
      <c r="AC96" s="2">
        <v>500</v>
      </c>
      <c r="AD96" s="2">
        <v>0</v>
      </c>
      <c r="AE96" s="2">
        <f t="shared" si="9"/>
        <v>3700</v>
      </c>
      <c r="AF96" s="2">
        <v>1000</v>
      </c>
      <c r="AG96" s="4">
        <v>45419</v>
      </c>
      <c r="AH96" s="2">
        <f t="shared" si="10"/>
        <v>2700</v>
      </c>
      <c r="AI96" s="2">
        <v>1000</v>
      </c>
      <c r="AJ96" s="4">
        <v>45450</v>
      </c>
      <c r="AK96" s="2">
        <f t="shared" si="11"/>
        <v>1700</v>
      </c>
      <c r="AL96" s="2">
        <v>500</v>
      </c>
      <c r="AM96" s="4">
        <v>45480</v>
      </c>
      <c r="AN96" s="2">
        <f t="shared" si="12"/>
        <v>1200</v>
      </c>
      <c r="AO96" s="2" cm="1">
        <f t="array" ref="AO96">_xlfn.IFS(AN96&gt;=5000,3000,AN96&gt;=2000,1000,AN96&gt;=500,500,AN96&lt;500,AN96)</f>
        <v>500</v>
      </c>
      <c r="AP96" s="4">
        <v>45511</v>
      </c>
      <c r="AQ96" s="2">
        <f t="shared" si="13"/>
        <v>700</v>
      </c>
      <c r="AR96" s="2">
        <v>500</v>
      </c>
      <c r="AS96" s="4">
        <v>45542</v>
      </c>
      <c r="AT96" s="2">
        <f t="shared" si="14"/>
        <v>200</v>
      </c>
      <c r="AU96" s="2">
        <v>200</v>
      </c>
      <c r="AV96" s="4">
        <v>45572</v>
      </c>
      <c r="AW96" s="2">
        <v>0</v>
      </c>
      <c r="AX96" s="2">
        <f t="shared" si="15"/>
        <v>3700</v>
      </c>
      <c r="AY96" s="2">
        <f t="shared" si="16"/>
        <v>0</v>
      </c>
      <c r="AZ96" s="2" t="str">
        <f t="shared" si="17"/>
        <v>Paid</v>
      </c>
      <c r="BA96" s="9" t="str" cm="1">
        <f t="array" ref="BA96">_xlfn.IFS(AZ96="Paid","R",AZ96="Unpaid","Q")</f>
        <v>R</v>
      </c>
      <c r="BB96" s="8" t="s">
        <v>2815</v>
      </c>
    </row>
    <row r="97" spans="1:54" x14ac:dyDescent="0.25">
      <c r="A97" s="2">
        <v>96</v>
      </c>
      <c r="B97" s="2">
        <v>96</v>
      </c>
      <c r="C97" s="2" t="s">
        <v>214</v>
      </c>
      <c r="D97" s="2" t="s">
        <v>1756</v>
      </c>
      <c r="E97" s="2" t="s">
        <v>215</v>
      </c>
      <c r="F97" s="4">
        <v>45410</v>
      </c>
      <c r="G97" s="8" t="s">
        <v>45</v>
      </c>
      <c r="H97" s="8" t="s">
        <v>1250</v>
      </c>
      <c r="I97" s="2" t="s">
        <v>14</v>
      </c>
      <c r="J97" s="2" t="s">
        <v>15</v>
      </c>
      <c r="K97" s="2" t="s">
        <v>791</v>
      </c>
      <c r="L97" s="2" t="s">
        <v>1259</v>
      </c>
      <c r="M97" s="2" t="s">
        <v>1262</v>
      </c>
      <c r="N97" s="2" t="s">
        <v>2111</v>
      </c>
      <c r="O97" s="4">
        <v>37486</v>
      </c>
      <c r="P97" s="2" t="s">
        <v>2531</v>
      </c>
      <c r="Q97" s="2" t="s">
        <v>2395</v>
      </c>
      <c r="R97" s="2" t="s">
        <v>2393</v>
      </c>
      <c r="S97" s="2" t="s">
        <v>788</v>
      </c>
      <c r="T97" s="2" t="s">
        <v>1383</v>
      </c>
      <c r="U97" s="2" t="s">
        <v>1267</v>
      </c>
      <c r="V97" s="2">
        <v>8815013685</v>
      </c>
      <c r="W97" s="2" t="s">
        <v>899</v>
      </c>
      <c r="X97" s="2" t="s">
        <v>1183</v>
      </c>
      <c r="Y97" s="2" t="s">
        <v>1184</v>
      </c>
      <c r="Z97" s="2" t="s">
        <v>1185</v>
      </c>
      <c r="AA97" s="2">
        <v>2000</v>
      </c>
      <c r="AB97" s="2">
        <v>200</v>
      </c>
      <c r="AC97" s="2">
        <v>300</v>
      </c>
      <c r="AD97" s="2">
        <v>0</v>
      </c>
      <c r="AE97" s="2">
        <f t="shared" si="9"/>
        <v>2500</v>
      </c>
      <c r="AF97" s="2">
        <v>1000</v>
      </c>
      <c r="AG97" s="4">
        <v>45420</v>
      </c>
      <c r="AH97" s="2">
        <f t="shared" si="10"/>
        <v>1500</v>
      </c>
      <c r="AI97" s="2">
        <v>500</v>
      </c>
      <c r="AJ97" s="4">
        <v>45451</v>
      </c>
      <c r="AK97" s="2">
        <f t="shared" si="11"/>
        <v>1000</v>
      </c>
      <c r="AL97" s="2">
        <v>500</v>
      </c>
      <c r="AM97" s="4">
        <v>45481</v>
      </c>
      <c r="AN97" s="2">
        <f t="shared" si="12"/>
        <v>500</v>
      </c>
      <c r="AO97" s="2" cm="1">
        <f t="array" ref="AO97">_xlfn.IFS(AN97&gt;=5000,3000,AN97&gt;=2000,1000,AN97&gt;=500,500,AN97&lt;500,AN97)</f>
        <v>500</v>
      </c>
      <c r="AP97" s="4">
        <v>45512</v>
      </c>
      <c r="AQ97" s="2">
        <f t="shared" si="13"/>
        <v>0</v>
      </c>
      <c r="AR97" s="2" t="s">
        <v>1200</v>
      </c>
      <c r="AS97" s="4" t="s">
        <v>1200</v>
      </c>
      <c r="AT97" s="2" t="str">
        <f t="shared" si="14"/>
        <v/>
      </c>
      <c r="AU97" s="2" t="s">
        <v>1200</v>
      </c>
      <c r="AV97" s="4" t="s">
        <v>1200</v>
      </c>
      <c r="AW97" s="2" t="s">
        <v>1200</v>
      </c>
      <c r="AX97" s="2">
        <f t="shared" si="15"/>
        <v>2500</v>
      </c>
      <c r="AY97" s="2">
        <f t="shared" si="16"/>
        <v>0</v>
      </c>
      <c r="AZ97" s="2" t="str">
        <f t="shared" si="17"/>
        <v>Paid</v>
      </c>
      <c r="BA97" s="9" t="str" cm="1">
        <f t="array" ref="BA97">_xlfn.IFS(AZ97="Paid","R",AZ97="Unpaid","Q")</f>
        <v>R</v>
      </c>
      <c r="BB97" s="8" t="s">
        <v>2815</v>
      </c>
    </row>
    <row r="98" spans="1:54" x14ac:dyDescent="0.25">
      <c r="A98" s="2">
        <v>97</v>
      </c>
      <c r="B98" s="2">
        <v>97</v>
      </c>
      <c r="C98" s="2" t="s">
        <v>216</v>
      </c>
      <c r="D98" s="2" t="s">
        <v>1757</v>
      </c>
      <c r="E98" s="2" t="s">
        <v>217</v>
      </c>
      <c r="F98" s="4">
        <v>45413</v>
      </c>
      <c r="G98" s="8" t="s">
        <v>38</v>
      </c>
      <c r="H98" s="8" t="s">
        <v>1246</v>
      </c>
      <c r="I98" s="2" t="s">
        <v>9</v>
      </c>
      <c r="J98" s="2" t="s">
        <v>15</v>
      </c>
      <c r="K98" s="2" t="s">
        <v>795</v>
      </c>
      <c r="L98" s="2" t="s">
        <v>1257</v>
      </c>
      <c r="M98" s="2" t="s">
        <v>1261</v>
      </c>
      <c r="N98" s="2" t="s">
        <v>2112</v>
      </c>
      <c r="O98" s="4">
        <v>34930</v>
      </c>
      <c r="P98" s="2" t="s">
        <v>2532</v>
      </c>
      <c r="Q98" s="2" t="s">
        <v>2441</v>
      </c>
      <c r="R98" s="2" t="s">
        <v>2393</v>
      </c>
      <c r="S98" s="2" t="s">
        <v>788</v>
      </c>
      <c r="T98" s="2" t="s">
        <v>1384</v>
      </c>
      <c r="U98" s="2" t="s">
        <v>1284</v>
      </c>
      <c r="V98" s="2">
        <v>9368475769</v>
      </c>
      <c r="W98" s="2" t="s">
        <v>900</v>
      </c>
      <c r="X98" s="2" t="s">
        <v>807</v>
      </c>
      <c r="Y98" s="2" t="s">
        <v>1184</v>
      </c>
      <c r="Z98" s="2" t="s">
        <v>1185</v>
      </c>
      <c r="AA98" s="2">
        <v>6000</v>
      </c>
      <c r="AB98" s="2">
        <v>200</v>
      </c>
      <c r="AC98" s="2">
        <v>800</v>
      </c>
      <c r="AD98" s="2">
        <v>0</v>
      </c>
      <c r="AE98" s="2">
        <f t="shared" si="9"/>
        <v>7000</v>
      </c>
      <c r="AF98" s="2">
        <v>2500</v>
      </c>
      <c r="AG98" s="4">
        <v>45423</v>
      </c>
      <c r="AH98" s="2">
        <f t="shared" si="10"/>
        <v>4500</v>
      </c>
      <c r="AI98" s="2">
        <v>1000</v>
      </c>
      <c r="AJ98" s="4">
        <v>45454</v>
      </c>
      <c r="AK98" s="2">
        <f t="shared" si="11"/>
        <v>3500</v>
      </c>
      <c r="AL98" s="2">
        <v>1000</v>
      </c>
      <c r="AM98" s="4">
        <v>45484</v>
      </c>
      <c r="AN98" s="2">
        <f t="shared" si="12"/>
        <v>2500</v>
      </c>
      <c r="AO98" s="2" cm="1">
        <f t="array" ref="AO98">_xlfn.IFS(AN98&gt;=5000,3000,AN98&gt;=2000,1000,AN98&gt;=500,500,AN98&lt;500,AN98)</f>
        <v>1000</v>
      </c>
      <c r="AP98" s="4">
        <v>45515</v>
      </c>
      <c r="AQ98" s="2">
        <f t="shared" si="13"/>
        <v>1500</v>
      </c>
      <c r="AR98" s="2">
        <v>1000</v>
      </c>
      <c r="AS98" s="4">
        <v>45546</v>
      </c>
      <c r="AT98" s="2">
        <f t="shared" si="14"/>
        <v>500</v>
      </c>
      <c r="AU98" s="2">
        <v>500</v>
      </c>
      <c r="AV98" s="4">
        <v>45576</v>
      </c>
      <c r="AW98" s="2">
        <v>0</v>
      </c>
      <c r="AX98" s="2">
        <f t="shared" si="15"/>
        <v>7000</v>
      </c>
      <c r="AY98" s="2">
        <f t="shared" si="16"/>
        <v>0</v>
      </c>
      <c r="AZ98" s="2" t="str">
        <f t="shared" si="17"/>
        <v>Paid</v>
      </c>
      <c r="BA98" s="9" t="str" cm="1">
        <f t="array" ref="BA98">_xlfn.IFS(AZ98="Paid","R",AZ98="Unpaid","Q")</f>
        <v>R</v>
      </c>
      <c r="BB98" s="8" t="s">
        <v>2815</v>
      </c>
    </row>
    <row r="99" spans="1:54" x14ac:dyDescent="0.25">
      <c r="A99" s="2">
        <v>98</v>
      </c>
      <c r="B99" s="2">
        <v>98</v>
      </c>
      <c r="C99" s="2" t="s">
        <v>218</v>
      </c>
      <c r="D99" s="2" t="s">
        <v>1758</v>
      </c>
      <c r="E99" s="2" t="s">
        <v>219</v>
      </c>
      <c r="F99" s="4">
        <v>45417</v>
      </c>
      <c r="G99" s="8" t="s">
        <v>32</v>
      </c>
      <c r="H99" s="8" t="s">
        <v>1249</v>
      </c>
      <c r="I99" s="2" t="s">
        <v>14</v>
      </c>
      <c r="J99" s="2" t="s">
        <v>15</v>
      </c>
      <c r="K99" s="2" t="s">
        <v>791</v>
      </c>
      <c r="L99" s="2" t="s">
        <v>1260</v>
      </c>
      <c r="M99" s="2" t="s">
        <v>1261</v>
      </c>
      <c r="N99" s="2" t="s">
        <v>2113</v>
      </c>
      <c r="O99" s="4">
        <v>34792</v>
      </c>
      <c r="P99" s="2" t="s">
        <v>2533</v>
      </c>
      <c r="Q99" s="2" t="s">
        <v>2442</v>
      </c>
      <c r="R99" s="2" t="s">
        <v>2393</v>
      </c>
      <c r="S99" s="2" t="s">
        <v>792</v>
      </c>
      <c r="T99" s="2" t="s">
        <v>1385</v>
      </c>
      <c r="U99" s="2" t="s">
        <v>1277</v>
      </c>
      <c r="V99" s="2">
        <v>8074193000</v>
      </c>
      <c r="W99" s="2" t="s">
        <v>901</v>
      </c>
      <c r="X99" s="2" t="s">
        <v>822</v>
      </c>
      <c r="Y99" s="2" t="s">
        <v>1184</v>
      </c>
      <c r="Z99" s="2" t="s">
        <v>1185</v>
      </c>
      <c r="AA99" s="2">
        <v>2000</v>
      </c>
      <c r="AB99" s="2">
        <v>200</v>
      </c>
      <c r="AC99" s="2">
        <v>300</v>
      </c>
      <c r="AD99" s="2">
        <v>300</v>
      </c>
      <c r="AE99" s="2">
        <f t="shared" si="9"/>
        <v>2200</v>
      </c>
      <c r="AF99" s="2">
        <v>500</v>
      </c>
      <c r="AG99" s="4">
        <v>45427</v>
      </c>
      <c r="AH99" s="2">
        <f t="shared" si="10"/>
        <v>1700</v>
      </c>
      <c r="AI99" s="2">
        <v>500</v>
      </c>
      <c r="AJ99" s="4">
        <v>45458</v>
      </c>
      <c r="AK99" s="2">
        <f t="shared" si="11"/>
        <v>1200</v>
      </c>
      <c r="AL99" s="2">
        <v>500</v>
      </c>
      <c r="AM99" s="4">
        <v>45488</v>
      </c>
      <c r="AN99" s="2">
        <f t="shared" si="12"/>
        <v>700</v>
      </c>
      <c r="AO99" s="2" cm="1">
        <f t="array" ref="AO99">_xlfn.IFS(AN99&gt;=5000,3000,AN99&gt;=2000,1000,AN99&gt;=500,500,AN99&lt;500,AN99)</f>
        <v>500</v>
      </c>
      <c r="AP99" s="4">
        <v>45519</v>
      </c>
      <c r="AQ99" s="2">
        <f t="shared" si="13"/>
        <v>200</v>
      </c>
      <c r="AR99" s="2">
        <v>200</v>
      </c>
      <c r="AS99" s="4">
        <v>45550</v>
      </c>
      <c r="AT99" s="2">
        <f t="shared" si="14"/>
        <v>0</v>
      </c>
      <c r="AU99" s="2" t="s">
        <v>1200</v>
      </c>
      <c r="AV99" s="4" t="s">
        <v>1200</v>
      </c>
      <c r="AW99" s="2" t="s">
        <v>1200</v>
      </c>
      <c r="AX99" s="2">
        <f t="shared" si="15"/>
        <v>2200</v>
      </c>
      <c r="AY99" s="2">
        <f t="shared" si="16"/>
        <v>0</v>
      </c>
      <c r="AZ99" s="2" t="str">
        <f t="shared" si="17"/>
        <v>Paid</v>
      </c>
      <c r="BA99" s="9" t="str" cm="1">
        <f t="array" ref="BA99">_xlfn.IFS(AZ99="Paid","R",AZ99="Unpaid","Q")</f>
        <v>R</v>
      </c>
      <c r="BB99" s="8" t="s">
        <v>2815</v>
      </c>
    </row>
    <row r="100" spans="1:54" x14ac:dyDescent="0.25">
      <c r="A100" s="2">
        <v>99</v>
      </c>
      <c r="B100" s="2">
        <v>99</v>
      </c>
      <c r="C100" s="2" t="s">
        <v>220</v>
      </c>
      <c r="D100" s="2" t="s">
        <v>1759</v>
      </c>
      <c r="E100" s="2" t="s">
        <v>221</v>
      </c>
      <c r="F100" s="4">
        <v>45417</v>
      </c>
      <c r="G100" s="8" t="s">
        <v>35</v>
      </c>
      <c r="H100" s="8" t="s">
        <v>1244</v>
      </c>
      <c r="I100" s="2" t="s">
        <v>14</v>
      </c>
      <c r="J100" s="2" t="s">
        <v>15</v>
      </c>
      <c r="K100" s="2" t="s">
        <v>791</v>
      </c>
      <c r="L100" s="2" t="s">
        <v>1257</v>
      </c>
      <c r="M100" s="2" t="s">
        <v>1261</v>
      </c>
      <c r="N100" s="2" t="s">
        <v>2114</v>
      </c>
      <c r="O100" s="4">
        <v>35970</v>
      </c>
      <c r="P100" s="2" t="s">
        <v>2534</v>
      </c>
      <c r="Q100" s="2" t="s">
        <v>2403</v>
      </c>
      <c r="R100" s="2" t="s">
        <v>2393</v>
      </c>
      <c r="S100" s="2" t="s">
        <v>792</v>
      </c>
      <c r="T100" s="2" t="s">
        <v>1386</v>
      </c>
      <c r="U100" s="2" t="s">
        <v>1284</v>
      </c>
      <c r="V100" s="2">
        <v>7818530948</v>
      </c>
      <c r="W100" s="2" t="s">
        <v>902</v>
      </c>
      <c r="X100" s="2" t="s">
        <v>798</v>
      </c>
      <c r="Y100" s="2" t="s">
        <v>1184</v>
      </c>
      <c r="Z100" s="2" t="s">
        <v>1185</v>
      </c>
      <c r="AA100" s="2">
        <v>3000</v>
      </c>
      <c r="AB100" s="2">
        <v>200</v>
      </c>
      <c r="AC100" s="2">
        <v>500</v>
      </c>
      <c r="AD100" s="2">
        <v>300</v>
      </c>
      <c r="AE100" s="2">
        <f t="shared" si="9"/>
        <v>3400</v>
      </c>
      <c r="AF100" s="2">
        <v>1000</v>
      </c>
      <c r="AG100" s="4">
        <v>45427</v>
      </c>
      <c r="AH100" s="2">
        <f t="shared" si="10"/>
        <v>2400</v>
      </c>
      <c r="AI100" s="2">
        <v>1000</v>
      </c>
      <c r="AJ100" s="4">
        <v>45458</v>
      </c>
      <c r="AK100" s="2">
        <f t="shared" si="11"/>
        <v>1400</v>
      </c>
      <c r="AL100" s="2">
        <v>500</v>
      </c>
      <c r="AM100" s="4">
        <v>45488</v>
      </c>
      <c r="AN100" s="2">
        <f t="shared" si="12"/>
        <v>900</v>
      </c>
      <c r="AO100" s="2" cm="1">
        <f t="array" ref="AO100">_xlfn.IFS(AN100&gt;=5000,3000,AN100&gt;=2000,1000,AN100&gt;=500,500,AN100&lt;500,AN100)</f>
        <v>500</v>
      </c>
      <c r="AP100" s="4">
        <v>45519</v>
      </c>
      <c r="AQ100" s="2">
        <f t="shared" si="13"/>
        <v>400</v>
      </c>
      <c r="AR100" s="2">
        <v>400</v>
      </c>
      <c r="AS100" s="4">
        <v>45550</v>
      </c>
      <c r="AT100" s="2">
        <f t="shared" si="14"/>
        <v>0</v>
      </c>
      <c r="AU100" s="2" t="s">
        <v>1200</v>
      </c>
      <c r="AV100" s="4" t="s">
        <v>1200</v>
      </c>
      <c r="AW100" s="2" t="s">
        <v>1200</v>
      </c>
      <c r="AX100" s="2">
        <f t="shared" si="15"/>
        <v>3400</v>
      </c>
      <c r="AY100" s="2">
        <f t="shared" si="16"/>
        <v>0</v>
      </c>
      <c r="AZ100" s="2" t="str">
        <f t="shared" si="17"/>
        <v>Paid</v>
      </c>
      <c r="BA100" s="9" t="str" cm="1">
        <f t="array" ref="BA100">_xlfn.IFS(AZ100="Paid","R",AZ100="Unpaid","Q")</f>
        <v>R</v>
      </c>
      <c r="BB100" s="8" t="s">
        <v>2815</v>
      </c>
    </row>
    <row r="101" spans="1:54" x14ac:dyDescent="0.25">
      <c r="A101" s="2">
        <v>100</v>
      </c>
      <c r="B101" s="2">
        <v>100</v>
      </c>
      <c r="C101" s="2" t="s">
        <v>222</v>
      </c>
      <c r="D101" s="2" t="s">
        <v>1760</v>
      </c>
      <c r="E101" s="2" t="s">
        <v>223</v>
      </c>
      <c r="F101" s="4">
        <v>45418</v>
      </c>
      <c r="G101" s="8" t="s">
        <v>35</v>
      </c>
      <c r="H101" s="8" t="s">
        <v>1244</v>
      </c>
      <c r="I101" s="2" t="s">
        <v>14</v>
      </c>
      <c r="J101" s="2" t="s">
        <v>15</v>
      </c>
      <c r="K101" s="2" t="s">
        <v>791</v>
      </c>
      <c r="L101" s="2" t="s">
        <v>1260</v>
      </c>
      <c r="M101" s="2" t="s">
        <v>1261</v>
      </c>
      <c r="N101" s="2" t="s">
        <v>2115</v>
      </c>
      <c r="O101" s="4">
        <v>39998</v>
      </c>
      <c r="P101" s="2" t="s">
        <v>2535</v>
      </c>
      <c r="Q101" s="2" t="s">
        <v>2420</v>
      </c>
      <c r="R101" s="2" t="s">
        <v>2393</v>
      </c>
      <c r="S101" s="2" t="s">
        <v>788</v>
      </c>
      <c r="T101" s="2" t="s">
        <v>1387</v>
      </c>
      <c r="U101" s="2" t="s">
        <v>1280</v>
      </c>
      <c r="V101" s="2">
        <v>9218409053</v>
      </c>
      <c r="W101" s="2" t="s">
        <v>903</v>
      </c>
      <c r="X101" s="2" t="s">
        <v>1183</v>
      </c>
      <c r="Y101" s="2" t="s">
        <v>1184</v>
      </c>
      <c r="Z101" s="2" t="s">
        <v>1185</v>
      </c>
      <c r="AA101" s="2">
        <v>3000</v>
      </c>
      <c r="AB101" s="2">
        <v>200</v>
      </c>
      <c r="AC101" s="2">
        <v>500</v>
      </c>
      <c r="AD101" s="2">
        <v>300</v>
      </c>
      <c r="AE101" s="2">
        <f t="shared" si="9"/>
        <v>3400</v>
      </c>
      <c r="AF101" s="2">
        <v>1000</v>
      </c>
      <c r="AG101" s="4">
        <v>45428</v>
      </c>
      <c r="AH101" s="2">
        <f t="shared" si="10"/>
        <v>2400</v>
      </c>
      <c r="AI101" s="2">
        <v>1000</v>
      </c>
      <c r="AJ101" s="4">
        <v>45459</v>
      </c>
      <c r="AK101" s="2">
        <f t="shared" si="11"/>
        <v>1400</v>
      </c>
      <c r="AL101" s="2">
        <v>500</v>
      </c>
      <c r="AM101" s="4">
        <v>45489</v>
      </c>
      <c r="AN101" s="2">
        <f t="shared" si="12"/>
        <v>900</v>
      </c>
      <c r="AO101" s="2" cm="1">
        <f t="array" ref="AO101">_xlfn.IFS(AN101&gt;=5000,3000,AN101&gt;=2000,1000,AN101&gt;=500,500,AN101&lt;500,AN101)</f>
        <v>500</v>
      </c>
      <c r="AP101" s="4">
        <v>45520</v>
      </c>
      <c r="AQ101" s="2">
        <f t="shared" si="13"/>
        <v>400</v>
      </c>
      <c r="AR101" s="2">
        <v>400</v>
      </c>
      <c r="AS101" s="4">
        <v>45551</v>
      </c>
      <c r="AT101" s="2">
        <f t="shared" si="14"/>
        <v>0</v>
      </c>
      <c r="AU101" s="2" t="s">
        <v>1200</v>
      </c>
      <c r="AV101" s="4" t="s">
        <v>1200</v>
      </c>
      <c r="AW101" s="2" t="s">
        <v>1200</v>
      </c>
      <c r="AX101" s="2">
        <f t="shared" si="15"/>
        <v>3400</v>
      </c>
      <c r="AY101" s="2">
        <f t="shared" si="16"/>
        <v>0</v>
      </c>
      <c r="AZ101" s="2" t="str">
        <f t="shared" si="17"/>
        <v>Paid</v>
      </c>
      <c r="BA101" s="9" t="str" cm="1">
        <f t="array" ref="BA101">_xlfn.IFS(AZ101="Paid","R",AZ101="Unpaid","Q")</f>
        <v>R</v>
      </c>
      <c r="BB101" s="8" t="s">
        <v>2815</v>
      </c>
    </row>
    <row r="102" spans="1:54" x14ac:dyDescent="0.25">
      <c r="A102" s="2">
        <v>101</v>
      </c>
      <c r="B102" s="2">
        <v>101</v>
      </c>
      <c r="C102" s="2" t="s">
        <v>224</v>
      </c>
      <c r="D102" s="2" t="s">
        <v>1761</v>
      </c>
      <c r="E102" s="2" t="s">
        <v>225</v>
      </c>
      <c r="F102" s="4">
        <v>45418</v>
      </c>
      <c r="G102" s="8" t="s">
        <v>35</v>
      </c>
      <c r="H102" s="8" t="s">
        <v>1244</v>
      </c>
      <c r="I102" s="2" t="s">
        <v>14</v>
      </c>
      <c r="J102" s="2" t="s">
        <v>15</v>
      </c>
      <c r="K102" s="2" t="s">
        <v>791</v>
      </c>
      <c r="L102" s="2" t="s">
        <v>1257</v>
      </c>
      <c r="M102" s="2" t="s">
        <v>1261</v>
      </c>
      <c r="N102" s="2" t="s">
        <v>2116</v>
      </c>
      <c r="O102" s="4">
        <v>36801</v>
      </c>
      <c r="P102" s="2" t="s">
        <v>2536</v>
      </c>
      <c r="Q102" s="2" t="s">
        <v>2439</v>
      </c>
      <c r="R102" s="2" t="s">
        <v>2393</v>
      </c>
      <c r="S102" s="2" t="s">
        <v>792</v>
      </c>
      <c r="T102" s="2" t="s">
        <v>1388</v>
      </c>
      <c r="U102" s="2" t="s">
        <v>1269</v>
      </c>
      <c r="V102" s="2">
        <v>9550649382</v>
      </c>
      <c r="W102" s="2" t="s">
        <v>904</v>
      </c>
      <c r="X102" s="2" t="s">
        <v>1183</v>
      </c>
      <c r="Y102" s="2" t="s">
        <v>1184</v>
      </c>
      <c r="Z102" s="2" t="s">
        <v>1185</v>
      </c>
      <c r="AA102" s="2">
        <v>3000</v>
      </c>
      <c r="AB102" s="2">
        <v>200</v>
      </c>
      <c r="AC102" s="2">
        <v>500</v>
      </c>
      <c r="AD102" s="2">
        <v>200</v>
      </c>
      <c r="AE102" s="2">
        <f t="shared" si="9"/>
        <v>3500</v>
      </c>
      <c r="AF102" s="2">
        <v>1000</v>
      </c>
      <c r="AG102" s="4">
        <v>45428</v>
      </c>
      <c r="AH102" s="2">
        <f t="shared" si="10"/>
        <v>2500</v>
      </c>
      <c r="AI102" s="2">
        <v>1000</v>
      </c>
      <c r="AJ102" s="4">
        <v>45459</v>
      </c>
      <c r="AK102" s="2">
        <f t="shared" si="11"/>
        <v>1500</v>
      </c>
      <c r="AL102" s="2">
        <v>500</v>
      </c>
      <c r="AM102" s="4">
        <v>45489</v>
      </c>
      <c r="AN102" s="2">
        <f t="shared" si="12"/>
        <v>1000</v>
      </c>
      <c r="AO102" s="2" cm="1">
        <f t="array" ref="AO102">_xlfn.IFS(AN102&gt;=5000,3000,AN102&gt;=2000,1000,AN102&gt;=500,500,AN102&lt;500,AN102)</f>
        <v>500</v>
      </c>
      <c r="AP102" s="4">
        <v>45520</v>
      </c>
      <c r="AQ102" s="2">
        <f t="shared" si="13"/>
        <v>500</v>
      </c>
      <c r="AR102" s="2">
        <v>500</v>
      </c>
      <c r="AS102" s="4">
        <v>45551</v>
      </c>
      <c r="AT102" s="2">
        <f t="shared" si="14"/>
        <v>0</v>
      </c>
      <c r="AU102" s="2" t="s">
        <v>1200</v>
      </c>
      <c r="AV102" s="4" t="s">
        <v>1200</v>
      </c>
      <c r="AW102" s="2" t="s">
        <v>1200</v>
      </c>
      <c r="AX102" s="2">
        <f t="shared" si="15"/>
        <v>3500</v>
      </c>
      <c r="AY102" s="2">
        <f t="shared" si="16"/>
        <v>0</v>
      </c>
      <c r="AZ102" s="2" t="str">
        <f t="shared" si="17"/>
        <v>Paid</v>
      </c>
      <c r="BA102" s="9" t="str" cm="1">
        <f t="array" ref="BA102">_xlfn.IFS(AZ102="Paid","R",AZ102="Unpaid","Q")</f>
        <v>R</v>
      </c>
      <c r="BB102" s="8" t="s">
        <v>2815</v>
      </c>
    </row>
    <row r="103" spans="1:54" x14ac:dyDescent="0.25">
      <c r="A103" s="2">
        <v>102</v>
      </c>
      <c r="B103" s="2">
        <v>102</v>
      </c>
      <c r="C103" s="2" t="s">
        <v>226</v>
      </c>
      <c r="D103" s="2" t="s">
        <v>1762</v>
      </c>
      <c r="E103" s="2" t="s">
        <v>227</v>
      </c>
      <c r="F103" s="4">
        <v>45420</v>
      </c>
      <c r="G103" s="8" t="s">
        <v>26</v>
      </c>
      <c r="H103" s="8" t="s">
        <v>1243</v>
      </c>
      <c r="I103" s="2" t="s">
        <v>9</v>
      </c>
      <c r="J103" s="2" t="s">
        <v>10</v>
      </c>
      <c r="K103" s="2" t="s">
        <v>787</v>
      </c>
      <c r="L103" s="2" t="s">
        <v>1257</v>
      </c>
      <c r="M103" s="2" t="s">
        <v>1261</v>
      </c>
      <c r="N103" s="2" t="s">
        <v>2117</v>
      </c>
      <c r="O103" s="4">
        <v>32176</v>
      </c>
      <c r="P103" s="2" t="s">
        <v>2537</v>
      </c>
      <c r="Q103" s="2" t="s">
        <v>2446</v>
      </c>
      <c r="R103" s="2" t="s">
        <v>2393</v>
      </c>
      <c r="S103" s="2" t="s">
        <v>820</v>
      </c>
      <c r="T103" s="2" t="s">
        <v>1389</v>
      </c>
      <c r="U103" s="2" t="s">
        <v>1282</v>
      </c>
      <c r="V103" s="2">
        <v>7030883949</v>
      </c>
      <c r="W103" s="2" t="s">
        <v>905</v>
      </c>
      <c r="X103" s="2" t="s">
        <v>794</v>
      </c>
      <c r="Y103" s="2" t="s">
        <v>1184</v>
      </c>
      <c r="Z103" s="2" t="s">
        <v>1185</v>
      </c>
      <c r="AA103" s="2">
        <v>15000</v>
      </c>
      <c r="AB103" s="2">
        <v>200</v>
      </c>
      <c r="AC103" s="2">
        <v>1200</v>
      </c>
      <c r="AD103" s="2">
        <v>0</v>
      </c>
      <c r="AE103" s="2">
        <f t="shared" si="9"/>
        <v>16400</v>
      </c>
      <c r="AF103" s="2">
        <v>5000</v>
      </c>
      <c r="AG103" s="4">
        <v>45430</v>
      </c>
      <c r="AH103" s="2">
        <f t="shared" si="10"/>
        <v>11400</v>
      </c>
      <c r="AI103" s="2">
        <v>3000</v>
      </c>
      <c r="AJ103" s="4">
        <v>45461</v>
      </c>
      <c r="AK103" s="2">
        <f t="shared" si="11"/>
        <v>8400</v>
      </c>
      <c r="AL103" s="2">
        <v>3000</v>
      </c>
      <c r="AM103" s="4">
        <v>45491</v>
      </c>
      <c r="AN103" s="2">
        <f t="shared" si="12"/>
        <v>5400</v>
      </c>
      <c r="AO103" s="2" cm="1">
        <f t="array" ref="AO103">_xlfn.IFS(AN103&gt;=5000,3000,AN103&gt;=2000,1000,AN103&gt;=500,500,AN103&lt;500,AN103)</f>
        <v>3000</v>
      </c>
      <c r="AP103" s="4">
        <v>45522</v>
      </c>
      <c r="AQ103" s="2">
        <f t="shared" si="13"/>
        <v>2400</v>
      </c>
      <c r="AR103" s="2">
        <v>2000</v>
      </c>
      <c r="AS103" s="4">
        <v>45553</v>
      </c>
      <c r="AT103" s="2">
        <f t="shared" si="14"/>
        <v>400</v>
      </c>
      <c r="AU103" s="2">
        <v>400</v>
      </c>
      <c r="AV103" s="4">
        <v>45583</v>
      </c>
      <c r="AW103" s="2">
        <v>0</v>
      </c>
      <c r="AX103" s="2">
        <f t="shared" si="15"/>
        <v>16400</v>
      </c>
      <c r="AY103" s="2">
        <f t="shared" si="16"/>
        <v>0</v>
      </c>
      <c r="AZ103" s="2" t="str">
        <f t="shared" si="17"/>
        <v>Paid</v>
      </c>
      <c r="BA103" s="9" t="str" cm="1">
        <f t="array" ref="BA103">_xlfn.IFS(AZ103="Paid","R",AZ103="Unpaid","Q")</f>
        <v>R</v>
      </c>
      <c r="BB103" s="8" t="s">
        <v>2815</v>
      </c>
    </row>
    <row r="104" spans="1:54" x14ac:dyDescent="0.25">
      <c r="A104" s="2">
        <v>103</v>
      </c>
      <c r="B104" s="2">
        <v>103</v>
      </c>
      <c r="C104" s="2" t="s">
        <v>228</v>
      </c>
      <c r="D104" s="2" t="s">
        <v>1763</v>
      </c>
      <c r="E104" s="2" t="s">
        <v>229</v>
      </c>
      <c r="F104" s="4">
        <v>45421</v>
      </c>
      <c r="G104" s="8" t="s">
        <v>13</v>
      </c>
      <c r="H104" s="8" t="s">
        <v>1254</v>
      </c>
      <c r="I104" s="2" t="s">
        <v>14</v>
      </c>
      <c r="J104" s="2" t="s">
        <v>15</v>
      </c>
      <c r="K104" s="2" t="s">
        <v>791</v>
      </c>
      <c r="L104" s="2" t="s">
        <v>1260</v>
      </c>
      <c r="M104" s="2" t="s">
        <v>1261</v>
      </c>
      <c r="N104" s="2" t="s">
        <v>2118</v>
      </c>
      <c r="O104" s="4">
        <v>35704</v>
      </c>
      <c r="P104" s="2" t="s">
        <v>2538</v>
      </c>
      <c r="Q104" s="2" t="s">
        <v>2539</v>
      </c>
      <c r="R104" s="2" t="s">
        <v>2393</v>
      </c>
      <c r="S104" s="2" t="s">
        <v>788</v>
      </c>
      <c r="T104" s="2" t="s">
        <v>1390</v>
      </c>
      <c r="U104" s="2" t="s">
        <v>1283</v>
      </c>
      <c r="V104" s="2">
        <v>8355654974</v>
      </c>
      <c r="W104" s="2" t="s">
        <v>906</v>
      </c>
      <c r="X104" s="2" t="s">
        <v>809</v>
      </c>
      <c r="Y104" s="2" t="s">
        <v>1184</v>
      </c>
      <c r="Z104" s="2" t="s">
        <v>1185</v>
      </c>
      <c r="AA104" s="2">
        <v>3000</v>
      </c>
      <c r="AB104" s="2">
        <v>200</v>
      </c>
      <c r="AC104" s="2">
        <v>500</v>
      </c>
      <c r="AD104" s="2">
        <v>500</v>
      </c>
      <c r="AE104" s="2">
        <f t="shared" si="9"/>
        <v>3200</v>
      </c>
      <c r="AF104" s="2">
        <v>1000</v>
      </c>
      <c r="AG104" s="4">
        <v>45431</v>
      </c>
      <c r="AH104" s="2">
        <f t="shared" si="10"/>
        <v>2200</v>
      </c>
      <c r="AI104" s="2">
        <v>1000</v>
      </c>
      <c r="AJ104" s="4">
        <v>45462</v>
      </c>
      <c r="AK104" s="2">
        <f t="shared" si="11"/>
        <v>1200</v>
      </c>
      <c r="AL104" s="2">
        <v>500</v>
      </c>
      <c r="AM104" s="4">
        <v>45492</v>
      </c>
      <c r="AN104" s="2">
        <f t="shared" si="12"/>
        <v>700</v>
      </c>
      <c r="AO104" s="2" cm="1">
        <f t="array" ref="AO104">_xlfn.IFS(AN104&gt;=5000,3000,AN104&gt;=2000,1000,AN104&gt;=500,500,AN104&lt;500,AN104)</f>
        <v>500</v>
      </c>
      <c r="AP104" s="4">
        <v>45523</v>
      </c>
      <c r="AQ104" s="2">
        <f t="shared" si="13"/>
        <v>200</v>
      </c>
      <c r="AR104" s="2">
        <v>200</v>
      </c>
      <c r="AS104" s="4">
        <v>45554</v>
      </c>
      <c r="AT104" s="2">
        <f t="shared" si="14"/>
        <v>0</v>
      </c>
      <c r="AU104" s="2" t="s">
        <v>1200</v>
      </c>
      <c r="AV104" s="4" t="s">
        <v>1200</v>
      </c>
      <c r="AW104" s="2" t="s">
        <v>1200</v>
      </c>
      <c r="AX104" s="2">
        <f t="shared" si="15"/>
        <v>3200</v>
      </c>
      <c r="AY104" s="2">
        <f t="shared" si="16"/>
        <v>0</v>
      </c>
      <c r="AZ104" s="2" t="str">
        <f t="shared" si="17"/>
        <v>Paid</v>
      </c>
      <c r="BA104" s="9" t="str" cm="1">
        <f t="array" ref="BA104">_xlfn.IFS(AZ104="Paid","R",AZ104="Unpaid","Q")</f>
        <v>R</v>
      </c>
      <c r="BB104" s="8" t="s">
        <v>2815</v>
      </c>
    </row>
    <row r="105" spans="1:54" x14ac:dyDescent="0.25">
      <c r="A105" s="2">
        <v>104</v>
      </c>
      <c r="B105" s="2">
        <v>104</v>
      </c>
      <c r="C105" s="2" t="s">
        <v>230</v>
      </c>
      <c r="D105" s="2" t="s">
        <v>1764</v>
      </c>
      <c r="E105" s="2" t="s">
        <v>231</v>
      </c>
      <c r="F105" s="4">
        <v>45422</v>
      </c>
      <c r="G105" s="8" t="s">
        <v>95</v>
      </c>
      <c r="H105" s="8" t="s">
        <v>1245</v>
      </c>
      <c r="I105" s="2" t="s">
        <v>14</v>
      </c>
      <c r="J105" s="2" t="s">
        <v>15</v>
      </c>
      <c r="K105" s="2" t="s">
        <v>791</v>
      </c>
      <c r="L105" s="2" t="s">
        <v>1260</v>
      </c>
      <c r="M105" s="2" t="s">
        <v>1261</v>
      </c>
      <c r="N105" s="2" t="s">
        <v>2119</v>
      </c>
      <c r="O105" s="4">
        <v>39207</v>
      </c>
      <c r="P105" s="2" t="s">
        <v>2406</v>
      </c>
      <c r="Q105" s="2" t="s">
        <v>2498</v>
      </c>
      <c r="R105" s="2" t="s">
        <v>2393</v>
      </c>
      <c r="S105" s="2" t="s">
        <v>796</v>
      </c>
      <c r="T105" s="2" t="s">
        <v>1391</v>
      </c>
      <c r="U105" s="2" t="s">
        <v>1267</v>
      </c>
      <c r="V105" s="2">
        <v>9380271582</v>
      </c>
      <c r="W105" s="2" t="s">
        <v>907</v>
      </c>
      <c r="X105" s="2" t="s">
        <v>809</v>
      </c>
      <c r="Y105" s="2" t="s">
        <v>1184</v>
      </c>
      <c r="Z105" s="2" t="s">
        <v>1185</v>
      </c>
      <c r="AA105" s="2">
        <v>3500</v>
      </c>
      <c r="AB105" s="2">
        <v>200</v>
      </c>
      <c r="AC105" s="2">
        <v>500</v>
      </c>
      <c r="AD105" s="2">
        <v>500</v>
      </c>
      <c r="AE105" s="2">
        <f t="shared" si="9"/>
        <v>3700</v>
      </c>
      <c r="AF105" s="2">
        <v>1000</v>
      </c>
      <c r="AG105" s="4">
        <v>45432</v>
      </c>
      <c r="AH105" s="2">
        <f t="shared" si="10"/>
        <v>2700</v>
      </c>
      <c r="AI105" s="2">
        <v>1000</v>
      </c>
      <c r="AJ105" s="4">
        <v>45463</v>
      </c>
      <c r="AK105" s="2">
        <f t="shared" si="11"/>
        <v>1700</v>
      </c>
      <c r="AL105" s="2">
        <v>500</v>
      </c>
      <c r="AM105" s="4">
        <v>45493</v>
      </c>
      <c r="AN105" s="2">
        <f t="shared" si="12"/>
        <v>1200</v>
      </c>
      <c r="AO105" s="2" cm="1">
        <f t="array" ref="AO105">_xlfn.IFS(AN105&gt;=5000,3000,AN105&gt;=2000,1000,AN105&gt;=500,500,AN105&lt;500,AN105)</f>
        <v>500</v>
      </c>
      <c r="AP105" s="4">
        <v>45524</v>
      </c>
      <c r="AQ105" s="2">
        <f t="shared" si="13"/>
        <v>700</v>
      </c>
      <c r="AR105" s="2">
        <v>500</v>
      </c>
      <c r="AS105" s="4">
        <v>45555</v>
      </c>
      <c r="AT105" s="2">
        <f t="shared" si="14"/>
        <v>200</v>
      </c>
      <c r="AU105" s="2">
        <v>200</v>
      </c>
      <c r="AV105" s="4">
        <v>45585</v>
      </c>
      <c r="AW105" s="2">
        <v>0</v>
      </c>
      <c r="AX105" s="2">
        <f t="shared" si="15"/>
        <v>3700</v>
      </c>
      <c r="AY105" s="2">
        <f t="shared" si="16"/>
        <v>0</v>
      </c>
      <c r="AZ105" s="2" t="str">
        <f t="shared" si="17"/>
        <v>Paid</v>
      </c>
      <c r="BA105" s="9" t="str" cm="1">
        <f t="array" ref="BA105">_xlfn.IFS(AZ105="Paid","R",AZ105="Unpaid","Q")</f>
        <v>R</v>
      </c>
      <c r="BB105" s="8" t="s">
        <v>2815</v>
      </c>
    </row>
    <row r="106" spans="1:54" x14ac:dyDescent="0.25">
      <c r="A106" s="2">
        <v>105</v>
      </c>
      <c r="B106" s="2">
        <v>105</v>
      </c>
      <c r="C106" s="2" t="s">
        <v>232</v>
      </c>
      <c r="D106" s="2" t="s">
        <v>1765</v>
      </c>
      <c r="E106" s="2" t="s">
        <v>233</v>
      </c>
      <c r="F106" s="4">
        <v>45422</v>
      </c>
      <c r="G106" s="8" t="s">
        <v>21</v>
      </c>
      <c r="H106" s="8" t="s">
        <v>1252</v>
      </c>
      <c r="I106" s="2" t="s">
        <v>14</v>
      </c>
      <c r="J106" s="2" t="s">
        <v>15</v>
      </c>
      <c r="K106" s="2" t="s">
        <v>791</v>
      </c>
      <c r="L106" s="2" t="s">
        <v>1256</v>
      </c>
      <c r="M106" s="2" t="s">
        <v>1263</v>
      </c>
      <c r="N106" s="2" t="s">
        <v>2120</v>
      </c>
      <c r="O106" s="4">
        <v>37221</v>
      </c>
      <c r="P106" s="2" t="s">
        <v>2493</v>
      </c>
      <c r="Q106" s="2" t="s">
        <v>2439</v>
      </c>
      <c r="R106" s="2" t="s">
        <v>2396</v>
      </c>
      <c r="S106" s="2" t="s">
        <v>788</v>
      </c>
      <c r="T106" s="2" t="s">
        <v>1392</v>
      </c>
      <c r="U106" s="2" t="s">
        <v>1279</v>
      </c>
      <c r="V106" s="2">
        <v>8617437118</v>
      </c>
      <c r="W106" s="2" t="s">
        <v>908</v>
      </c>
      <c r="X106" s="2" t="s">
        <v>790</v>
      </c>
      <c r="Y106" s="2" t="s">
        <v>1184</v>
      </c>
      <c r="Z106" s="2" t="s">
        <v>1185</v>
      </c>
      <c r="AA106" s="2">
        <v>3000</v>
      </c>
      <c r="AB106" s="2">
        <v>200</v>
      </c>
      <c r="AC106" s="2">
        <v>300</v>
      </c>
      <c r="AD106" s="2">
        <v>0</v>
      </c>
      <c r="AE106" s="2">
        <f t="shared" si="9"/>
        <v>3500</v>
      </c>
      <c r="AF106" s="2">
        <v>1000</v>
      </c>
      <c r="AG106" s="4">
        <v>45432</v>
      </c>
      <c r="AH106" s="2">
        <f t="shared" si="10"/>
        <v>2500</v>
      </c>
      <c r="AI106" s="2">
        <v>1000</v>
      </c>
      <c r="AJ106" s="4">
        <v>45463</v>
      </c>
      <c r="AK106" s="2">
        <f t="shared" si="11"/>
        <v>1500</v>
      </c>
      <c r="AL106" s="2">
        <v>500</v>
      </c>
      <c r="AM106" s="4">
        <v>45493</v>
      </c>
      <c r="AN106" s="2">
        <f t="shared" si="12"/>
        <v>1000</v>
      </c>
      <c r="AO106" s="2" cm="1">
        <f t="array" ref="AO106">_xlfn.IFS(AN106&gt;=5000,3000,AN106&gt;=2000,1000,AN106&gt;=500,500,AN106&lt;500,AN106)</f>
        <v>500</v>
      </c>
      <c r="AP106" s="4">
        <v>45524</v>
      </c>
      <c r="AQ106" s="2">
        <f t="shared" si="13"/>
        <v>500</v>
      </c>
      <c r="AR106" s="2">
        <v>500</v>
      </c>
      <c r="AS106" s="4">
        <v>45555</v>
      </c>
      <c r="AT106" s="2">
        <f t="shared" si="14"/>
        <v>0</v>
      </c>
      <c r="AU106" s="2" t="s">
        <v>1200</v>
      </c>
      <c r="AV106" s="4" t="s">
        <v>1200</v>
      </c>
      <c r="AW106" s="2" t="s">
        <v>1200</v>
      </c>
      <c r="AX106" s="2">
        <f t="shared" si="15"/>
        <v>3500</v>
      </c>
      <c r="AY106" s="2">
        <f t="shared" si="16"/>
        <v>0</v>
      </c>
      <c r="AZ106" s="2" t="str">
        <f t="shared" si="17"/>
        <v>Paid</v>
      </c>
      <c r="BA106" s="9" t="str" cm="1">
        <f t="array" ref="BA106">_xlfn.IFS(AZ106="Paid","R",AZ106="Unpaid","Q")</f>
        <v>R</v>
      </c>
      <c r="BB106" s="8" t="s">
        <v>2815</v>
      </c>
    </row>
    <row r="107" spans="1:54" x14ac:dyDescent="0.25">
      <c r="A107" s="2">
        <v>106</v>
      </c>
      <c r="B107" s="2">
        <v>106</v>
      </c>
      <c r="C107" s="2" t="s">
        <v>234</v>
      </c>
      <c r="D107" s="2" t="s">
        <v>1766</v>
      </c>
      <c r="E107" s="2" t="s">
        <v>235</v>
      </c>
      <c r="F107" s="4">
        <v>45423</v>
      </c>
      <c r="G107" s="8" t="s">
        <v>32</v>
      </c>
      <c r="H107" s="8" t="s">
        <v>1249</v>
      </c>
      <c r="I107" s="2" t="s">
        <v>14</v>
      </c>
      <c r="J107" s="2" t="s">
        <v>15</v>
      </c>
      <c r="K107" s="2" t="s">
        <v>791</v>
      </c>
      <c r="L107" s="2" t="s">
        <v>1260</v>
      </c>
      <c r="M107" s="2" t="s">
        <v>1261</v>
      </c>
      <c r="N107" s="2" t="s">
        <v>2121</v>
      </c>
      <c r="O107" s="4">
        <v>33033</v>
      </c>
      <c r="P107" s="2" t="s">
        <v>2540</v>
      </c>
      <c r="Q107" s="2" t="s">
        <v>2472</v>
      </c>
      <c r="R107" s="2" t="s">
        <v>2396</v>
      </c>
      <c r="S107" s="2" t="s">
        <v>788</v>
      </c>
      <c r="T107" s="2" t="s">
        <v>1393</v>
      </c>
      <c r="U107" s="2" t="s">
        <v>1285</v>
      </c>
      <c r="V107" s="2">
        <v>7334992751</v>
      </c>
      <c r="W107" s="2" t="s">
        <v>909</v>
      </c>
      <c r="X107" s="2" t="s">
        <v>809</v>
      </c>
      <c r="Y107" s="2" t="s">
        <v>1184</v>
      </c>
      <c r="Z107" s="2" t="s">
        <v>1185</v>
      </c>
      <c r="AA107" s="2">
        <v>2000</v>
      </c>
      <c r="AB107" s="2">
        <v>200</v>
      </c>
      <c r="AC107" s="2">
        <v>300</v>
      </c>
      <c r="AD107" s="2">
        <v>200</v>
      </c>
      <c r="AE107" s="2">
        <f t="shared" si="9"/>
        <v>2300</v>
      </c>
      <c r="AF107" s="2">
        <v>500</v>
      </c>
      <c r="AG107" s="4">
        <v>45433</v>
      </c>
      <c r="AH107" s="2">
        <f t="shared" si="10"/>
        <v>1800</v>
      </c>
      <c r="AI107" s="2">
        <v>500</v>
      </c>
      <c r="AJ107" s="4">
        <v>45464</v>
      </c>
      <c r="AK107" s="2">
        <f t="shared" si="11"/>
        <v>1300</v>
      </c>
      <c r="AL107" s="2">
        <v>500</v>
      </c>
      <c r="AM107" s="4">
        <v>45494</v>
      </c>
      <c r="AN107" s="2">
        <f t="shared" si="12"/>
        <v>800</v>
      </c>
      <c r="AO107" s="2" cm="1">
        <f t="array" ref="AO107">_xlfn.IFS(AN107&gt;=5000,3000,AN107&gt;=2000,1000,AN107&gt;=500,500,AN107&lt;500,AN107)</f>
        <v>500</v>
      </c>
      <c r="AP107" s="4">
        <v>45525</v>
      </c>
      <c r="AQ107" s="2">
        <f t="shared" si="13"/>
        <v>300</v>
      </c>
      <c r="AR107" s="2">
        <v>300</v>
      </c>
      <c r="AS107" s="4">
        <v>45556</v>
      </c>
      <c r="AT107" s="2">
        <f t="shared" si="14"/>
        <v>0</v>
      </c>
      <c r="AU107" s="2" t="s">
        <v>1200</v>
      </c>
      <c r="AV107" s="4" t="s">
        <v>1200</v>
      </c>
      <c r="AW107" s="2" t="s">
        <v>1200</v>
      </c>
      <c r="AX107" s="2">
        <f t="shared" si="15"/>
        <v>2300</v>
      </c>
      <c r="AY107" s="2">
        <f t="shared" si="16"/>
        <v>0</v>
      </c>
      <c r="AZ107" s="2" t="str">
        <f t="shared" si="17"/>
        <v>Paid</v>
      </c>
      <c r="BA107" s="9" t="str" cm="1">
        <f t="array" ref="BA107">_xlfn.IFS(AZ107="Paid","R",AZ107="Unpaid","Q")</f>
        <v>R</v>
      </c>
      <c r="BB107" s="8" t="s">
        <v>2815</v>
      </c>
    </row>
    <row r="108" spans="1:54" x14ac:dyDescent="0.25">
      <c r="A108" s="2">
        <v>107</v>
      </c>
      <c r="B108" s="2">
        <v>107</v>
      </c>
      <c r="C108" s="2" t="s">
        <v>236</v>
      </c>
      <c r="D108" s="2" t="s">
        <v>1767</v>
      </c>
      <c r="E108" s="2" t="s">
        <v>237</v>
      </c>
      <c r="F108" s="4">
        <v>45430</v>
      </c>
      <c r="G108" s="8" t="s">
        <v>13</v>
      </c>
      <c r="H108" s="8" t="s">
        <v>1254</v>
      </c>
      <c r="I108" s="2" t="s">
        <v>14</v>
      </c>
      <c r="J108" s="2" t="s">
        <v>15</v>
      </c>
      <c r="K108" s="2" t="s">
        <v>791</v>
      </c>
      <c r="L108" s="2" t="s">
        <v>1260</v>
      </c>
      <c r="M108" s="2" t="s">
        <v>1261</v>
      </c>
      <c r="N108" s="2" t="s">
        <v>2122</v>
      </c>
      <c r="O108" s="4">
        <v>37557</v>
      </c>
      <c r="P108" s="2" t="s">
        <v>2541</v>
      </c>
      <c r="Q108" s="2" t="s">
        <v>2505</v>
      </c>
      <c r="R108" s="2" t="s">
        <v>2393</v>
      </c>
      <c r="S108" s="2" t="s">
        <v>820</v>
      </c>
      <c r="T108" s="2" t="s">
        <v>1394</v>
      </c>
      <c r="U108" s="2" t="s">
        <v>1277</v>
      </c>
      <c r="V108" s="2">
        <v>8203947018</v>
      </c>
      <c r="W108" s="2" t="s">
        <v>910</v>
      </c>
      <c r="X108" s="2" t="s">
        <v>811</v>
      </c>
      <c r="Y108" s="2" t="s">
        <v>1184</v>
      </c>
      <c r="Z108" s="2" t="s">
        <v>1185</v>
      </c>
      <c r="AA108" s="2">
        <v>3000</v>
      </c>
      <c r="AB108" s="2">
        <v>200</v>
      </c>
      <c r="AC108" s="2">
        <v>500</v>
      </c>
      <c r="AD108" s="2">
        <v>0</v>
      </c>
      <c r="AE108" s="2">
        <f t="shared" si="9"/>
        <v>3700</v>
      </c>
      <c r="AF108" s="2">
        <v>1000</v>
      </c>
      <c r="AG108" s="4">
        <v>45440</v>
      </c>
      <c r="AH108" s="2">
        <f t="shared" si="10"/>
        <v>2700</v>
      </c>
      <c r="AI108" s="2">
        <v>1000</v>
      </c>
      <c r="AJ108" s="4">
        <v>45471</v>
      </c>
      <c r="AK108" s="2">
        <f t="shared" si="11"/>
        <v>1700</v>
      </c>
      <c r="AL108" s="2">
        <v>500</v>
      </c>
      <c r="AM108" s="4">
        <v>45501</v>
      </c>
      <c r="AN108" s="2">
        <f t="shared" si="12"/>
        <v>1200</v>
      </c>
      <c r="AO108" s="2" cm="1">
        <f t="array" ref="AO108">_xlfn.IFS(AN108&gt;=5000,3000,AN108&gt;=2000,1000,AN108&gt;=500,500,AN108&lt;500,AN108)</f>
        <v>500</v>
      </c>
      <c r="AP108" s="4">
        <v>45532</v>
      </c>
      <c r="AQ108" s="2">
        <f t="shared" si="13"/>
        <v>700</v>
      </c>
      <c r="AR108" s="2">
        <v>500</v>
      </c>
      <c r="AS108" s="4">
        <v>45563</v>
      </c>
      <c r="AT108" s="2">
        <f t="shared" si="14"/>
        <v>200</v>
      </c>
      <c r="AU108" s="2">
        <v>200</v>
      </c>
      <c r="AV108" s="4">
        <v>45593</v>
      </c>
      <c r="AW108" s="2">
        <v>0</v>
      </c>
      <c r="AX108" s="2">
        <f t="shared" si="15"/>
        <v>3700</v>
      </c>
      <c r="AY108" s="2">
        <f t="shared" si="16"/>
        <v>0</v>
      </c>
      <c r="AZ108" s="2" t="str">
        <f t="shared" si="17"/>
        <v>Paid</v>
      </c>
      <c r="BA108" s="9" t="str" cm="1">
        <f t="array" ref="BA108">_xlfn.IFS(AZ108="Paid","R",AZ108="Unpaid","Q")</f>
        <v>R</v>
      </c>
      <c r="BB108" s="8" t="s">
        <v>2815</v>
      </c>
    </row>
    <row r="109" spans="1:54" x14ac:dyDescent="0.25">
      <c r="A109" s="2">
        <v>108</v>
      </c>
      <c r="B109" s="2">
        <v>108</v>
      </c>
      <c r="C109" s="2" t="s">
        <v>238</v>
      </c>
      <c r="D109" s="2" t="s">
        <v>1768</v>
      </c>
      <c r="E109" s="2" t="s">
        <v>239</v>
      </c>
      <c r="F109" s="4">
        <v>45430</v>
      </c>
      <c r="G109" s="8" t="s">
        <v>95</v>
      </c>
      <c r="H109" s="8" t="s">
        <v>1245</v>
      </c>
      <c r="I109" s="2" t="s">
        <v>14</v>
      </c>
      <c r="J109" s="2" t="s">
        <v>15</v>
      </c>
      <c r="K109" s="2" t="s">
        <v>791</v>
      </c>
      <c r="L109" s="2" t="s">
        <v>1259</v>
      </c>
      <c r="M109" s="2" t="s">
        <v>1262</v>
      </c>
      <c r="N109" s="2" t="s">
        <v>2123</v>
      </c>
      <c r="O109" s="4">
        <v>35128</v>
      </c>
      <c r="P109" s="2" t="s">
        <v>2542</v>
      </c>
      <c r="Q109" s="2" t="s">
        <v>2520</v>
      </c>
      <c r="R109" s="2" t="s">
        <v>2396</v>
      </c>
      <c r="S109" s="2" t="s">
        <v>788</v>
      </c>
      <c r="T109" s="2" t="s">
        <v>1395</v>
      </c>
      <c r="U109" s="2" t="s">
        <v>1268</v>
      </c>
      <c r="V109" s="2">
        <v>8882141034</v>
      </c>
      <c r="W109" s="2" t="s">
        <v>911</v>
      </c>
      <c r="X109" s="2" t="s">
        <v>837</v>
      </c>
      <c r="Y109" s="2" t="s">
        <v>1184</v>
      </c>
      <c r="Z109" s="2" t="s">
        <v>1185</v>
      </c>
      <c r="AA109" s="2">
        <v>3500</v>
      </c>
      <c r="AB109" s="2">
        <v>200</v>
      </c>
      <c r="AC109" s="2">
        <v>500</v>
      </c>
      <c r="AD109" s="2">
        <v>0</v>
      </c>
      <c r="AE109" s="2">
        <f t="shared" si="9"/>
        <v>4200</v>
      </c>
      <c r="AF109" s="2">
        <v>1000</v>
      </c>
      <c r="AG109" s="4">
        <v>45440</v>
      </c>
      <c r="AH109" s="2">
        <f t="shared" si="10"/>
        <v>3200</v>
      </c>
      <c r="AI109" s="2">
        <v>1000</v>
      </c>
      <c r="AJ109" s="4">
        <v>45471</v>
      </c>
      <c r="AK109" s="2">
        <f t="shared" si="11"/>
        <v>2200</v>
      </c>
      <c r="AL109" s="2">
        <v>1000</v>
      </c>
      <c r="AM109" s="4">
        <v>45501</v>
      </c>
      <c r="AN109" s="2">
        <f t="shared" si="12"/>
        <v>1200</v>
      </c>
      <c r="AO109" s="2" cm="1">
        <f t="array" ref="AO109">_xlfn.IFS(AN109&gt;=5000,3000,AN109&gt;=2000,1000,AN109&gt;=500,500,AN109&lt;500,AN109)</f>
        <v>500</v>
      </c>
      <c r="AP109" s="4">
        <v>45532</v>
      </c>
      <c r="AQ109" s="2">
        <f t="shared" si="13"/>
        <v>700</v>
      </c>
      <c r="AR109" s="2">
        <v>500</v>
      </c>
      <c r="AS109" s="4">
        <v>45563</v>
      </c>
      <c r="AT109" s="2">
        <f t="shared" si="14"/>
        <v>200</v>
      </c>
      <c r="AU109" s="2">
        <v>200</v>
      </c>
      <c r="AV109" s="4">
        <v>45593</v>
      </c>
      <c r="AW109" s="2">
        <v>0</v>
      </c>
      <c r="AX109" s="2">
        <f t="shared" si="15"/>
        <v>4200</v>
      </c>
      <c r="AY109" s="2">
        <f t="shared" si="16"/>
        <v>0</v>
      </c>
      <c r="AZ109" s="2" t="str">
        <f t="shared" si="17"/>
        <v>Paid</v>
      </c>
      <c r="BA109" s="9" t="str" cm="1">
        <f t="array" ref="BA109">_xlfn.IFS(AZ109="Paid","R",AZ109="Unpaid","Q")</f>
        <v>R</v>
      </c>
      <c r="BB109" s="8" t="s">
        <v>2815</v>
      </c>
    </row>
    <row r="110" spans="1:54" x14ac:dyDescent="0.25">
      <c r="A110" s="2">
        <v>109</v>
      </c>
      <c r="B110" s="2">
        <v>109</v>
      </c>
      <c r="C110" s="2" t="s">
        <v>240</v>
      </c>
      <c r="D110" s="2" t="s">
        <v>1682</v>
      </c>
      <c r="E110" s="2" t="s">
        <v>241</v>
      </c>
      <c r="F110" s="4">
        <v>45434</v>
      </c>
      <c r="G110" s="8" t="s">
        <v>32</v>
      </c>
      <c r="H110" s="8" t="s">
        <v>1249</v>
      </c>
      <c r="I110" s="2" t="s">
        <v>14</v>
      </c>
      <c r="J110" s="2" t="s">
        <v>15</v>
      </c>
      <c r="K110" s="2" t="s">
        <v>791</v>
      </c>
      <c r="L110" s="2" t="s">
        <v>1257</v>
      </c>
      <c r="M110" s="2" t="s">
        <v>1261</v>
      </c>
      <c r="N110" s="2" t="s">
        <v>2124</v>
      </c>
      <c r="O110" s="4">
        <v>39979</v>
      </c>
      <c r="P110" s="2" t="s">
        <v>2543</v>
      </c>
      <c r="Q110" s="2" t="s">
        <v>2432</v>
      </c>
      <c r="R110" s="2" t="s">
        <v>2393</v>
      </c>
      <c r="S110" s="2" t="s">
        <v>788</v>
      </c>
      <c r="T110" s="2" t="s">
        <v>1396</v>
      </c>
      <c r="U110" s="2" t="s">
        <v>1270</v>
      </c>
      <c r="V110" s="2">
        <v>8886542391</v>
      </c>
      <c r="W110" s="2" t="s">
        <v>912</v>
      </c>
      <c r="X110" s="2" t="s">
        <v>811</v>
      </c>
      <c r="Y110" s="2" t="s">
        <v>1184</v>
      </c>
      <c r="Z110" s="2" t="s">
        <v>1185</v>
      </c>
      <c r="AA110" s="2">
        <v>2000</v>
      </c>
      <c r="AB110" s="2">
        <v>200</v>
      </c>
      <c r="AC110" s="2">
        <v>300</v>
      </c>
      <c r="AD110" s="2">
        <v>500</v>
      </c>
      <c r="AE110" s="2">
        <f t="shared" si="9"/>
        <v>2000</v>
      </c>
      <c r="AF110" s="2">
        <v>500</v>
      </c>
      <c r="AG110" s="4">
        <v>45444</v>
      </c>
      <c r="AH110" s="2">
        <f t="shared" si="10"/>
        <v>1500</v>
      </c>
      <c r="AI110" s="2">
        <v>500</v>
      </c>
      <c r="AJ110" s="4">
        <v>45474</v>
      </c>
      <c r="AK110" s="2">
        <f t="shared" si="11"/>
        <v>1000</v>
      </c>
      <c r="AL110" s="2">
        <v>500</v>
      </c>
      <c r="AM110" s="4">
        <v>45505</v>
      </c>
      <c r="AN110" s="2">
        <f t="shared" si="12"/>
        <v>500</v>
      </c>
      <c r="AO110" s="2" cm="1">
        <f t="array" ref="AO110">_xlfn.IFS(AN110&gt;=5000,3000,AN110&gt;=2000,1000,AN110&gt;=500,500,AN110&lt;500,AN110)</f>
        <v>500</v>
      </c>
      <c r="AP110" s="4">
        <v>45536</v>
      </c>
      <c r="AQ110" s="2">
        <f t="shared" si="13"/>
        <v>0</v>
      </c>
      <c r="AR110" s="2" t="s">
        <v>1200</v>
      </c>
      <c r="AS110" s="4" t="s">
        <v>1200</v>
      </c>
      <c r="AT110" s="2" t="str">
        <f t="shared" si="14"/>
        <v/>
      </c>
      <c r="AU110" s="2" t="s">
        <v>1200</v>
      </c>
      <c r="AV110" s="4" t="s">
        <v>1200</v>
      </c>
      <c r="AW110" s="2" t="s">
        <v>1200</v>
      </c>
      <c r="AX110" s="2">
        <f t="shared" si="15"/>
        <v>2000</v>
      </c>
      <c r="AY110" s="2">
        <f t="shared" si="16"/>
        <v>0</v>
      </c>
      <c r="AZ110" s="2" t="str">
        <f t="shared" si="17"/>
        <v>Paid</v>
      </c>
      <c r="BA110" s="9" t="str" cm="1">
        <f t="array" ref="BA110">_xlfn.IFS(AZ110="Paid","R",AZ110="Unpaid","Q")</f>
        <v>R</v>
      </c>
      <c r="BB110" s="8" t="s">
        <v>2815</v>
      </c>
    </row>
    <row r="111" spans="1:54" x14ac:dyDescent="0.25">
      <c r="A111" s="2">
        <v>110</v>
      </c>
      <c r="B111" s="2">
        <v>110</v>
      </c>
      <c r="C111" s="2" t="s">
        <v>242</v>
      </c>
      <c r="D111" s="2" t="s">
        <v>1769</v>
      </c>
      <c r="E111" s="2" t="s">
        <v>243</v>
      </c>
      <c r="F111" s="4">
        <v>45434</v>
      </c>
      <c r="G111" s="8" t="s">
        <v>26</v>
      </c>
      <c r="H111" s="8" t="s">
        <v>1243</v>
      </c>
      <c r="I111" s="2" t="s">
        <v>9</v>
      </c>
      <c r="J111" s="2" t="s">
        <v>10</v>
      </c>
      <c r="K111" s="2" t="s">
        <v>787</v>
      </c>
      <c r="L111" s="2" t="s">
        <v>1257</v>
      </c>
      <c r="M111" s="2" t="s">
        <v>1261</v>
      </c>
      <c r="N111" s="2" t="s">
        <v>2125</v>
      </c>
      <c r="O111" s="4">
        <v>35895</v>
      </c>
      <c r="P111" s="2" t="s">
        <v>2544</v>
      </c>
      <c r="Q111" s="2" t="s">
        <v>2409</v>
      </c>
      <c r="R111" s="2" t="s">
        <v>2393</v>
      </c>
      <c r="S111" s="2" t="s">
        <v>792</v>
      </c>
      <c r="T111" s="2" t="s">
        <v>1397</v>
      </c>
      <c r="U111" s="2" t="s">
        <v>1286</v>
      </c>
      <c r="V111" s="2">
        <v>8127565717</v>
      </c>
      <c r="W111" s="2" t="s">
        <v>913</v>
      </c>
      <c r="X111" s="2" t="s">
        <v>801</v>
      </c>
      <c r="Y111" s="2" t="s">
        <v>1184</v>
      </c>
      <c r="Z111" s="2" t="s">
        <v>1185</v>
      </c>
      <c r="AA111" s="2">
        <v>15000</v>
      </c>
      <c r="AB111" s="2">
        <v>200</v>
      </c>
      <c r="AC111" s="2">
        <v>1200</v>
      </c>
      <c r="AD111" s="2">
        <v>200</v>
      </c>
      <c r="AE111" s="2">
        <f t="shared" si="9"/>
        <v>16200</v>
      </c>
      <c r="AF111" s="2">
        <v>5000</v>
      </c>
      <c r="AG111" s="4">
        <v>45444</v>
      </c>
      <c r="AH111" s="2">
        <f t="shared" si="10"/>
        <v>11200</v>
      </c>
      <c r="AI111" s="2">
        <v>3000</v>
      </c>
      <c r="AJ111" s="4">
        <v>45474</v>
      </c>
      <c r="AK111" s="2">
        <f t="shared" si="11"/>
        <v>8200</v>
      </c>
      <c r="AL111" s="2">
        <v>3000</v>
      </c>
      <c r="AM111" s="4">
        <v>45505</v>
      </c>
      <c r="AN111" s="2">
        <f t="shared" si="12"/>
        <v>5200</v>
      </c>
      <c r="AO111" s="2" cm="1">
        <f t="array" ref="AO111">_xlfn.IFS(AN111&gt;=5000,3000,AN111&gt;=2000,1000,AN111&gt;=500,500,AN111&lt;500,AN111)</f>
        <v>3000</v>
      </c>
      <c r="AP111" s="4">
        <v>45536</v>
      </c>
      <c r="AQ111" s="2">
        <f t="shared" si="13"/>
        <v>2200</v>
      </c>
      <c r="AR111" s="2">
        <v>2000</v>
      </c>
      <c r="AS111" s="4">
        <v>45566</v>
      </c>
      <c r="AT111" s="2">
        <f t="shared" si="14"/>
        <v>200</v>
      </c>
      <c r="AU111" s="2">
        <v>200</v>
      </c>
      <c r="AV111" s="4">
        <v>45597</v>
      </c>
      <c r="AW111" s="2">
        <v>0</v>
      </c>
      <c r="AX111" s="2">
        <f t="shared" si="15"/>
        <v>16200</v>
      </c>
      <c r="AY111" s="2">
        <f t="shared" si="16"/>
        <v>0</v>
      </c>
      <c r="AZ111" s="2" t="str">
        <f t="shared" si="17"/>
        <v>Paid</v>
      </c>
      <c r="BA111" s="9" t="str" cm="1">
        <f t="array" ref="BA111">_xlfn.IFS(AZ111="Paid","R",AZ111="Unpaid","Q")</f>
        <v>R</v>
      </c>
      <c r="BB111" s="8" t="s">
        <v>2815</v>
      </c>
    </row>
    <row r="112" spans="1:54" x14ac:dyDescent="0.25">
      <c r="A112" s="2">
        <v>111</v>
      </c>
      <c r="B112" s="2">
        <v>111</v>
      </c>
      <c r="C112" s="2" t="s">
        <v>244</v>
      </c>
      <c r="D112" s="2" t="s">
        <v>1770</v>
      </c>
      <c r="E112" s="2" t="s">
        <v>245</v>
      </c>
      <c r="F112" s="4">
        <v>45435</v>
      </c>
      <c r="G112" s="8" t="s">
        <v>38</v>
      </c>
      <c r="H112" s="8" t="s">
        <v>1246</v>
      </c>
      <c r="I112" s="2" t="s">
        <v>9</v>
      </c>
      <c r="J112" s="2" t="s">
        <v>15</v>
      </c>
      <c r="K112" s="2" t="s">
        <v>795</v>
      </c>
      <c r="L112" s="2" t="s">
        <v>1257</v>
      </c>
      <c r="M112" s="2" t="s">
        <v>1261</v>
      </c>
      <c r="N112" s="2" t="s">
        <v>2126</v>
      </c>
      <c r="O112" s="4">
        <v>37951</v>
      </c>
      <c r="P112" s="2" t="s">
        <v>2545</v>
      </c>
      <c r="Q112" s="2" t="s">
        <v>2546</v>
      </c>
      <c r="R112" s="2" t="s">
        <v>2393</v>
      </c>
      <c r="S112" s="2" t="s">
        <v>788</v>
      </c>
      <c r="T112" s="2" t="s">
        <v>1398</v>
      </c>
      <c r="U112" s="2" t="s">
        <v>1273</v>
      </c>
      <c r="V112" s="2">
        <v>9066045067</v>
      </c>
      <c r="W112" s="2" t="s">
        <v>914</v>
      </c>
      <c r="X112" s="2" t="s">
        <v>809</v>
      </c>
      <c r="Y112" s="2" t="s">
        <v>1184</v>
      </c>
      <c r="Z112" s="2" t="s">
        <v>1185</v>
      </c>
      <c r="AA112" s="2">
        <v>6000</v>
      </c>
      <c r="AB112" s="2">
        <v>200</v>
      </c>
      <c r="AC112" s="2">
        <v>800</v>
      </c>
      <c r="AD112" s="2">
        <v>200</v>
      </c>
      <c r="AE112" s="2">
        <f t="shared" si="9"/>
        <v>6800</v>
      </c>
      <c r="AF112" s="2">
        <v>2500</v>
      </c>
      <c r="AG112" s="4">
        <v>45445</v>
      </c>
      <c r="AH112" s="2">
        <f t="shared" si="10"/>
        <v>4300</v>
      </c>
      <c r="AI112" s="2">
        <v>1000</v>
      </c>
      <c r="AJ112" s="4">
        <v>45475</v>
      </c>
      <c r="AK112" s="2">
        <f t="shared" si="11"/>
        <v>3300</v>
      </c>
      <c r="AL112" s="2">
        <v>1000</v>
      </c>
      <c r="AM112" s="4">
        <v>45506</v>
      </c>
      <c r="AN112" s="2">
        <f t="shared" si="12"/>
        <v>2300</v>
      </c>
      <c r="AO112" s="2" cm="1">
        <f t="array" ref="AO112">_xlfn.IFS(AN112&gt;=5000,3000,AN112&gt;=2000,1000,AN112&gt;=500,500,AN112&lt;500,AN112)</f>
        <v>1000</v>
      </c>
      <c r="AP112" s="4">
        <v>45537</v>
      </c>
      <c r="AQ112" s="2">
        <f t="shared" si="13"/>
        <v>1300</v>
      </c>
      <c r="AR112" s="2">
        <v>1000</v>
      </c>
      <c r="AS112" s="4">
        <v>45567</v>
      </c>
      <c r="AT112" s="2">
        <f t="shared" si="14"/>
        <v>300</v>
      </c>
      <c r="AU112" s="2">
        <v>300</v>
      </c>
      <c r="AV112" s="4">
        <v>45598</v>
      </c>
      <c r="AW112" s="2">
        <v>0</v>
      </c>
      <c r="AX112" s="2">
        <f t="shared" si="15"/>
        <v>6800</v>
      </c>
      <c r="AY112" s="2">
        <f t="shared" si="16"/>
        <v>0</v>
      </c>
      <c r="AZ112" s="2" t="str">
        <f t="shared" si="17"/>
        <v>Paid</v>
      </c>
      <c r="BA112" s="9" t="str" cm="1">
        <f t="array" ref="BA112">_xlfn.IFS(AZ112="Paid","R",AZ112="Unpaid","Q")</f>
        <v>R</v>
      </c>
      <c r="BB112" s="8" t="s">
        <v>2815</v>
      </c>
    </row>
    <row r="113" spans="1:54" x14ac:dyDescent="0.25">
      <c r="A113" s="2">
        <v>112</v>
      </c>
      <c r="B113" s="2">
        <v>112</v>
      </c>
      <c r="C113" s="2" t="s">
        <v>246</v>
      </c>
      <c r="D113" s="2" t="s">
        <v>1771</v>
      </c>
      <c r="E113" s="2" t="s">
        <v>247</v>
      </c>
      <c r="F113" s="4">
        <v>45439</v>
      </c>
      <c r="G113" s="8" t="s">
        <v>65</v>
      </c>
      <c r="H113" s="8" t="s">
        <v>65</v>
      </c>
      <c r="I113" s="2" t="s">
        <v>14</v>
      </c>
      <c r="J113" s="2" t="s">
        <v>15</v>
      </c>
      <c r="K113" s="2" t="s">
        <v>791</v>
      </c>
      <c r="L113" s="2" t="s">
        <v>1257</v>
      </c>
      <c r="M113" s="2" t="s">
        <v>1261</v>
      </c>
      <c r="N113" s="2" t="s">
        <v>2127</v>
      </c>
      <c r="O113" s="4">
        <v>38053</v>
      </c>
      <c r="P113" s="2" t="s">
        <v>2547</v>
      </c>
      <c r="Q113" s="2" t="s">
        <v>2398</v>
      </c>
      <c r="R113" s="2" t="s">
        <v>2393</v>
      </c>
      <c r="S113" s="2" t="s">
        <v>788</v>
      </c>
      <c r="T113" s="2" t="s">
        <v>1399</v>
      </c>
      <c r="U113" s="2" t="s">
        <v>1274</v>
      </c>
      <c r="V113" s="2">
        <v>8901595932</v>
      </c>
      <c r="W113" s="2" t="s">
        <v>915</v>
      </c>
      <c r="X113" s="2" t="s">
        <v>809</v>
      </c>
      <c r="Y113" s="2" t="s">
        <v>1184</v>
      </c>
      <c r="Z113" s="2" t="s">
        <v>1185</v>
      </c>
      <c r="AA113" s="2">
        <v>2500</v>
      </c>
      <c r="AB113" s="2">
        <v>200</v>
      </c>
      <c r="AC113" s="2">
        <v>500</v>
      </c>
      <c r="AD113" s="2">
        <v>300</v>
      </c>
      <c r="AE113" s="2">
        <f t="shared" si="9"/>
        <v>2900</v>
      </c>
      <c r="AF113" s="2">
        <v>1000</v>
      </c>
      <c r="AG113" s="4">
        <v>45449</v>
      </c>
      <c r="AH113" s="2">
        <f t="shared" si="10"/>
        <v>1900</v>
      </c>
      <c r="AI113" s="2">
        <v>500</v>
      </c>
      <c r="AJ113" s="4">
        <v>45479</v>
      </c>
      <c r="AK113" s="2">
        <f t="shared" si="11"/>
        <v>1400</v>
      </c>
      <c r="AL113" s="2">
        <v>500</v>
      </c>
      <c r="AM113" s="4">
        <v>45510</v>
      </c>
      <c r="AN113" s="2">
        <f t="shared" si="12"/>
        <v>900</v>
      </c>
      <c r="AO113" s="2" cm="1">
        <f t="array" ref="AO113">_xlfn.IFS(AN113&gt;=5000,3000,AN113&gt;=2000,1000,AN113&gt;=500,500,AN113&lt;500,AN113)</f>
        <v>500</v>
      </c>
      <c r="AP113" s="4">
        <v>45541</v>
      </c>
      <c r="AQ113" s="2">
        <f t="shared" si="13"/>
        <v>400</v>
      </c>
      <c r="AR113" s="2">
        <v>400</v>
      </c>
      <c r="AS113" s="4">
        <v>45571</v>
      </c>
      <c r="AT113" s="2">
        <f t="shared" si="14"/>
        <v>0</v>
      </c>
      <c r="AU113" s="2" t="s">
        <v>1200</v>
      </c>
      <c r="AV113" s="4" t="s">
        <v>1200</v>
      </c>
      <c r="AW113" s="2" t="s">
        <v>1200</v>
      </c>
      <c r="AX113" s="2">
        <f t="shared" si="15"/>
        <v>2900</v>
      </c>
      <c r="AY113" s="2">
        <f t="shared" si="16"/>
        <v>0</v>
      </c>
      <c r="AZ113" s="2" t="str">
        <f t="shared" si="17"/>
        <v>Paid</v>
      </c>
      <c r="BA113" s="9" t="str" cm="1">
        <f t="array" ref="BA113">_xlfn.IFS(AZ113="Paid","R",AZ113="Unpaid","Q")</f>
        <v>R</v>
      </c>
      <c r="BB113" s="8" t="s">
        <v>2815</v>
      </c>
    </row>
    <row r="114" spans="1:54" x14ac:dyDescent="0.25">
      <c r="A114" s="2">
        <v>113</v>
      </c>
      <c r="B114" s="2">
        <v>113</v>
      </c>
      <c r="C114" s="2" t="s">
        <v>248</v>
      </c>
      <c r="D114" s="2" t="s">
        <v>1772</v>
      </c>
      <c r="E114" s="2" t="s">
        <v>249</v>
      </c>
      <c r="F114" s="4">
        <v>45439</v>
      </c>
      <c r="G114" s="8" t="s">
        <v>35</v>
      </c>
      <c r="H114" s="8" t="s">
        <v>1244</v>
      </c>
      <c r="I114" s="2" t="s">
        <v>14</v>
      </c>
      <c r="J114" s="2" t="s">
        <v>15</v>
      </c>
      <c r="K114" s="2" t="s">
        <v>791</v>
      </c>
      <c r="L114" s="2" t="s">
        <v>1256</v>
      </c>
      <c r="M114" s="2" t="s">
        <v>1263</v>
      </c>
      <c r="N114" s="2" t="s">
        <v>2128</v>
      </c>
      <c r="O114" s="4">
        <v>38877</v>
      </c>
      <c r="P114" s="2" t="s">
        <v>2548</v>
      </c>
      <c r="Q114" s="2" t="s">
        <v>2418</v>
      </c>
      <c r="R114" s="2" t="s">
        <v>2393</v>
      </c>
      <c r="S114" s="2" t="s">
        <v>792</v>
      </c>
      <c r="T114" s="2" t="s">
        <v>1400</v>
      </c>
      <c r="U114" s="2" t="s">
        <v>1283</v>
      </c>
      <c r="V114" s="2">
        <v>7178033906</v>
      </c>
      <c r="W114" s="2" t="s">
        <v>916</v>
      </c>
      <c r="X114" s="2" t="s">
        <v>822</v>
      </c>
      <c r="Y114" s="2" t="s">
        <v>1184</v>
      </c>
      <c r="Z114" s="2" t="s">
        <v>1185</v>
      </c>
      <c r="AA114" s="2">
        <v>3000</v>
      </c>
      <c r="AB114" s="2">
        <v>200</v>
      </c>
      <c r="AC114" s="2">
        <v>500</v>
      </c>
      <c r="AD114" s="2">
        <v>200</v>
      </c>
      <c r="AE114" s="2">
        <f t="shared" si="9"/>
        <v>3500</v>
      </c>
      <c r="AF114" s="2">
        <v>1000</v>
      </c>
      <c r="AG114" s="4">
        <v>45449</v>
      </c>
      <c r="AH114" s="2">
        <f t="shared" si="10"/>
        <v>2500</v>
      </c>
      <c r="AI114" s="2">
        <v>1000</v>
      </c>
      <c r="AJ114" s="4">
        <v>45479</v>
      </c>
      <c r="AK114" s="2">
        <f t="shared" si="11"/>
        <v>1500</v>
      </c>
      <c r="AL114" s="2">
        <v>500</v>
      </c>
      <c r="AM114" s="4">
        <v>45510</v>
      </c>
      <c r="AN114" s="2">
        <f t="shared" si="12"/>
        <v>1000</v>
      </c>
      <c r="AO114" s="2" cm="1">
        <f t="array" ref="AO114">_xlfn.IFS(AN114&gt;=5000,3000,AN114&gt;=2000,1000,AN114&gt;=500,500,AN114&lt;500,AN114)</f>
        <v>500</v>
      </c>
      <c r="AP114" s="4">
        <v>45541</v>
      </c>
      <c r="AQ114" s="2">
        <f t="shared" si="13"/>
        <v>500</v>
      </c>
      <c r="AR114" s="2">
        <v>500</v>
      </c>
      <c r="AS114" s="4">
        <v>45571</v>
      </c>
      <c r="AT114" s="2">
        <f t="shared" si="14"/>
        <v>0</v>
      </c>
      <c r="AU114" s="2" t="s">
        <v>1200</v>
      </c>
      <c r="AV114" s="4" t="s">
        <v>1200</v>
      </c>
      <c r="AW114" s="2" t="s">
        <v>1200</v>
      </c>
      <c r="AX114" s="2">
        <f t="shared" si="15"/>
        <v>3500</v>
      </c>
      <c r="AY114" s="2">
        <f t="shared" si="16"/>
        <v>0</v>
      </c>
      <c r="AZ114" s="2" t="str">
        <f t="shared" si="17"/>
        <v>Paid</v>
      </c>
      <c r="BA114" s="9" t="str" cm="1">
        <f t="array" ref="BA114">_xlfn.IFS(AZ114="Paid","R",AZ114="Unpaid","Q")</f>
        <v>R</v>
      </c>
      <c r="BB114" s="8" t="s">
        <v>2815</v>
      </c>
    </row>
    <row r="115" spans="1:54" x14ac:dyDescent="0.25">
      <c r="A115" s="2">
        <v>114</v>
      </c>
      <c r="B115" s="2">
        <v>114</v>
      </c>
      <c r="C115" s="2" t="s">
        <v>250</v>
      </c>
      <c r="D115" s="2" t="s">
        <v>1773</v>
      </c>
      <c r="E115" s="2" t="s">
        <v>251</v>
      </c>
      <c r="F115" s="4">
        <v>45448</v>
      </c>
      <c r="G115" s="8" t="s">
        <v>35</v>
      </c>
      <c r="H115" s="8" t="s">
        <v>1244</v>
      </c>
      <c r="I115" s="2" t="s">
        <v>14</v>
      </c>
      <c r="J115" s="2" t="s">
        <v>15</v>
      </c>
      <c r="K115" s="2" t="s">
        <v>791</v>
      </c>
      <c r="L115" s="2" t="s">
        <v>1258</v>
      </c>
      <c r="M115" s="2" t="s">
        <v>1264</v>
      </c>
      <c r="N115" s="2" t="s">
        <v>2129</v>
      </c>
      <c r="O115" s="4">
        <v>38825</v>
      </c>
      <c r="P115" s="2" t="s">
        <v>2549</v>
      </c>
      <c r="Q115" s="2" t="s">
        <v>2424</v>
      </c>
      <c r="R115" s="2" t="s">
        <v>2396</v>
      </c>
      <c r="S115" s="2" t="s">
        <v>788</v>
      </c>
      <c r="T115" s="2" t="s">
        <v>1401</v>
      </c>
      <c r="U115" s="2" t="s">
        <v>1272</v>
      </c>
      <c r="V115" s="2">
        <v>7751733183</v>
      </c>
      <c r="W115" s="2" t="s">
        <v>917</v>
      </c>
      <c r="X115" s="2" t="s">
        <v>790</v>
      </c>
      <c r="Y115" s="2" t="s">
        <v>1184</v>
      </c>
      <c r="Z115" s="2" t="s">
        <v>1185</v>
      </c>
      <c r="AA115" s="2">
        <v>3000</v>
      </c>
      <c r="AB115" s="2">
        <v>200</v>
      </c>
      <c r="AC115" s="2">
        <v>500</v>
      </c>
      <c r="AD115" s="2">
        <v>0</v>
      </c>
      <c r="AE115" s="2">
        <f t="shared" si="9"/>
        <v>3700</v>
      </c>
      <c r="AF115" s="2">
        <v>1000</v>
      </c>
      <c r="AG115" s="4">
        <v>45458</v>
      </c>
      <c r="AH115" s="2">
        <f t="shared" si="10"/>
        <v>2700</v>
      </c>
      <c r="AI115" s="2">
        <v>1000</v>
      </c>
      <c r="AJ115" s="4">
        <v>45488</v>
      </c>
      <c r="AK115" s="2">
        <f t="shared" si="11"/>
        <v>1700</v>
      </c>
      <c r="AL115" s="2">
        <v>500</v>
      </c>
      <c r="AM115" s="4">
        <v>45519</v>
      </c>
      <c r="AN115" s="2">
        <f t="shared" si="12"/>
        <v>1200</v>
      </c>
      <c r="AO115" s="2" cm="1">
        <f t="array" ref="AO115">_xlfn.IFS(AN115&gt;=5000,3000,AN115&gt;=2000,1000,AN115&gt;=500,500,AN115&lt;500,AN115)</f>
        <v>500</v>
      </c>
      <c r="AP115" s="4">
        <v>45550</v>
      </c>
      <c r="AQ115" s="2">
        <f t="shared" si="13"/>
        <v>700</v>
      </c>
      <c r="AR115" s="2">
        <v>500</v>
      </c>
      <c r="AS115" s="4">
        <v>45580</v>
      </c>
      <c r="AT115" s="2">
        <f t="shared" si="14"/>
        <v>200</v>
      </c>
      <c r="AU115" s="2">
        <v>200</v>
      </c>
      <c r="AV115" s="4">
        <v>45611</v>
      </c>
      <c r="AW115" s="2">
        <v>0</v>
      </c>
      <c r="AX115" s="2">
        <f t="shared" si="15"/>
        <v>3700</v>
      </c>
      <c r="AY115" s="2">
        <f t="shared" si="16"/>
        <v>0</v>
      </c>
      <c r="AZ115" s="2" t="str">
        <f t="shared" si="17"/>
        <v>Paid</v>
      </c>
      <c r="BA115" s="9" t="str" cm="1">
        <f t="array" ref="BA115">_xlfn.IFS(AZ115="Paid","R",AZ115="Unpaid","Q")</f>
        <v>R</v>
      </c>
      <c r="BB115" s="8" t="s">
        <v>2815</v>
      </c>
    </row>
    <row r="116" spans="1:54" x14ac:dyDescent="0.25">
      <c r="A116" s="2">
        <v>115</v>
      </c>
      <c r="B116" s="2">
        <v>115</v>
      </c>
      <c r="C116" s="2" t="s">
        <v>252</v>
      </c>
      <c r="D116" s="2" t="s">
        <v>1774</v>
      </c>
      <c r="E116" s="2" t="s">
        <v>253</v>
      </c>
      <c r="F116" s="4">
        <v>45452</v>
      </c>
      <c r="G116" s="8" t="s">
        <v>21</v>
      </c>
      <c r="H116" s="8" t="s">
        <v>1252</v>
      </c>
      <c r="I116" s="2" t="s">
        <v>14</v>
      </c>
      <c r="J116" s="2" t="s">
        <v>15</v>
      </c>
      <c r="K116" s="2" t="s">
        <v>791</v>
      </c>
      <c r="L116" s="2" t="s">
        <v>1258</v>
      </c>
      <c r="M116" s="2" t="s">
        <v>1264</v>
      </c>
      <c r="N116" s="2" t="s">
        <v>2130</v>
      </c>
      <c r="O116" s="4">
        <v>34248</v>
      </c>
      <c r="P116" s="2" t="s">
        <v>2550</v>
      </c>
      <c r="Q116" s="2" t="s">
        <v>2426</v>
      </c>
      <c r="R116" s="2" t="s">
        <v>2393</v>
      </c>
      <c r="S116" s="2" t="s">
        <v>788</v>
      </c>
      <c r="T116" s="2" t="s">
        <v>1402</v>
      </c>
      <c r="U116" s="2" t="s">
        <v>1274</v>
      </c>
      <c r="V116" s="2">
        <v>8911665420</v>
      </c>
      <c r="W116" s="2" t="s">
        <v>918</v>
      </c>
      <c r="X116" s="2" t="s">
        <v>809</v>
      </c>
      <c r="Y116" s="2" t="s">
        <v>1184</v>
      </c>
      <c r="Z116" s="2" t="s">
        <v>1185</v>
      </c>
      <c r="AA116" s="2">
        <v>3000</v>
      </c>
      <c r="AB116" s="2">
        <v>200</v>
      </c>
      <c r="AC116" s="2">
        <v>300</v>
      </c>
      <c r="AD116" s="2">
        <v>200</v>
      </c>
      <c r="AE116" s="2">
        <f t="shared" si="9"/>
        <v>3300</v>
      </c>
      <c r="AF116" s="2">
        <v>1000</v>
      </c>
      <c r="AG116" s="4">
        <v>45462</v>
      </c>
      <c r="AH116" s="2">
        <f t="shared" si="10"/>
        <v>2300</v>
      </c>
      <c r="AI116" s="2">
        <v>1000</v>
      </c>
      <c r="AJ116" s="4">
        <v>45492</v>
      </c>
      <c r="AK116" s="2">
        <f t="shared" si="11"/>
        <v>1300</v>
      </c>
      <c r="AL116" s="2">
        <v>500</v>
      </c>
      <c r="AM116" s="4">
        <v>45523</v>
      </c>
      <c r="AN116" s="2">
        <f t="shared" si="12"/>
        <v>800</v>
      </c>
      <c r="AO116" s="2" cm="1">
        <f t="array" ref="AO116">_xlfn.IFS(AN116&gt;=5000,3000,AN116&gt;=2000,1000,AN116&gt;=500,500,AN116&lt;500,AN116)</f>
        <v>500</v>
      </c>
      <c r="AP116" s="4">
        <v>45554</v>
      </c>
      <c r="AQ116" s="2">
        <f t="shared" si="13"/>
        <v>300</v>
      </c>
      <c r="AR116" s="2">
        <v>300</v>
      </c>
      <c r="AS116" s="4">
        <v>45584</v>
      </c>
      <c r="AT116" s="2">
        <f t="shared" si="14"/>
        <v>0</v>
      </c>
      <c r="AU116" s="2" t="s">
        <v>1200</v>
      </c>
      <c r="AV116" s="4" t="s">
        <v>1200</v>
      </c>
      <c r="AW116" s="2" t="s">
        <v>1200</v>
      </c>
      <c r="AX116" s="2">
        <f t="shared" si="15"/>
        <v>3300</v>
      </c>
      <c r="AY116" s="2">
        <f t="shared" si="16"/>
        <v>0</v>
      </c>
      <c r="AZ116" s="2" t="str">
        <f t="shared" si="17"/>
        <v>Paid</v>
      </c>
      <c r="BA116" s="9" t="str" cm="1">
        <f t="array" ref="BA116">_xlfn.IFS(AZ116="Paid","R",AZ116="Unpaid","Q")</f>
        <v>R</v>
      </c>
      <c r="BB116" s="8" t="s">
        <v>2815</v>
      </c>
    </row>
    <row r="117" spans="1:54" x14ac:dyDescent="0.25">
      <c r="A117" s="2">
        <v>116</v>
      </c>
      <c r="B117" s="2">
        <v>116</v>
      </c>
      <c r="C117" s="2" t="s">
        <v>254</v>
      </c>
      <c r="D117" s="2" t="s">
        <v>1775</v>
      </c>
      <c r="E117" s="2" t="s">
        <v>255</v>
      </c>
      <c r="F117" s="4">
        <v>45455</v>
      </c>
      <c r="G117" s="8" t="s">
        <v>65</v>
      </c>
      <c r="H117" s="8" t="s">
        <v>65</v>
      </c>
      <c r="I117" s="2" t="s">
        <v>14</v>
      </c>
      <c r="J117" s="2" t="s">
        <v>15</v>
      </c>
      <c r="K117" s="2" t="s">
        <v>791</v>
      </c>
      <c r="L117" s="2" t="s">
        <v>1259</v>
      </c>
      <c r="M117" s="2" t="s">
        <v>1262</v>
      </c>
      <c r="N117" s="2" t="s">
        <v>2131</v>
      </c>
      <c r="O117" s="4">
        <v>34131</v>
      </c>
      <c r="P117" s="2" t="s">
        <v>2551</v>
      </c>
      <c r="Q117" s="2" t="s">
        <v>2432</v>
      </c>
      <c r="R117" s="2" t="s">
        <v>2393</v>
      </c>
      <c r="S117" s="2" t="s">
        <v>788</v>
      </c>
      <c r="T117" s="2" t="s">
        <v>1403</v>
      </c>
      <c r="U117" s="2" t="s">
        <v>1282</v>
      </c>
      <c r="V117" s="2">
        <v>6400811024</v>
      </c>
      <c r="W117" s="2" t="s">
        <v>919</v>
      </c>
      <c r="X117" s="2" t="s">
        <v>801</v>
      </c>
      <c r="Y117" s="2" t="s">
        <v>1184</v>
      </c>
      <c r="Z117" s="2" t="s">
        <v>1185</v>
      </c>
      <c r="AA117" s="2">
        <v>2500</v>
      </c>
      <c r="AB117" s="2">
        <v>200</v>
      </c>
      <c r="AC117" s="2">
        <v>500</v>
      </c>
      <c r="AD117" s="2">
        <v>500</v>
      </c>
      <c r="AE117" s="2">
        <f t="shared" si="9"/>
        <v>2700</v>
      </c>
      <c r="AF117" s="2">
        <v>1000</v>
      </c>
      <c r="AG117" s="4">
        <v>45465</v>
      </c>
      <c r="AH117" s="2">
        <f t="shared" si="10"/>
        <v>1700</v>
      </c>
      <c r="AI117" s="2">
        <v>500</v>
      </c>
      <c r="AJ117" s="4">
        <v>45495</v>
      </c>
      <c r="AK117" s="2">
        <f t="shared" si="11"/>
        <v>1200</v>
      </c>
      <c r="AL117" s="2">
        <v>500</v>
      </c>
      <c r="AM117" s="4">
        <v>45526</v>
      </c>
      <c r="AN117" s="2">
        <f t="shared" si="12"/>
        <v>700</v>
      </c>
      <c r="AO117" s="2" cm="1">
        <f t="array" ref="AO117">_xlfn.IFS(AN117&gt;=5000,3000,AN117&gt;=2000,1000,AN117&gt;=500,500,AN117&lt;500,AN117)</f>
        <v>500</v>
      </c>
      <c r="AP117" s="4">
        <v>45557</v>
      </c>
      <c r="AQ117" s="2">
        <f t="shared" si="13"/>
        <v>200</v>
      </c>
      <c r="AR117" s="2">
        <v>200</v>
      </c>
      <c r="AS117" s="4">
        <v>45587</v>
      </c>
      <c r="AT117" s="2">
        <f t="shared" si="14"/>
        <v>0</v>
      </c>
      <c r="AU117" s="2" t="s">
        <v>1200</v>
      </c>
      <c r="AV117" s="4" t="s">
        <v>1200</v>
      </c>
      <c r="AW117" s="2" t="s">
        <v>1200</v>
      </c>
      <c r="AX117" s="2">
        <f t="shared" si="15"/>
        <v>2700</v>
      </c>
      <c r="AY117" s="2">
        <f t="shared" si="16"/>
        <v>0</v>
      </c>
      <c r="AZ117" s="2" t="str">
        <f t="shared" si="17"/>
        <v>Paid</v>
      </c>
      <c r="BA117" s="9" t="str" cm="1">
        <f t="array" ref="BA117">_xlfn.IFS(AZ117="Paid","R",AZ117="Unpaid","Q")</f>
        <v>R</v>
      </c>
      <c r="BB117" s="8" t="s">
        <v>2815</v>
      </c>
    </row>
    <row r="118" spans="1:54" x14ac:dyDescent="0.25">
      <c r="A118" s="2">
        <v>117</v>
      </c>
      <c r="B118" s="2">
        <v>117</v>
      </c>
      <c r="C118" s="2" t="s">
        <v>256</v>
      </c>
      <c r="D118" s="2" t="s">
        <v>1776</v>
      </c>
      <c r="E118" s="2" t="s">
        <v>257</v>
      </c>
      <c r="F118" s="4">
        <v>45457</v>
      </c>
      <c r="G118" s="8" t="s">
        <v>65</v>
      </c>
      <c r="H118" s="8" t="s">
        <v>65</v>
      </c>
      <c r="I118" s="2" t="s">
        <v>14</v>
      </c>
      <c r="J118" s="2" t="s">
        <v>15</v>
      </c>
      <c r="K118" s="2" t="s">
        <v>791</v>
      </c>
      <c r="L118" s="2" t="s">
        <v>1259</v>
      </c>
      <c r="M118" s="2" t="s">
        <v>1262</v>
      </c>
      <c r="N118" s="2" t="s">
        <v>2132</v>
      </c>
      <c r="O118" s="4">
        <v>36630</v>
      </c>
      <c r="P118" s="2" t="s">
        <v>2552</v>
      </c>
      <c r="Q118" s="2" t="s">
        <v>2472</v>
      </c>
      <c r="R118" s="2" t="s">
        <v>2393</v>
      </c>
      <c r="S118" s="2" t="s">
        <v>820</v>
      </c>
      <c r="T118" s="2" t="s">
        <v>1404</v>
      </c>
      <c r="U118" s="2" t="s">
        <v>1268</v>
      </c>
      <c r="V118" s="2">
        <v>9104235508</v>
      </c>
      <c r="W118" s="2" t="s">
        <v>920</v>
      </c>
      <c r="X118" s="2" t="s">
        <v>837</v>
      </c>
      <c r="Y118" s="2" t="s">
        <v>1184</v>
      </c>
      <c r="Z118" s="2" t="s">
        <v>1185</v>
      </c>
      <c r="AA118" s="2">
        <v>2500</v>
      </c>
      <c r="AB118" s="2">
        <v>200</v>
      </c>
      <c r="AC118" s="2">
        <v>500</v>
      </c>
      <c r="AD118" s="2">
        <v>0</v>
      </c>
      <c r="AE118" s="2">
        <f t="shared" si="9"/>
        <v>3200</v>
      </c>
      <c r="AF118" s="2">
        <v>1000</v>
      </c>
      <c r="AG118" s="4">
        <v>45467</v>
      </c>
      <c r="AH118" s="2">
        <f t="shared" si="10"/>
        <v>2200</v>
      </c>
      <c r="AI118" s="2">
        <v>1000</v>
      </c>
      <c r="AJ118" s="4">
        <v>45497</v>
      </c>
      <c r="AK118" s="2">
        <f t="shared" si="11"/>
        <v>1200</v>
      </c>
      <c r="AL118" s="2">
        <v>500</v>
      </c>
      <c r="AM118" s="4">
        <v>45528</v>
      </c>
      <c r="AN118" s="2">
        <f t="shared" si="12"/>
        <v>700</v>
      </c>
      <c r="AO118" s="2" cm="1">
        <f t="array" ref="AO118">_xlfn.IFS(AN118&gt;=5000,3000,AN118&gt;=2000,1000,AN118&gt;=500,500,AN118&lt;500,AN118)</f>
        <v>500</v>
      </c>
      <c r="AP118" s="4">
        <v>45559</v>
      </c>
      <c r="AQ118" s="2">
        <f t="shared" si="13"/>
        <v>200</v>
      </c>
      <c r="AR118" s="2">
        <v>200</v>
      </c>
      <c r="AS118" s="4">
        <v>45589</v>
      </c>
      <c r="AT118" s="2">
        <f t="shared" si="14"/>
        <v>0</v>
      </c>
      <c r="AU118" s="2" t="s">
        <v>1200</v>
      </c>
      <c r="AV118" s="4" t="s">
        <v>1200</v>
      </c>
      <c r="AW118" s="2" t="s">
        <v>1200</v>
      </c>
      <c r="AX118" s="2">
        <f t="shared" si="15"/>
        <v>3200</v>
      </c>
      <c r="AY118" s="2">
        <f t="shared" si="16"/>
        <v>0</v>
      </c>
      <c r="AZ118" s="2" t="str">
        <f t="shared" si="17"/>
        <v>Paid</v>
      </c>
      <c r="BA118" s="9" t="str" cm="1">
        <f t="array" ref="BA118">_xlfn.IFS(AZ118="Paid","R",AZ118="Unpaid","Q")</f>
        <v>R</v>
      </c>
      <c r="BB118" s="8" t="s">
        <v>2815</v>
      </c>
    </row>
    <row r="119" spans="1:54" x14ac:dyDescent="0.25">
      <c r="A119" s="2">
        <v>118</v>
      </c>
      <c r="B119" s="2">
        <v>118</v>
      </c>
      <c r="C119" s="2" t="s">
        <v>258</v>
      </c>
      <c r="D119" s="2" t="s">
        <v>1777</v>
      </c>
      <c r="E119" s="2" t="s">
        <v>259</v>
      </c>
      <c r="F119" s="4">
        <v>45458</v>
      </c>
      <c r="G119" s="8" t="s">
        <v>65</v>
      </c>
      <c r="H119" s="8" t="s">
        <v>65</v>
      </c>
      <c r="I119" s="2" t="s">
        <v>14</v>
      </c>
      <c r="J119" s="2" t="s">
        <v>15</v>
      </c>
      <c r="K119" s="2" t="s">
        <v>791</v>
      </c>
      <c r="L119" s="2" t="s">
        <v>1260</v>
      </c>
      <c r="M119" s="2" t="s">
        <v>1261</v>
      </c>
      <c r="N119" s="2" t="s">
        <v>2133</v>
      </c>
      <c r="O119" s="4">
        <v>39381</v>
      </c>
      <c r="P119" s="2" t="s">
        <v>2553</v>
      </c>
      <c r="Q119" s="2" t="s">
        <v>2407</v>
      </c>
      <c r="R119" s="2" t="s">
        <v>2396</v>
      </c>
      <c r="S119" s="2" t="s">
        <v>820</v>
      </c>
      <c r="T119" s="2" t="s">
        <v>1405</v>
      </c>
      <c r="U119" s="2" t="s">
        <v>1283</v>
      </c>
      <c r="V119" s="2">
        <v>8613712535</v>
      </c>
      <c r="W119" s="2" t="s">
        <v>921</v>
      </c>
      <c r="X119" s="2" t="s">
        <v>813</v>
      </c>
      <c r="Y119" s="2" t="s">
        <v>1184</v>
      </c>
      <c r="Z119" s="2" t="s">
        <v>1185</v>
      </c>
      <c r="AA119" s="2">
        <v>2500</v>
      </c>
      <c r="AB119" s="2">
        <v>200</v>
      </c>
      <c r="AC119" s="2">
        <v>500</v>
      </c>
      <c r="AD119" s="2">
        <v>300</v>
      </c>
      <c r="AE119" s="2">
        <f t="shared" si="9"/>
        <v>2900</v>
      </c>
      <c r="AF119" s="2">
        <v>1000</v>
      </c>
      <c r="AG119" s="4">
        <v>45468</v>
      </c>
      <c r="AH119" s="2">
        <f t="shared" si="10"/>
        <v>1900</v>
      </c>
      <c r="AI119" s="2">
        <v>500</v>
      </c>
      <c r="AJ119" s="4">
        <v>45498</v>
      </c>
      <c r="AK119" s="2">
        <f t="shared" si="11"/>
        <v>1400</v>
      </c>
      <c r="AL119" s="2">
        <v>500</v>
      </c>
      <c r="AM119" s="4">
        <v>45529</v>
      </c>
      <c r="AN119" s="2">
        <f t="shared" si="12"/>
        <v>900</v>
      </c>
      <c r="AO119" s="2" cm="1">
        <f t="array" ref="AO119">_xlfn.IFS(AN119&gt;=5000,3000,AN119&gt;=2000,1000,AN119&gt;=500,500,AN119&lt;500,AN119)</f>
        <v>500</v>
      </c>
      <c r="AP119" s="4">
        <v>45560</v>
      </c>
      <c r="AQ119" s="2">
        <f t="shared" si="13"/>
        <v>400</v>
      </c>
      <c r="AR119" s="2">
        <v>400</v>
      </c>
      <c r="AS119" s="4">
        <v>45590</v>
      </c>
      <c r="AT119" s="2">
        <f t="shared" si="14"/>
        <v>0</v>
      </c>
      <c r="AU119" s="2" t="s">
        <v>1200</v>
      </c>
      <c r="AV119" s="4" t="s">
        <v>1200</v>
      </c>
      <c r="AW119" s="2" t="s">
        <v>1200</v>
      </c>
      <c r="AX119" s="2">
        <f t="shared" si="15"/>
        <v>2900</v>
      </c>
      <c r="AY119" s="2">
        <f t="shared" si="16"/>
        <v>0</v>
      </c>
      <c r="AZ119" s="2" t="str">
        <f t="shared" si="17"/>
        <v>Paid</v>
      </c>
      <c r="BA119" s="9" t="str" cm="1">
        <f t="array" ref="BA119">_xlfn.IFS(AZ119="Paid","R",AZ119="Unpaid","Q")</f>
        <v>R</v>
      </c>
      <c r="BB119" s="8" t="s">
        <v>2815</v>
      </c>
    </row>
    <row r="120" spans="1:54" x14ac:dyDescent="0.25">
      <c r="A120" s="2">
        <v>119</v>
      </c>
      <c r="B120" s="2">
        <v>119</v>
      </c>
      <c r="C120" s="2" t="s">
        <v>260</v>
      </c>
      <c r="D120" s="2" t="s">
        <v>1778</v>
      </c>
      <c r="E120" s="2" t="s">
        <v>261</v>
      </c>
      <c r="F120" s="4">
        <v>45459</v>
      </c>
      <c r="G120" s="8" t="s">
        <v>35</v>
      </c>
      <c r="H120" s="8" t="s">
        <v>1244</v>
      </c>
      <c r="I120" s="2" t="s">
        <v>14</v>
      </c>
      <c r="J120" s="2" t="s">
        <v>15</v>
      </c>
      <c r="K120" s="2" t="s">
        <v>791</v>
      </c>
      <c r="L120" s="2" t="s">
        <v>1257</v>
      </c>
      <c r="M120" s="2" t="s">
        <v>1261</v>
      </c>
      <c r="N120" s="2" t="s">
        <v>2134</v>
      </c>
      <c r="O120" s="4">
        <v>33769</v>
      </c>
      <c r="P120" s="2" t="s">
        <v>2554</v>
      </c>
      <c r="Q120" s="2" t="s">
        <v>2485</v>
      </c>
      <c r="R120" s="2" t="s">
        <v>2393</v>
      </c>
      <c r="S120" s="2" t="s">
        <v>788</v>
      </c>
      <c r="T120" s="2" t="s">
        <v>1406</v>
      </c>
      <c r="U120" s="2" t="s">
        <v>1280</v>
      </c>
      <c r="V120" s="2">
        <v>7541042494</v>
      </c>
      <c r="W120" s="2" t="s">
        <v>922</v>
      </c>
      <c r="X120" s="2" t="s">
        <v>1183</v>
      </c>
      <c r="Y120" s="2" t="s">
        <v>1184</v>
      </c>
      <c r="Z120" s="2" t="s">
        <v>1185</v>
      </c>
      <c r="AA120" s="2">
        <v>3000</v>
      </c>
      <c r="AB120" s="2">
        <v>200</v>
      </c>
      <c r="AC120" s="2">
        <v>500</v>
      </c>
      <c r="AD120" s="2">
        <v>0</v>
      </c>
      <c r="AE120" s="2">
        <f t="shared" si="9"/>
        <v>3700</v>
      </c>
      <c r="AF120" s="2">
        <v>1000</v>
      </c>
      <c r="AG120" s="4">
        <v>45469</v>
      </c>
      <c r="AH120" s="2">
        <f t="shared" si="10"/>
        <v>2700</v>
      </c>
      <c r="AI120" s="2">
        <v>1000</v>
      </c>
      <c r="AJ120" s="4">
        <v>45499</v>
      </c>
      <c r="AK120" s="2">
        <f t="shared" si="11"/>
        <v>1700</v>
      </c>
      <c r="AL120" s="2">
        <v>500</v>
      </c>
      <c r="AM120" s="4">
        <v>45530</v>
      </c>
      <c r="AN120" s="2">
        <f t="shared" si="12"/>
        <v>1200</v>
      </c>
      <c r="AO120" s="2" cm="1">
        <f t="array" ref="AO120">_xlfn.IFS(AN120&gt;=5000,3000,AN120&gt;=2000,1000,AN120&gt;=500,500,AN120&lt;500,AN120)</f>
        <v>500</v>
      </c>
      <c r="AP120" s="4">
        <v>45561</v>
      </c>
      <c r="AQ120" s="2">
        <f t="shared" si="13"/>
        <v>700</v>
      </c>
      <c r="AR120" s="2">
        <v>500</v>
      </c>
      <c r="AS120" s="4">
        <v>45591</v>
      </c>
      <c r="AT120" s="2">
        <f t="shared" si="14"/>
        <v>200</v>
      </c>
      <c r="AU120" s="2">
        <v>200</v>
      </c>
      <c r="AV120" s="4">
        <v>45622</v>
      </c>
      <c r="AW120" s="2">
        <v>0</v>
      </c>
      <c r="AX120" s="2">
        <f t="shared" si="15"/>
        <v>3700</v>
      </c>
      <c r="AY120" s="2">
        <f t="shared" si="16"/>
        <v>0</v>
      </c>
      <c r="AZ120" s="2" t="str">
        <f t="shared" si="17"/>
        <v>Paid</v>
      </c>
      <c r="BA120" s="9" t="str" cm="1">
        <f t="array" ref="BA120">_xlfn.IFS(AZ120="Paid","R",AZ120="Unpaid","Q")</f>
        <v>R</v>
      </c>
      <c r="BB120" s="8" t="s">
        <v>2815</v>
      </c>
    </row>
    <row r="121" spans="1:54" x14ac:dyDescent="0.25">
      <c r="A121" s="2">
        <v>120</v>
      </c>
      <c r="B121" s="2">
        <v>120</v>
      </c>
      <c r="C121" s="2" t="s">
        <v>262</v>
      </c>
      <c r="D121" s="2" t="s">
        <v>1779</v>
      </c>
      <c r="E121" s="2" t="s">
        <v>263</v>
      </c>
      <c r="F121" s="4">
        <v>45459</v>
      </c>
      <c r="G121" s="8" t="s">
        <v>48</v>
      </c>
      <c r="H121" s="8" t="s">
        <v>1251</v>
      </c>
      <c r="I121" s="2" t="s">
        <v>14</v>
      </c>
      <c r="J121" s="2" t="s">
        <v>15</v>
      </c>
      <c r="K121" s="2" t="s">
        <v>791</v>
      </c>
      <c r="L121" s="2" t="s">
        <v>1257</v>
      </c>
      <c r="M121" s="2" t="s">
        <v>1261</v>
      </c>
      <c r="N121" s="2" t="s">
        <v>2135</v>
      </c>
      <c r="O121" s="4">
        <v>39612</v>
      </c>
      <c r="P121" s="2" t="s">
        <v>2555</v>
      </c>
      <c r="Q121" s="2" t="s">
        <v>2556</v>
      </c>
      <c r="R121" s="2" t="s">
        <v>2396</v>
      </c>
      <c r="S121" s="2" t="s">
        <v>796</v>
      </c>
      <c r="T121" s="2" t="s">
        <v>1407</v>
      </c>
      <c r="U121" s="2" t="s">
        <v>1282</v>
      </c>
      <c r="V121" s="2">
        <v>8296279484</v>
      </c>
      <c r="W121" s="2" t="s">
        <v>923</v>
      </c>
      <c r="X121" s="2" t="s">
        <v>822</v>
      </c>
      <c r="Y121" s="2" t="s">
        <v>1184</v>
      </c>
      <c r="Z121" s="2" t="s">
        <v>1185</v>
      </c>
      <c r="AA121" s="2">
        <v>3000</v>
      </c>
      <c r="AB121" s="2">
        <v>200</v>
      </c>
      <c r="AC121" s="2">
        <v>500</v>
      </c>
      <c r="AD121" s="2">
        <v>300</v>
      </c>
      <c r="AE121" s="2">
        <f t="shared" si="9"/>
        <v>3400</v>
      </c>
      <c r="AF121" s="2">
        <v>1000</v>
      </c>
      <c r="AG121" s="4">
        <v>45469</v>
      </c>
      <c r="AH121" s="2">
        <f t="shared" si="10"/>
        <v>2400</v>
      </c>
      <c r="AI121" s="2">
        <v>1000</v>
      </c>
      <c r="AJ121" s="4">
        <v>45499</v>
      </c>
      <c r="AK121" s="2">
        <f t="shared" si="11"/>
        <v>1400</v>
      </c>
      <c r="AL121" s="2">
        <v>500</v>
      </c>
      <c r="AM121" s="4">
        <v>45530</v>
      </c>
      <c r="AN121" s="2">
        <f t="shared" si="12"/>
        <v>900</v>
      </c>
      <c r="AO121" s="2" cm="1">
        <f t="array" ref="AO121">_xlfn.IFS(AN121&gt;=5000,3000,AN121&gt;=2000,1000,AN121&gt;=500,500,AN121&lt;500,AN121)</f>
        <v>500</v>
      </c>
      <c r="AP121" s="4">
        <v>45561</v>
      </c>
      <c r="AQ121" s="2">
        <f t="shared" si="13"/>
        <v>400</v>
      </c>
      <c r="AR121" s="2">
        <v>400</v>
      </c>
      <c r="AS121" s="4">
        <v>45591</v>
      </c>
      <c r="AT121" s="2">
        <f t="shared" si="14"/>
        <v>0</v>
      </c>
      <c r="AU121" s="2" t="s">
        <v>1200</v>
      </c>
      <c r="AV121" s="4" t="s">
        <v>1200</v>
      </c>
      <c r="AW121" s="2" t="s">
        <v>1200</v>
      </c>
      <c r="AX121" s="2">
        <f t="shared" si="15"/>
        <v>3400</v>
      </c>
      <c r="AY121" s="2">
        <f t="shared" si="16"/>
        <v>0</v>
      </c>
      <c r="AZ121" s="2" t="str">
        <f t="shared" si="17"/>
        <v>Paid</v>
      </c>
      <c r="BA121" s="9" t="str" cm="1">
        <f t="array" ref="BA121">_xlfn.IFS(AZ121="Paid","R",AZ121="Unpaid","Q")</f>
        <v>R</v>
      </c>
      <c r="BB121" s="8" t="s">
        <v>2815</v>
      </c>
    </row>
    <row r="122" spans="1:54" x14ac:dyDescent="0.25">
      <c r="A122" s="2">
        <v>121</v>
      </c>
      <c r="B122" s="2">
        <v>121</v>
      </c>
      <c r="C122" s="2" t="s">
        <v>264</v>
      </c>
      <c r="D122" s="2" t="s">
        <v>1780</v>
      </c>
      <c r="E122" s="2" t="s">
        <v>265</v>
      </c>
      <c r="F122" s="4">
        <v>45461</v>
      </c>
      <c r="G122" s="8" t="s">
        <v>29</v>
      </c>
      <c r="H122" s="8" t="s">
        <v>1248</v>
      </c>
      <c r="I122" s="2" t="s">
        <v>14</v>
      </c>
      <c r="J122" s="2" t="s">
        <v>15</v>
      </c>
      <c r="K122" s="2" t="s">
        <v>791</v>
      </c>
      <c r="L122" s="2" t="s">
        <v>1259</v>
      </c>
      <c r="M122" s="2" t="s">
        <v>1262</v>
      </c>
      <c r="N122" s="2" t="s">
        <v>2136</v>
      </c>
      <c r="O122" s="4">
        <v>36763</v>
      </c>
      <c r="P122" s="2" t="s">
        <v>2557</v>
      </c>
      <c r="Q122" s="2" t="s">
        <v>2558</v>
      </c>
      <c r="R122" s="2" t="s">
        <v>2393</v>
      </c>
      <c r="S122" s="2" t="s">
        <v>820</v>
      </c>
      <c r="T122" s="2" t="s">
        <v>1408</v>
      </c>
      <c r="U122" s="2" t="s">
        <v>1271</v>
      </c>
      <c r="V122" s="2">
        <v>9903384681</v>
      </c>
      <c r="W122" s="2" t="s">
        <v>924</v>
      </c>
      <c r="X122" s="2" t="s">
        <v>1183</v>
      </c>
      <c r="Y122" s="2" t="s">
        <v>1184</v>
      </c>
      <c r="Z122" s="2" t="s">
        <v>1185</v>
      </c>
      <c r="AA122" s="2">
        <v>2500</v>
      </c>
      <c r="AB122" s="2">
        <v>200</v>
      </c>
      <c r="AC122" s="2">
        <v>400</v>
      </c>
      <c r="AD122" s="2">
        <v>0</v>
      </c>
      <c r="AE122" s="2">
        <f t="shared" si="9"/>
        <v>3100</v>
      </c>
      <c r="AF122" s="2">
        <v>1000</v>
      </c>
      <c r="AG122" s="4">
        <v>45471</v>
      </c>
      <c r="AH122" s="2">
        <f t="shared" si="10"/>
        <v>2100</v>
      </c>
      <c r="AI122" s="2">
        <v>1000</v>
      </c>
      <c r="AJ122" s="4">
        <v>45501</v>
      </c>
      <c r="AK122" s="2">
        <f t="shared" si="11"/>
        <v>1100</v>
      </c>
      <c r="AL122" s="2">
        <v>500</v>
      </c>
      <c r="AM122" s="4">
        <v>45532</v>
      </c>
      <c r="AN122" s="2">
        <f t="shared" si="12"/>
        <v>600</v>
      </c>
      <c r="AO122" s="2" cm="1">
        <f t="array" ref="AO122">_xlfn.IFS(AN122&gt;=5000,3000,AN122&gt;=2000,1000,AN122&gt;=500,500,AN122&lt;500,AN122)</f>
        <v>500</v>
      </c>
      <c r="AP122" s="4">
        <v>45563</v>
      </c>
      <c r="AQ122" s="2">
        <f t="shared" si="13"/>
        <v>100</v>
      </c>
      <c r="AR122" s="2">
        <v>100</v>
      </c>
      <c r="AS122" s="4">
        <v>45593</v>
      </c>
      <c r="AT122" s="2">
        <f t="shared" si="14"/>
        <v>0</v>
      </c>
      <c r="AU122" s="2" t="s">
        <v>1200</v>
      </c>
      <c r="AV122" s="4" t="s">
        <v>1200</v>
      </c>
      <c r="AW122" s="2" t="s">
        <v>1200</v>
      </c>
      <c r="AX122" s="2">
        <f t="shared" si="15"/>
        <v>3100</v>
      </c>
      <c r="AY122" s="2">
        <f t="shared" si="16"/>
        <v>0</v>
      </c>
      <c r="AZ122" s="2" t="str">
        <f t="shared" si="17"/>
        <v>Paid</v>
      </c>
      <c r="BA122" s="9" t="str" cm="1">
        <f t="array" ref="BA122">_xlfn.IFS(AZ122="Paid","R",AZ122="Unpaid","Q")</f>
        <v>R</v>
      </c>
      <c r="BB122" s="8" t="s">
        <v>2815</v>
      </c>
    </row>
    <row r="123" spans="1:54" x14ac:dyDescent="0.25">
      <c r="A123" s="2">
        <v>122</v>
      </c>
      <c r="B123" s="2">
        <v>122</v>
      </c>
      <c r="C123" s="2" t="s">
        <v>266</v>
      </c>
      <c r="D123" s="2" t="s">
        <v>1781</v>
      </c>
      <c r="E123" s="2" t="s">
        <v>267</v>
      </c>
      <c r="F123" s="4">
        <v>45462</v>
      </c>
      <c r="G123" s="8" t="s">
        <v>29</v>
      </c>
      <c r="H123" s="8" t="s">
        <v>1248</v>
      </c>
      <c r="I123" s="2" t="s">
        <v>14</v>
      </c>
      <c r="J123" s="2" t="s">
        <v>15</v>
      </c>
      <c r="K123" s="2" t="s">
        <v>791</v>
      </c>
      <c r="L123" s="2" t="s">
        <v>1256</v>
      </c>
      <c r="M123" s="2" t="s">
        <v>1263</v>
      </c>
      <c r="N123" s="2" t="s">
        <v>2137</v>
      </c>
      <c r="O123" s="4">
        <v>38246</v>
      </c>
      <c r="P123" s="2" t="s">
        <v>2559</v>
      </c>
      <c r="Q123" s="2" t="s">
        <v>2560</v>
      </c>
      <c r="R123" s="2" t="s">
        <v>2393</v>
      </c>
      <c r="S123" s="2" t="s">
        <v>788</v>
      </c>
      <c r="T123" s="2" t="s">
        <v>1409</v>
      </c>
      <c r="U123" s="2" t="s">
        <v>1268</v>
      </c>
      <c r="V123" s="2">
        <v>9323758734</v>
      </c>
      <c r="W123" s="2" t="s">
        <v>925</v>
      </c>
      <c r="X123" s="2" t="s">
        <v>809</v>
      </c>
      <c r="Y123" s="2" t="s">
        <v>1184</v>
      </c>
      <c r="Z123" s="2" t="s">
        <v>1185</v>
      </c>
      <c r="AA123" s="2">
        <v>2500</v>
      </c>
      <c r="AB123" s="2">
        <v>200</v>
      </c>
      <c r="AC123" s="2">
        <v>400</v>
      </c>
      <c r="AD123" s="2">
        <v>0</v>
      </c>
      <c r="AE123" s="2">
        <f t="shared" si="9"/>
        <v>3100</v>
      </c>
      <c r="AF123" s="2">
        <v>1000</v>
      </c>
      <c r="AG123" s="4">
        <v>45472</v>
      </c>
      <c r="AH123" s="2">
        <f t="shared" si="10"/>
        <v>2100</v>
      </c>
      <c r="AI123" s="2">
        <v>1000</v>
      </c>
      <c r="AJ123" s="4">
        <v>45502</v>
      </c>
      <c r="AK123" s="2">
        <f t="shared" si="11"/>
        <v>1100</v>
      </c>
      <c r="AL123" s="2">
        <v>500</v>
      </c>
      <c r="AM123" s="4">
        <v>45533</v>
      </c>
      <c r="AN123" s="2">
        <f t="shared" si="12"/>
        <v>600</v>
      </c>
      <c r="AO123" s="2" cm="1">
        <f t="array" ref="AO123">_xlfn.IFS(AN123&gt;=5000,3000,AN123&gt;=2000,1000,AN123&gt;=500,500,AN123&lt;500,AN123)</f>
        <v>500</v>
      </c>
      <c r="AP123" s="4">
        <v>45564</v>
      </c>
      <c r="AQ123" s="2">
        <f t="shared" si="13"/>
        <v>100</v>
      </c>
      <c r="AR123" s="2">
        <v>100</v>
      </c>
      <c r="AS123" s="4">
        <v>45594</v>
      </c>
      <c r="AT123" s="2">
        <f t="shared" si="14"/>
        <v>0</v>
      </c>
      <c r="AU123" s="2" t="s">
        <v>1200</v>
      </c>
      <c r="AV123" s="4" t="s">
        <v>1200</v>
      </c>
      <c r="AW123" s="2" t="s">
        <v>1200</v>
      </c>
      <c r="AX123" s="2">
        <f t="shared" si="15"/>
        <v>3100</v>
      </c>
      <c r="AY123" s="2">
        <f t="shared" si="16"/>
        <v>0</v>
      </c>
      <c r="AZ123" s="2" t="str">
        <f t="shared" si="17"/>
        <v>Paid</v>
      </c>
      <c r="BA123" s="9" t="str" cm="1">
        <f t="array" ref="BA123">_xlfn.IFS(AZ123="Paid","R",AZ123="Unpaid","Q")</f>
        <v>R</v>
      </c>
      <c r="BB123" s="8" t="s">
        <v>2815</v>
      </c>
    </row>
    <row r="124" spans="1:54" x14ac:dyDescent="0.25">
      <c r="A124" s="2">
        <v>123</v>
      </c>
      <c r="B124" s="2">
        <v>123</v>
      </c>
      <c r="C124" s="2" t="s">
        <v>268</v>
      </c>
      <c r="D124" s="2" t="s">
        <v>1782</v>
      </c>
      <c r="E124" s="2" t="s">
        <v>269</v>
      </c>
      <c r="F124" s="4">
        <v>45463</v>
      </c>
      <c r="G124" s="8" t="s">
        <v>29</v>
      </c>
      <c r="H124" s="8" t="s">
        <v>1248</v>
      </c>
      <c r="I124" s="2" t="s">
        <v>14</v>
      </c>
      <c r="J124" s="2" t="s">
        <v>15</v>
      </c>
      <c r="K124" s="2" t="s">
        <v>791</v>
      </c>
      <c r="L124" s="2" t="s">
        <v>1257</v>
      </c>
      <c r="M124" s="2" t="s">
        <v>1261</v>
      </c>
      <c r="N124" s="2" t="s">
        <v>2138</v>
      </c>
      <c r="O124" s="4">
        <v>34767</v>
      </c>
      <c r="P124" s="2" t="s">
        <v>2561</v>
      </c>
      <c r="Q124" s="2" t="s">
        <v>2527</v>
      </c>
      <c r="R124" s="2" t="s">
        <v>2393</v>
      </c>
      <c r="S124" s="2" t="s">
        <v>788</v>
      </c>
      <c r="T124" s="2" t="s">
        <v>1410</v>
      </c>
      <c r="U124" s="2" t="s">
        <v>1268</v>
      </c>
      <c r="V124" s="2">
        <v>8379629419</v>
      </c>
      <c r="W124" s="2" t="s">
        <v>926</v>
      </c>
      <c r="X124" s="2" t="s">
        <v>807</v>
      </c>
      <c r="Y124" s="2" t="s">
        <v>1184</v>
      </c>
      <c r="Z124" s="2" t="s">
        <v>1185</v>
      </c>
      <c r="AA124" s="2">
        <v>2500</v>
      </c>
      <c r="AB124" s="2">
        <v>200</v>
      </c>
      <c r="AC124" s="2">
        <v>400</v>
      </c>
      <c r="AD124" s="2">
        <v>200</v>
      </c>
      <c r="AE124" s="2">
        <f t="shared" si="9"/>
        <v>2900</v>
      </c>
      <c r="AF124" s="2">
        <v>1000</v>
      </c>
      <c r="AG124" s="4">
        <v>45473</v>
      </c>
      <c r="AH124" s="2">
        <f t="shared" si="10"/>
        <v>1900</v>
      </c>
      <c r="AI124" s="2">
        <v>500</v>
      </c>
      <c r="AJ124" s="4">
        <v>45503</v>
      </c>
      <c r="AK124" s="2">
        <f t="shared" si="11"/>
        <v>1400</v>
      </c>
      <c r="AL124" s="2">
        <v>500</v>
      </c>
      <c r="AM124" s="4">
        <v>45534</v>
      </c>
      <c r="AN124" s="2">
        <f t="shared" si="12"/>
        <v>900</v>
      </c>
      <c r="AO124" s="2" cm="1">
        <f t="array" ref="AO124">_xlfn.IFS(AN124&gt;=5000,3000,AN124&gt;=2000,1000,AN124&gt;=500,500,AN124&lt;500,AN124)</f>
        <v>500</v>
      </c>
      <c r="AP124" s="4">
        <v>45565</v>
      </c>
      <c r="AQ124" s="2">
        <f t="shared" si="13"/>
        <v>400</v>
      </c>
      <c r="AR124" s="2">
        <v>400</v>
      </c>
      <c r="AS124" s="4">
        <v>45595</v>
      </c>
      <c r="AT124" s="2">
        <f t="shared" si="14"/>
        <v>0</v>
      </c>
      <c r="AU124" s="2" t="s">
        <v>1200</v>
      </c>
      <c r="AV124" s="4" t="s">
        <v>1200</v>
      </c>
      <c r="AW124" s="2" t="s">
        <v>1200</v>
      </c>
      <c r="AX124" s="2">
        <f t="shared" si="15"/>
        <v>2900</v>
      </c>
      <c r="AY124" s="2">
        <f t="shared" si="16"/>
        <v>0</v>
      </c>
      <c r="AZ124" s="2" t="str">
        <f t="shared" si="17"/>
        <v>Paid</v>
      </c>
      <c r="BA124" s="9" t="str" cm="1">
        <f t="array" ref="BA124">_xlfn.IFS(AZ124="Paid","R",AZ124="Unpaid","Q")</f>
        <v>R</v>
      </c>
      <c r="BB124" s="8" t="s">
        <v>2815</v>
      </c>
    </row>
    <row r="125" spans="1:54" x14ac:dyDescent="0.25">
      <c r="A125" s="2">
        <v>124</v>
      </c>
      <c r="B125" s="2">
        <v>124</v>
      </c>
      <c r="C125" s="2" t="s">
        <v>270</v>
      </c>
      <c r="D125" s="2" t="s">
        <v>1783</v>
      </c>
      <c r="E125" s="2" t="s">
        <v>271</v>
      </c>
      <c r="F125" s="4">
        <v>45464</v>
      </c>
      <c r="G125" s="8" t="s">
        <v>8</v>
      </c>
      <c r="H125" s="8" t="s">
        <v>1242</v>
      </c>
      <c r="I125" s="2" t="s">
        <v>9</v>
      </c>
      <c r="J125" s="2" t="s">
        <v>10</v>
      </c>
      <c r="K125" s="2" t="s">
        <v>787</v>
      </c>
      <c r="L125" s="2" t="s">
        <v>1259</v>
      </c>
      <c r="M125" s="2" t="s">
        <v>1262</v>
      </c>
      <c r="N125" s="2" t="s">
        <v>2139</v>
      </c>
      <c r="O125" s="4">
        <v>35906</v>
      </c>
      <c r="P125" s="2" t="s">
        <v>2562</v>
      </c>
      <c r="Q125" s="2" t="s">
        <v>2556</v>
      </c>
      <c r="R125" s="2" t="s">
        <v>2393</v>
      </c>
      <c r="S125" s="2" t="s">
        <v>820</v>
      </c>
      <c r="T125" s="2" t="s">
        <v>1411</v>
      </c>
      <c r="U125" s="2" t="s">
        <v>1279</v>
      </c>
      <c r="V125" s="2">
        <v>7670015248</v>
      </c>
      <c r="W125" s="2" t="s">
        <v>927</v>
      </c>
      <c r="X125" s="2" t="s">
        <v>1183</v>
      </c>
      <c r="Y125" s="2" t="s">
        <v>1184</v>
      </c>
      <c r="Z125" s="2" t="s">
        <v>1185</v>
      </c>
      <c r="AA125" s="2">
        <v>12500</v>
      </c>
      <c r="AB125" s="2">
        <v>200</v>
      </c>
      <c r="AC125" s="2">
        <v>1200</v>
      </c>
      <c r="AD125" s="2">
        <v>200</v>
      </c>
      <c r="AE125" s="2">
        <f t="shared" si="9"/>
        <v>13700</v>
      </c>
      <c r="AF125" s="2">
        <v>5000</v>
      </c>
      <c r="AG125" s="4">
        <v>45474</v>
      </c>
      <c r="AH125" s="2">
        <f t="shared" si="10"/>
        <v>8700</v>
      </c>
      <c r="AI125" s="2">
        <v>3000</v>
      </c>
      <c r="AJ125" s="4">
        <v>45505</v>
      </c>
      <c r="AK125" s="2">
        <f t="shared" si="11"/>
        <v>5700</v>
      </c>
      <c r="AL125" s="2"/>
      <c r="AM125" s="4">
        <v>45536</v>
      </c>
      <c r="AN125" s="2">
        <f t="shared" si="12"/>
        <v>5700</v>
      </c>
      <c r="AO125" s="2"/>
      <c r="AP125" s="4">
        <v>45566</v>
      </c>
      <c r="AQ125" s="2">
        <f t="shared" si="13"/>
        <v>5700</v>
      </c>
      <c r="AR125" s="2"/>
      <c r="AS125" s="4">
        <v>45597</v>
      </c>
      <c r="AT125" s="2">
        <f t="shared" si="14"/>
        <v>5700</v>
      </c>
      <c r="AU125" s="2"/>
      <c r="AV125" s="4">
        <v>45627</v>
      </c>
      <c r="AW125" s="2">
        <v>0</v>
      </c>
      <c r="AX125" s="2">
        <f t="shared" si="15"/>
        <v>8000</v>
      </c>
      <c r="AY125" s="2">
        <f t="shared" si="16"/>
        <v>5700</v>
      </c>
      <c r="AZ125" s="2" t="str">
        <f t="shared" si="17"/>
        <v>Unpaid</v>
      </c>
      <c r="BA125" s="9" t="str" cm="1">
        <f t="array" ref="BA125">_xlfn.IFS(AZ125="Paid","R",AZ125="Unpaid","Q")</f>
        <v>Q</v>
      </c>
      <c r="BB125" s="8" t="s">
        <v>2816</v>
      </c>
    </row>
    <row r="126" spans="1:54" x14ac:dyDescent="0.25">
      <c r="A126" s="2">
        <v>125</v>
      </c>
      <c r="B126" s="2">
        <v>125</v>
      </c>
      <c r="C126" s="2" t="s">
        <v>272</v>
      </c>
      <c r="D126" s="2" t="s">
        <v>1784</v>
      </c>
      <c r="E126" s="2" t="s">
        <v>273</v>
      </c>
      <c r="F126" s="4">
        <v>45465</v>
      </c>
      <c r="G126" s="8" t="s">
        <v>65</v>
      </c>
      <c r="H126" s="8" t="s">
        <v>65</v>
      </c>
      <c r="I126" s="2" t="s">
        <v>14</v>
      </c>
      <c r="J126" s="2" t="s">
        <v>15</v>
      </c>
      <c r="K126" s="2" t="s">
        <v>791</v>
      </c>
      <c r="L126" s="2" t="s">
        <v>1260</v>
      </c>
      <c r="M126" s="2" t="s">
        <v>1261</v>
      </c>
      <c r="N126" s="2" t="s">
        <v>2140</v>
      </c>
      <c r="O126" s="4">
        <v>37219</v>
      </c>
      <c r="P126" s="2" t="s">
        <v>2563</v>
      </c>
      <c r="Q126" s="2" t="s">
        <v>2564</v>
      </c>
      <c r="R126" s="2" t="s">
        <v>2393</v>
      </c>
      <c r="S126" s="2" t="s">
        <v>788</v>
      </c>
      <c r="T126" s="2" t="s">
        <v>1412</v>
      </c>
      <c r="U126" s="2" t="s">
        <v>1276</v>
      </c>
      <c r="V126" s="2">
        <v>6485576751</v>
      </c>
      <c r="W126" s="2" t="s">
        <v>928</v>
      </c>
      <c r="X126" s="2" t="s">
        <v>798</v>
      </c>
      <c r="Y126" s="2" t="s">
        <v>1184</v>
      </c>
      <c r="Z126" s="2" t="s">
        <v>1185</v>
      </c>
      <c r="AA126" s="2">
        <v>2500</v>
      </c>
      <c r="AB126" s="2">
        <v>200</v>
      </c>
      <c r="AC126" s="2">
        <v>500</v>
      </c>
      <c r="AD126" s="2">
        <v>300</v>
      </c>
      <c r="AE126" s="2">
        <f t="shared" si="9"/>
        <v>2900</v>
      </c>
      <c r="AF126" s="2">
        <v>1000</v>
      </c>
      <c r="AG126" s="4">
        <v>45475</v>
      </c>
      <c r="AH126" s="2">
        <f t="shared" si="10"/>
        <v>1900</v>
      </c>
      <c r="AI126" s="2">
        <v>500</v>
      </c>
      <c r="AJ126" s="4">
        <v>45506</v>
      </c>
      <c r="AK126" s="2">
        <f t="shared" si="11"/>
        <v>1400</v>
      </c>
      <c r="AL126" s="2">
        <v>500</v>
      </c>
      <c r="AM126" s="4">
        <v>45537</v>
      </c>
      <c r="AN126" s="2">
        <f t="shared" si="12"/>
        <v>900</v>
      </c>
      <c r="AO126" s="2" cm="1">
        <f t="array" ref="AO126">_xlfn.IFS(AN126&gt;=5000,3000,AN126&gt;=2000,1000,AN126&gt;=500,500,AN126&lt;500,AN126)</f>
        <v>500</v>
      </c>
      <c r="AP126" s="4">
        <v>45567</v>
      </c>
      <c r="AQ126" s="2">
        <f t="shared" si="13"/>
        <v>400</v>
      </c>
      <c r="AR126" s="2">
        <v>400</v>
      </c>
      <c r="AS126" s="4">
        <v>45598</v>
      </c>
      <c r="AT126" s="2">
        <f t="shared" si="14"/>
        <v>0</v>
      </c>
      <c r="AU126" s="2" t="s">
        <v>1200</v>
      </c>
      <c r="AV126" s="4" t="s">
        <v>1200</v>
      </c>
      <c r="AW126" s="2" t="s">
        <v>1200</v>
      </c>
      <c r="AX126" s="2">
        <f t="shared" si="15"/>
        <v>2900</v>
      </c>
      <c r="AY126" s="2">
        <f t="shared" si="16"/>
        <v>0</v>
      </c>
      <c r="AZ126" s="2" t="str">
        <f t="shared" si="17"/>
        <v>Paid</v>
      </c>
      <c r="BA126" s="9" t="str" cm="1">
        <f t="array" ref="BA126">_xlfn.IFS(AZ126="Paid","R",AZ126="Unpaid","Q")</f>
        <v>R</v>
      </c>
      <c r="BB126" s="8" t="s">
        <v>2815</v>
      </c>
    </row>
    <row r="127" spans="1:54" x14ac:dyDescent="0.25">
      <c r="A127" s="2">
        <v>126</v>
      </c>
      <c r="B127" s="2">
        <v>126</v>
      </c>
      <c r="C127" s="2" t="s">
        <v>274</v>
      </c>
      <c r="D127" s="2" t="s">
        <v>1785</v>
      </c>
      <c r="E127" s="2" t="s">
        <v>275</v>
      </c>
      <c r="F127" s="4">
        <v>45466</v>
      </c>
      <c r="G127" s="8" t="s">
        <v>21</v>
      </c>
      <c r="H127" s="8" t="s">
        <v>1252</v>
      </c>
      <c r="I127" s="2" t="s">
        <v>14</v>
      </c>
      <c r="J127" s="2" t="s">
        <v>15</v>
      </c>
      <c r="K127" s="2" t="s">
        <v>791</v>
      </c>
      <c r="L127" s="2" t="s">
        <v>1257</v>
      </c>
      <c r="M127" s="2" t="s">
        <v>1261</v>
      </c>
      <c r="N127" s="2" t="s">
        <v>2141</v>
      </c>
      <c r="O127" s="4">
        <v>37117</v>
      </c>
      <c r="P127" s="2" t="s">
        <v>2565</v>
      </c>
      <c r="Q127" s="2" t="s">
        <v>2529</v>
      </c>
      <c r="R127" s="2" t="s">
        <v>2393</v>
      </c>
      <c r="S127" s="2" t="s">
        <v>788</v>
      </c>
      <c r="T127" s="2" t="s">
        <v>1413</v>
      </c>
      <c r="U127" s="2" t="s">
        <v>1284</v>
      </c>
      <c r="V127" s="2">
        <v>9993377809</v>
      </c>
      <c r="W127" s="2" t="s">
        <v>929</v>
      </c>
      <c r="X127" s="2" t="s">
        <v>1183</v>
      </c>
      <c r="Y127" s="2" t="s">
        <v>1184</v>
      </c>
      <c r="Z127" s="2" t="s">
        <v>1185</v>
      </c>
      <c r="AA127" s="2">
        <v>3000</v>
      </c>
      <c r="AB127" s="2">
        <v>200</v>
      </c>
      <c r="AC127" s="2">
        <v>300</v>
      </c>
      <c r="AD127" s="2">
        <v>0</v>
      </c>
      <c r="AE127" s="2">
        <f t="shared" si="9"/>
        <v>3500</v>
      </c>
      <c r="AF127" s="2">
        <v>1000</v>
      </c>
      <c r="AG127" s="4">
        <v>45476</v>
      </c>
      <c r="AH127" s="2">
        <f t="shared" si="10"/>
        <v>2500</v>
      </c>
      <c r="AI127" s="2">
        <v>1000</v>
      </c>
      <c r="AJ127" s="4">
        <v>45507</v>
      </c>
      <c r="AK127" s="2">
        <f t="shared" si="11"/>
        <v>1500</v>
      </c>
      <c r="AL127" s="2">
        <v>500</v>
      </c>
      <c r="AM127" s="4">
        <v>45538</v>
      </c>
      <c r="AN127" s="2">
        <f t="shared" si="12"/>
        <v>1000</v>
      </c>
      <c r="AO127" s="2" cm="1">
        <f t="array" ref="AO127">_xlfn.IFS(AN127&gt;=5000,3000,AN127&gt;=2000,1000,AN127&gt;=500,500,AN127&lt;500,AN127)</f>
        <v>500</v>
      </c>
      <c r="AP127" s="4">
        <v>45568</v>
      </c>
      <c r="AQ127" s="2">
        <f t="shared" si="13"/>
        <v>500</v>
      </c>
      <c r="AR127" s="2">
        <v>500</v>
      </c>
      <c r="AS127" s="4">
        <v>45599</v>
      </c>
      <c r="AT127" s="2">
        <f t="shared" si="14"/>
        <v>0</v>
      </c>
      <c r="AU127" s="2" t="s">
        <v>1200</v>
      </c>
      <c r="AV127" s="4" t="s">
        <v>1200</v>
      </c>
      <c r="AW127" s="2" t="s">
        <v>1200</v>
      </c>
      <c r="AX127" s="2">
        <f t="shared" si="15"/>
        <v>3500</v>
      </c>
      <c r="AY127" s="2">
        <f t="shared" si="16"/>
        <v>0</v>
      </c>
      <c r="AZ127" s="2" t="str">
        <f t="shared" si="17"/>
        <v>Paid</v>
      </c>
      <c r="BA127" s="9" t="str" cm="1">
        <f t="array" ref="BA127">_xlfn.IFS(AZ127="Paid","R",AZ127="Unpaid","Q")</f>
        <v>R</v>
      </c>
      <c r="BB127" s="8" t="s">
        <v>2815</v>
      </c>
    </row>
    <row r="128" spans="1:54" x14ac:dyDescent="0.25">
      <c r="A128" s="2">
        <v>127</v>
      </c>
      <c r="B128" s="2">
        <v>127</v>
      </c>
      <c r="C128" s="2" t="s">
        <v>276</v>
      </c>
      <c r="D128" s="2" t="s">
        <v>1786</v>
      </c>
      <c r="E128" s="2" t="s">
        <v>277</v>
      </c>
      <c r="F128" s="4">
        <v>45467</v>
      </c>
      <c r="G128" s="8" t="s">
        <v>95</v>
      </c>
      <c r="H128" s="8" t="s">
        <v>1245</v>
      </c>
      <c r="I128" s="2" t="s">
        <v>14</v>
      </c>
      <c r="J128" s="2" t="s">
        <v>15</v>
      </c>
      <c r="K128" s="2" t="s">
        <v>791</v>
      </c>
      <c r="L128" s="2" t="s">
        <v>1259</v>
      </c>
      <c r="M128" s="2" t="s">
        <v>1262</v>
      </c>
      <c r="N128" s="2" t="s">
        <v>2142</v>
      </c>
      <c r="O128" s="4">
        <v>33712</v>
      </c>
      <c r="P128" s="2" t="s">
        <v>2566</v>
      </c>
      <c r="Q128" s="2" t="s">
        <v>2401</v>
      </c>
      <c r="R128" s="2" t="s">
        <v>2393</v>
      </c>
      <c r="S128" s="2" t="s">
        <v>788</v>
      </c>
      <c r="T128" s="2" t="s">
        <v>1414</v>
      </c>
      <c r="U128" s="2" t="s">
        <v>1274</v>
      </c>
      <c r="V128" s="2">
        <v>8134312442</v>
      </c>
      <c r="W128" s="2" t="s">
        <v>930</v>
      </c>
      <c r="X128" s="2" t="s">
        <v>807</v>
      </c>
      <c r="Y128" s="2" t="s">
        <v>1184</v>
      </c>
      <c r="Z128" s="2" t="s">
        <v>1185</v>
      </c>
      <c r="AA128" s="2">
        <v>3500</v>
      </c>
      <c r="AB128" s="2">
        <v>200</v>
      </c>
      <c r="AC128" s="2">
        <v>500</v>
      </c>
      <c r="AD128" s="2">
        <v>0</v>
      </c>
      <c r="AE128" s="2">
        <f t="shared" si="9"/>
        <v>4200</v>
      </c>
      <c r="AF128" s="2">
        <v>1000</v>
      </c>
      <c r="AG128" s="4">
        <v>45477</v>
      </c>
      <c r="AH128" s="2">
        <f t="shared" si="10"/>
        <v>3200</v>
      </c>
      <c r="AI128" s="2">
        <v>1000</v>
      </c>
      <c r="AJ128" s="4">
        <v>45508</v>
      </c>
      <c r="AK128" s="2">
        <f t="shared" si="11"/>
        <v>2200</v>
      </c>
      <c r="AL128" s="2">
        <v>1000</v>
      </c>
      <c r="AM128" s="4">
        <v>45539</v>
      </c>
      <c r="AN128" s="2">
        <f t="shared" si="12"/>
        <v>1200</v>
      </c>
      <c r="AO128" s="2" cm="1">
        <f t="array" ref="AO128">_xlfn.IFS(AN128&gt;=5000,3000,AN128&gt;=2000,1000,AN128&gt;=500,500,AN128&lt;500,AN128)</f>
        <v>500</v>
      </c>
      <c r="AP128" s="4">
        <v>45569</v>
      </c>
      <c r="AQ128" s="2">
        <f t="shared" si="13"/>
        <v>700</v>
      </c>
      <c r="AR128" s="2">
        <v>500</v>
      </c>
      <c r="AS128" s="4">
        <v>45600</v>
      </c>
      <c r="AT128" s="2">
        <f t="shared" si="14"/>
        <v>200</v>
      </c>
      <c r="AU128" s="2">
        <v>200</v>
      </c>
      <c r="AV128" s="4">
        <v>45630</v>
      </c>
      <c r="AW128" s="2">
        <v>0</v>
      </c>
      <c r="AX128" s="2">
        <f t="shared" si="15"/>
        <v>4200</v>
      </c>
      <c r="AY128" s="2">
        <f t="shared" si="16"/>
        <v>0</v>
      </c>
      <c r="AZ128" s="2" t="str">
        <f t="shared" si="17"/>
        <v>Paid</v>
      </c>
      <c r="BA128" s="9" t="str" cm="1">
        <f t="array" ref="BA128">_xlfn.IFS(AZ128="Paid","R",AZ128="Unpaid","Q")</f>
        <v>R</v>
      </c>
      <c r="BB128" s="8" t="s">
        <v>2815</v>
      </c>
    </row>
    <row r="129" spans="1:54" x14ac:dyDescent="0.25">
      <c r="A129" s="2">
        <v>128</v>
      </c>
      <c r="B129" s="2">
        <v>128</v>
      </c>
      <c r="C129" s="2" t="s">
        <v>278</v>
      </c>
      <c r="D129" s="2" t="s">
        <v>1787</v>
      </c>
      <c r="E129" s="2" t="s">
        <v>279</v>
      </c>
      <c r="F129" s="4">
        <v>45468</v>
      </c>
      <c r="G129" s="8" t="s">
        <v>48</v>
      </c>
      <c r="H129" s="8" t="s">
        <v>1251</v>
      </c>
      <c r="I129" s="2" t="s">
        <v>14</v>
      </c>
      <c r="J129" s="2" t="s">
        <v>15</v>
      </c>
      <c r="K129" s="2" t="s">
        <v>791</v>
      </c>
      <c r="L129" s="2" t="s">
        <v>1260</v>
      </c>
      <c r="M129" s="2" t="s">
        <v>1261</v>
      </c>
      <c r="N129" s="2" t="s">
        <v>2143</v>
      </c>
      <c r="O129" s="4">
        <v>37870</v>
      </c>
      <c r="P129" s="2" t="s">
        <v>2567</v>
      </c>
      <c r="Q129" s="2" t="s">
        <v>2480</v>
      </c>
      <c r="R129" s="2" t="s">
        <v>2396</v>
      </c>
      <c r="S129" s="2" t="s">
        <v>820</v>
      </c>
      <c r="T129" s="2" t="s">
        <v>1415</v>
      </c>
      <c r="U129" s="2" t="s">
        <v>1285</v>
      </c>
      <c r="V129" s="2">
        <v>6700544844</v>
      </c>
      <c r="W129" s="2" t="s">
        <v>931</v>
      </c>
      <c r="X129" s="2" t="s">
        <v>811</v>
      </c>
      <c r="Y129" s="2" t="s">
        <v>1184</v>
      </c>
      <c r="Z129" s="2" t="s">
        <v>1185</v>
      </c>
      <c r="AA129" s="2">
        <v>3000</v>
      </c>
      <c r="AB129" s="2">
        <v>200</v>
      </c>
      <c r="AC129" s="2">
        <v>500</v>
      </c>
      <c r="AD129" s="2">
        <v>500</v>
      </c>
      <c r="AE129" s="2">
        <f t="shared" si="9"/>
        <v>3200</v>
      </c>
      <c r="AF129" s="2">
        <v>1000</v>
      </c>
      <c r="AG129" s="4">
        <v>45478</v>
      </c>
      <c r="AH129" s="2">
        <f t="shared" si="10"/>
        <v>2200</v>
      </c>
      <c r="AI129" s="2">
        <v>1000</v>
      </c>
      <c r="AJ129" s="4">
        <v>45509</v>
      </c>
      <c r="AK129" s="2">
        <f t="shared" si="11"/>
        <v>1200</v>
      </c>
      <c r="AL129" s="2">
        <v>500</v>
      </c>
      <c r="AM129" s="4">
        <v>45540</v>
      </c>
      <c r="AN129" s="2">
        <f t="shared" si="12"/>
        <v>700</v>
      </c>
      <c r="AO129" s="2" cm="1">
        <f t="array" ref="AO129">_xlfn.IFS(AN129&gt;=5000,3000,AN129&gt;=2000,1000,AN129&gt;=500,500,AN129&lt;500,AN129)</f>
        <v>500</v>
      </c>
      <c r="AP129" s="4">
        <v>45570</v>
      </c>
      <c r="AQ129" s="2">
        <f t="shared" si="13"/>
        <v>200</v>
      </c>
      <c r="AR129" s="2">
        <v>200</v>
      </c>
      <c r="AS129" s="4">
        <v>45601</v>
      </c>
      <c r="AT129" s="2">
        <f t="shared" si="14"/>
        <v>0</v>
      </c>
      <c r="AU129" s="2" t="s">
        <v>1200</v>
      </c>
      <c r="AV129" s="4" t="s">
        <v>1200</v>
      </c>
      <c r="AW129" s="2" t="s">
        <v>1200</v>
      </c>
      <c r="AX129" s="2">
        <f t="shared" si="15"/>
        <v>3200</v>
      </c>
      <c r="AY129" s="2">
        <f t="shared" si="16"/>
        <v>0</v>
      </c>
      <c r="AZ129" s="2" t="str">
        <f t="shared" si="17"/>
        <v>Paid</v>
      </c>
      <c r="BA129" s="9" t="str" cm="1">
        <f t="array" ref="BA129">_xlfn.IFS(AZ129="Paid","R",AZ129="Unpaid","Q")</f>
        <v>R</v>
      </c>
      <c r="BB129" s="8" t="s">
        <v>2815</v>
      </c>
    </row>
    <row r="130" spans="1:54" x14ac:dyDescent="0.25">
      <c r="A130" s="2">
        <v>129</v>
      </c>
      <c r="B130" s="2">
        <v>129</v>
      </c>
      <c r="C130" s="2" t="s">
        <v>280</v>
      </c>
      <c r="D130" s="2" t="s">
        <v>1788</v>
      </c>
      <c r="E130" s="2" t="s">
        <v>281</v>
      </c>
      <c r="F130" s="4">
        <v>45468</v>
      </c>
      <c r="G130" s="8" t="s">
        <v>26</v>
      </c>
      <c r="H130" s="8" t="s">
        <v>1243</v>
      </c>
      <c r="I130" s="2" t="s">
        <v>9</v>
      </c>
      <c r="J130" s="2" t="s">
        <v>10</v>
      </c>
      <c r="K130" s="2" t="s">
        <v>787</v>
      </c>
      <c r="L130" s="2" t="s">
        <v>1259</v>
      </c>
      <c r="M130" s="2" t="s">
        <v>1262</v>
      </c>
      <c r="N130" s="2" t="s">
        <v>2144</v>
      </c>
      <c r="O130" s="4">
        <v>37241</v>
      </c>
      <c r="P130" s="2" t="s">
        <v>2568</v>
      </c>
      <c r="Q130" s="2" t="s">
        <v>2513</v>
      </c>
      <c r="R130" s="2" t="s">
        <v>2393</v>
      </c>
      <c r="S130" s="2" t="s">
        <v>792</v>
      </c>
      <c r="T130" s="2" t="s">
        <v>1416</v>
      </c>
      <c r="U130" s="2" t="s">
        <v>1285</v>
      </c>
      <c r="V130" s="2">
        <v>7044949766</v>
      </c>
      <c r="W130" s="2" t="s">
        <v>932</v>
      </c>
      <c r="X130" s="2" t="s">
        <v>798</v>
      </c>
      <c r="Y130" s="2" t="s">
        <v>1184</v>
      </c>
      <c r="Z130" s="2" t="s">
        <v>1185</v>
      </c>
      <c r="AA130" s="2">
        <v>15000</v>
      </c>
      <c r="AB130" s="2">
        <v>200</v>
      </c>
      <c r="AC130" s="2">
        <v>1200</v>
      </c>
      <c r="AD130" s="2">
        <v>200</v>
      </c>
      <c r="AE130" s="2">
        <f t="shared" si="9"/>
        <v>16200</v>
      </c>
      <c r="AF130" s="2">
        <v>5000</v>
      </c>
      <c r="AG130" s="4">
        <v>45478</v>
      </c>
      <c r="AH130" s="2">
        <f t="shared" si="10"/>
        <v>11200</v>
      </c>
      <c r="AI130" s="2">
        <v>3000</v>
      </c>
      <c r="AJ130" s="4">
        <v>45509</v>
      </c>
      <c r="AK130" s="2">
        <f t="shared" si="11"/>
        <v>8200</v>
      </c>
      <c r="AL130" s="2">
        <v>3000</v>
      </c>
      <c r="AM130" s="4">
        <v>45540</v>
      </c>
      <c r="AN130" s="2">
        <f t="shared" si="12"/>
        <v>5200</v>
      </c>
      <c r="AO130" s="2" cm="1">
        <f t="array" ref="AO130">_xlfn.IFS(AN130&gt;=5000,3000,AN130&gt;=2000,1000,AN130&gt;=500,500,AN130&lt;500,AN130)</f>
        <v>3000</v>
      </c>
      <c r="AP130" s="4">
        <v>45570</v>
      </c>
      <c r="AQ130" s="2">
        <f t="shared" si="13"/>
        <v>2200</v>
      </c>
      <c r="AR130" s="2">
        <v>2000</v>
      </c>
      <c r="AS130" s="4">
        <v>45601</v>
      </c>
      <c r="AT130" s="2">
        <f t="shared" si="14"/>
        <v>200</v>
      </c>
      <c r="AU130" s="2">
        <v>200</v>
      </c>
      <c r="AV130" s="4">
        <v>45631</v>
      </c>
      <c r="AW130" s="2">
        <v>0</v>
      </c>
      <c r="AX130" s="2">
        <f t="shared" si="15"/>
        <v>16200</v>
      </c>
      <c r="AY130" s="2">
        <f t="shared" si="16"/>
        <v>0</v>
      </c>
      <c r="AZ130" s="2" t="str">
        <f t="shared" si="17"/>
        <v>Paid</v>
      </c>
      <c r="BA130" s="9" t="str" cm="1">
        <f t="array" ref="BA130">_xlfn.IFS(AZ130="Paid","R",AZ130="Unpaid","Q")</f>
        <v>R</v>
      </c>
      <c r="BB130" s="8" t="s">
        <v>2815</v>
      </c>
    </row>
    <row r="131" spans="1:54" x14ac:dyDescent="0.25">
      <c r="A131" s="2">
        <v>130</v>
      </c>
      <c r="B131" s="2">
        <v>130</v>
      </c>
      <c r="C131" s="2" t="s">
        <v>282</v>
      </c>
      <c r="D131" s="2" t="s">
        <v>1789</v>
      </c>
      <c r="E131" s="2" t="s">
        <v>283</v>
      </c>
      <c r="F131" s="4">
        <v>45470</v>
      </c>
      <c r="G131" s="8" t="s">
        <v>32</v>
      </c>
      <c r="H131" s="8" t="s">
        <v>1249</v>
      </c>
      <c r="I131" s="2" t="s">
        <v>14</v>
      </c>
      <c r="J131" s="2" t="s">
        <v>15</v>
      </c>
      <c r="K131" s="2" t="s">
        <v>791</v>
      </c>
      <c r="L131" s="2" t="s">
        <v>1256</v>
      </c>
      <c r="M131" s="2" t="s">
        <v>1263</v>
      </c>
      <c r="N131" s="2" t="s">
        <v>2145</v>
      </c>
      <c r="O131" s="4">
        <v>35564</v>
      </c>
      <c r="P131" s="2" t="s">
        <v>2569</v>
      </c>
      <c r="Q131" s="2" t="s">
        <v>2492</v>
      </c>
      <c r="R131" s="2" t="s">
        <v>2396</v>
      </c>
      <c r="S131" s="2" t="s">
        <v>788</v>
      </c>
      <c r="T131" s="2" t="s">
        <v>1417</v>
      </c>
      <c r="U131" s="2" t="s">
        <v>1278</v>
      </c>
      <c r="V131" s="2">
        <v>9183078411</v>
      </c>
      <c r="W131" s="2" t="s">
        <v>933</v>
      </c>
      <c r="X131" s="2" t="s">
        <v>809</v>
      </c>
      <c r="Y131" s="2" t="s">
        <v>1184</v>
      </c>
      <c r="Z131" s="2" t="s">
        <v>1185</v>
      </c>
      <c r="AA131" s="2">
        <v>2000</v>
      </c>
      <c r="AB131" s="2">
        <v>200</v>
      </c>
      <c r="AC131" s="2">
        <v>300</v>
      </c>
      <c r="AD131" s="2">
        <v>0</v>
      </c>
      <c r="AE131" s="2">
        <f t="shared" ref="AE131:AE194" si="18">SUM(AA131:AC131) -AD131</f>
        <v>2500</v>
      </c>
      <c r="AF131" s="2">
        <v>1000</v>
      </c>
      <c r="AG131" s="4">
        <v>45480</v>
      </c>
      <c r="AH131" s="2">
        <f t="shared" ref="AH131:AH194" si="19">AE131-AF131</f>
        <v>1500</v>
      </c>
      <c r="AI131" s="2">
        <v>500</v>
      </c>
      <c r="AJ131" s="4">
        <v>45511</v>
      </c>
      <c r="AK131" s="2">
        <f t="shared" ref="AK131:AK194" si="20">AH131-AI131</f>
        <v>1000</v>
      </c>
      <c r="AL131" s="2">
        <v>500</v>
      </c>
      <c r="AM131" s="4">
        <v>45542</v>
      </c>
      <c r="AN131" s="2">
        <f t="shared" ref="AN131:AN194" si="21">AK131-AL131</f>
        <v>500</v>
      </c>
      <c r="AO131" s="2" cm="1">
        <f t="array" ref="AO131">_xlfn.IFS(AN131&gt;=5000,3000,AN131&gt;=2000,1000,AN131&gt;=500,500,AN131&lt;500,AN131)</f>
        <v>500</v>
      </c>
      <c r="AP131" s="4">
        <v>45572</v>
      </c>
      <c r="AQ131" s="2">
        <f t="shared" ref="AQ131:AQ194" si="22">AN131-AO131</f>
        <v>0</v>
      </c>
      <c r="AR131" s="2" t="s">
        <v>1200</v>
      </c>
      <c r="AS131" s="4" t="s">
        <v>1200</v>
      </c>
      <c r="AT131" s="2" t="str">
        <f t="shared" ref="AT131:AT194" si="23">IFERROR(AQ131-AR131,"")</f>
        <v/>
      </c>
      <c r="AU131" s="2" t="s">
        <v>1200</v>
      </c>
      <c r="AV131" s="4" t="s">
        <v>1200</v>
      </c>
      <c r="AW131" s="2" t="s">
        <v>1200</v>
      </c>
      <c r="AX131" s="2">
        <f t="shared" ref="AX131:AX194" si="24">SUM(AF131,AI131,AL131,AO131,AR131,AU131)</f>
        <v>2500</v>
      </c>
      <c r="AY131" s="2">
        <f t="shared" ref="AY131:AY194" si="25">AE131-AX131</f>
        <v>0</v>
      </c>
      <c r="AZ131" s="2" t="str">
        <f t="shared" ref="AZ131:AZ194" si="26">IF(AY131=0,"Paid","Unpaid")</f>
        <v>Paid</v>
      </c>
      <c r="BA131" s="9" t="str" cm="1">
        <f t="array" ref="BA131">_xlfn.IFS(AZ131="Paid","R",AZ131="Unpaid","Q")</f>
        <v>R</v>
      </c>
      <c r="BB131" s="8" t="s">
        <v>2815</v>
      </c>
    </row>
    <row r="132" spans="1:54" x14ac:dyDescent="0.25">
      <c r="A132" s="2">
        <v>131</v>
      </c>
      <c r="B132" s="2">
        <v>131</v>
      </c>
      <c r="C132" s="2" t="s">
        <v>284</v>
      </c>
      <c r="D132" s="2" t="s">
        <v>1790</v>
      </c>
      <c r="E132" s="2" t="s">
        <v>285</v>
      </c>
      <c r="F132" s="4">
        <v>45471</v>
      </c>
      <c r="G132" s="8" t="s">
        <v>26</v>
      </c>
      <c r="H132" s="8" t="s">
        <v>1243</v>
      </c>
      <c r="I132" s="2" t="s">
        <v>9</v>
      </c>
      <c r="J132" s="2" t="s">
        <v>10</v>
      </c>
      <c r="K132" s="2" t="s">
        <v>787</v>
      </c>
      <c r="L132" s="2" t="s">
        <v>1257</v>
      </c>
      <c r="M132" s="2" t="s">
        <v>1261</v>
      </c>
      <c r="N132" s="2" t="s">
        <v>2146</v>
      </c>
      <c r="O132" s="4">
        <v>33044</v>
      </c>
      <c r="P132" s="2" t="s">
        <v>2570</v>
      </c>
      <c r="Q132" s="2" t="s">
        <v>2546</v>
      </c>
      <c r="R132" s="2" t="s">
        <v>2393</v>
      </c>
      <c r="S132" s="2" t="s">
        <v>788</v>
      </c>
      <c r="T132" s="2" t="s">
        <v>1418</v>
      </c>
      <c r="U132" s="2" t="s">
        <v>1273</v>
      </c>
      <c r="V132" s="2">
        <v>9947164082</v>
      </c>
      <c r="W132" s="2" t="s">
        <v>934</v>
      </c>
      <c r="X132" s="2" t="s">
        <v>813</v>
      </c>
      <c r="Y132" s="2" t="s">
        <v>1184</v>
      </c>
      <c r="Z132" s="2" t="s">
        <v>1185</v>
      </c>
      <c r="AA132" s="2">
        <v>15000</v>
      </c>
      <c r="AB132" s="2">
        <v>200</v>
      </c>
      <c r="AC132" s="2">
        <v>1200</v>
      </c>
      <c r="AD132" s="2">
        <v>200</v>
      </c>
      <c r="AE132" s="2">
        <f t="shared" si="18"/>
        <v>16200</v>
      </c>
      <c r="AF132" s="2">
        <v>5000</v>
      </c>
      <c r="AG132" s="4">
        <v>45481</v>
      </c>
      <c r="AH132" s="2">
        <f t="shared" si="19"/>
        <v>11200</v>
      </c>
      <c r="AI132" s="2">
        <v>3000</v>
      </c>
      <c r="AJ132" s="4">
        <v>45512</v>
      </c>
      <c r="AK132" s="2">
        <f t="shared" si="20"/>
        <v>8200</v>
      </c>
      <c r="AL132" s="2">
        <v>3000</v>
      </c>
      <c r="AM132" s="4">
        <v>45543</v>
      </c>
      <c r="AN132" s="2">
        <f t="shared" si="21"/>
        <v>5200</v>
      </c>
      <c r="AO132" s="2" cm="1">
        <f t="array" ref="AO132">_xlfn.IFS(AN132&gt;=5000,3000,AN132&gt;=2000,1000,AN132&gt;=500,500,AN132&lt;500,AN132)</f>
        <v>3000</v>
      </c>
      <c r="AP132" s="4">
        <v>45573</v>
      </c>
      <c r="AQ132" s="2">
        <f t="shared" si="22"/>
        <v>2200</v>
      </c>
      <c r="AR132" s="2">
        <v>2000</v>
      </c>
      <c r="AS132" s="4">
        <v>45604</v>
      </c>
      <c r="AT132" s="2">
        <f t="shared" si="23"/>
        <v>200</v>
      </c>
      <c r="AU132" s="2">
        <v>200</v>
      </c>
      <c r="AV132" s="4">
        <v>45634</v>
      </c>
      <c r="AW132" s="2">
        <v>0</v>
      </c>
      <c r="AX132" s="2">
        <f t="shared" si="24"/>
        <v>16200</v>
      </c>
      <c r="AY132" s="2">
        <f t="shared" si="25"/>
        <v>0</v>
      </c>
      <c r="AZ132" s="2" t="str">
        <f t="shared" si="26"/>
        <v>Paid</v>
      </c>
      <c r="BA132" s="9" t="str" cm="1">
        <f t="array" ref="BA132">_xlfn.IFS(AZ132="Paid","R",AZ132="Unpaid","Q")</f>
        <v>R</v>
      </c>
      <c r="BB132" s="8" t="s">
        <v>2815</v>
      </c>
    </row>
    <row r="133" spans="1:54" x14ac:dyDescent="0.25">
      <c r="A133" s="2">
        <v>132</v>
      </c>
      <c r="B133" s="2">
        <v>132</v>
      </c>
      <c r="C133" s="2" t="s">
        <v>286</v>
      </c>
      <c r="D133" s="2" t="s">
        <v>1791</v>
      </c>
      <c r="E133" s="2" t="s">
        <v>287</v>
      </c>
      <c r="F133" s="4">
        <v>45471</v>
      </c>
      <c r="G133" s="8" t="s">
        <v>26</v>
      </c>
      <c r="H133" s="8" t="s">
        <v>1243</v>
      </c>
      <c r="I133" s="2" t="s">
        <v>9</v>
      </c>
      <c r="J133" s="2" t="s">
        <v>10</v>
      </c>
      <c r="K133" s="2" t="s">
        <v>787</v>
      </c>
      <c r="L133" s="2" t="s">
        <v>1258</v>
      </c>
      <c r="M133" s="2" t="s">
        <v>1264</v>
      </c>
      <c r="N133" s="2" t="s">
        <v>2147</v>
      </c>
      <c r="O133" s="4">
        <v>39351</v>
      </c>
      <c r="P133" s="2" t="s">
        <v>2571</v>
      </c>
      <c r="Q133" s="2" t="s">
        <v>2505</v>
      </c>
      <c r="R133" s="2" t="s">
        <v>2393</v>
      </c>
      <c r="S133" s="2" t="s">
        <v>792</v>
      </c>
      <c r="T133" s="2" t="s">
        <v>1419</v>
      </c>
      <c r="U133" s="2" t="s">
        <v>1278</v>
      </c>
      <c r="V133" s="2">
        <v>6826456060</v>
      </c>
      <c r="W133" s="2" t="s">
        <v>935</v>
      </c>
      <c r="X133" s="2" t="s">
        <v>807</v>
      </c>
      <c r="Y133" s="2" t="s">
        <v>1184</v>
      </c>
      <c r="Z133" s="2" t="s">
        <v>1185</v>
      </c>
      <c r="AA133" s="2">
        <v>15000</v>
      </c>
      <c r="AB133" s="2">
        <v>200</v>
      </c>
      <c r="AC133" s="2">
        <v>1200</v>
      </c>
      <c r="AD133" s="2">
        <v>0</v>
      </c>
      <c r="AE133" s="2">
        <f t="shared" si="18"/>
        <v>16400</v>
      </c>
      <c r="AF133" s="2">
        <v>5000</v>
      </c>
      <c r="AG133" s="4">
        <v>45481</v>
      </c>
      <c r="AH133" s="2">
        <f t="shared" si="19"/>
        <v>11400</v>
      </c>
      <c r="AI133" s="2">
        <v>3000</v>
      </c>
      <c r="AJ133" s="4">
        <v>45512</v>
      </c>
      <c r="AK133" s="2">
        <f t="shared" si="20"/>
        <v>8400</v>
      </c>
      <c r="AL133" s="2">
        <v>3000</v>
      </c>
      <c r="AM133" s="4">
        <v>45543</v>
      </c>
      <c r="AN133" s="2">
        <f t="shared" si="21"/>
        <v>5400</v>
      </c>
      <c r="AO133" s="2" cm="1">
        <f t="array" ref="AO133">_xlfn.IFS(AN133&gt;=5000,3000,AN133&gt;=2000,1000,AN133&gt;=500,500,AN133&lt;500,AN133)</f>
        <v>3000</v>
      </c>
      <c r="AP133" s="4">
        <v>45573</v>
      </c>
      <c r="AQ133" s="2">
        <f t="shared" si="22"/>
        <v>2400</v>
      </c>
      <c r="AR133" s="2">
        <v>2000</v>
      </c>
      <c r="AS133" s="4">
        <v>45604</v>
      </c>
      <c r="AT133" s="2">
        <f t="shared" si="23"/>
        <v>400</v>
      </c>
      <c r="AU133" s="2">
        <v>400</v>
      </c>
      <c r="AV133" s="4">
        <v>45634</v>
      </c>
      <c r="AW133" s="2">
        <v>0</v>
      </c>
      <c r="AX133" s="2">
        <f t="shared" si="24"/>
        <v>16400</v>
      </c>
      <c r="AY133" s="2">
        <f t="shared" si="25"/>
        <v>0</v>
      </c>
      <c r="AZ133" s="2" t="str">
        <f t="shared" si="26"/>
        <v>Paid</v>
      </c>
      <c r="BA133" s="9" t="str" cm="1">
        <f t="array" ref="BA133">_xlfn.IFS(AZ133="Paid","R",AZ133="Unpaid","Q")</f>
        <v>R</v>
      </c>
      <c r="BB133" s="8" t="s">
        <v>2815</v>
      </c>
    </row>
    <row r="134" spans="1:54" x14ac:dyDescent="0.25">
      <c r="A134" s="2">
        <v>133</v>
      </c>
      <c r="B134" s="2">
        <v>133</v>
      </c>
      <c r="C134" s="2" t="s">
        <v>288</v>
      </c>
      <c r="D134" s="2" t="s">
        <v>1792</v>
      </c>
      <c r="E134" s="2" t="s">
        <v>289</v>
      </c>
      <c r="F134" s="4">
        <v>45471</v>
      </c>
      <c r="G134" s="8" t="s">
        <v>21</v>
      </c>
      <c r="H134" s="8" t="s">
        <v>1252</v>
      </c>
      <c r="I134" s="2" t="s">
        <v>14</v>
      </c>
      <c r="J134" s="2" t="s">
        <v>15</v>
      </c>
      <c r="K134" s="2" t="s">
        <v>791</v>
      </c>
      <c r="L134" s="2" t="s">
        <v>1256</v>
      </c>
      <c r="M134" s="2" t="s">
        <v>1263</v>
      </c>
      <c r="N134" s="2" t="s">
        <v>2148</v>
      </c>
      <c r="O134" s="4">
        <v>32220</v>
      </c>
      <c r="P134" s="2" t="s">
        <v>2572</v>
      </c>
      <c r="Q134" s="2" t="s">
        <v>2409</v>
      </c>
      <c r="R134" s="2" t="s">
        <v>2393</v>
      </c>
      <c r="S134" s="2" t="s">
        <v>820</v>
      </c>
      <c r="T134" s="2" t="s">
        <v>1420</v>
      </c>
      <c r="U134" s="2" t="s">
        <v>1272</v>
      </c>
      <c r="V134" s="2">
        <v>7212084028</v>
      </c>
      <c r="W134" s="2" t="s">
        <v>936</v>
      </c>
      <c r="X134" s="2" t="s">
        <v>1183</v>
      </c>
      <c r="Y134" s="2" t="s">
        <v>1184</v>
      </c>
      <c r="Z134" s="2" t="s">
        <v>1185</v>
      </c>
      <c r="AA134" s="2">
        <v>3000</v>
      </c>
      <c r="AB134" s="2">
        <v>200</v>
      </c>
      <c r="AC134" s="2">
        <v>300</v>
      </c>
      <c r="AD134" s="2">
        <v>200</v>
      </c>
      <c r="AE134" s="2">
        <f t="shared" si="18"/>
        <v>3300</v>
      </c>
      <c r="AF134" s="2">
        <v>1000</v>
      </c>
      <c r="AG134" s="4">
        <v>45481</v>
      </c>
      <c r="AH134" s="2">
        <f t="shared" si="19"/>
        <v>2300</v>
      </c>
      <c r="AI134" s="2">
        <v>1000</v>
      </c>
      <c r="AJ134" s="4">
        <v>45512</v>
      </c>
      <c r="AK134" s="2">
        <f t="shared" si="20"/>
        <v>1300</v>
      </c>
      <c r="AL134" s="2">
        <v>500</v>
      </c>
      <c r="AM134" s="4">
        <v>45543</v>
      </c>
      <c r="AN134" s="2">
        <f t="shared" si="21"/>
        <v>800</v>
      </c>
      <c r="AO134" s="2" cm="1">
        <f t="array" ref="AO134">_xlfn.IFS(AN134&gt;=5000,3000,AN134&gt;=2000,1000,AN134&gt;=500,500,AN134&lt;500,AN134)</f>
        <v>500</v>
      </c>
      <c r="AP134" s="4">
        <v>45573</v>
      </c>
      <c r="AQ134" s="2">
        <f t="shared" si="22"/>
        <v>300</v>
      </c>
      <c r="AR134" s="2">
        <v>300</v>
      </c>
      <c r="AS134" s="4">
        <v>45604</v>
      </c>
      <c r="AT134" s="2">
        <f t="shared" si="23"/>
        <v>0</v>
      </c>
      <c r="AU134" s="2" t="s">
        <v>1200</v>
      </c>
      <c r="AV134" s="4" t="s">
        <v>1200</v>
      </c>
      <c r="AW134" s="2" t="s">
        <v>1200</v>
      </c>
      <c r="AX134" s="2">
        <f t="shared" si="24"/>
        <v>3300</v>
      </c>
      <c r="AY134" s="2">
        <f t="shared" si="25"/>
        <v>0</v>
      </c>
      <c r="AZ134" s="2" t="str">
        <f t="shared" si="26"/>
        <v>Paid</v>
      </c>
      <c r="BA134" s="9" t="str" cm="1">
        <f t="array" ref="BA134">_xlfn.IFS(AZ134="Paid","R",AZ134="Unpaid","Q")</f>
        <v>R</v>
      </c>
      <c r="BB134" s="8" t="s">
        <v>2815</v>
      </c>
    </row>
    <row r="135" spans="1:54" x14ac:dyDescent="0.25">
      <c r="A135" s="2">
        <v>134</v>
      </c>
      <c r="B135" s="2">
        <v>134</v>
      </c>
      <c r="C135" s="2" t="s">
        <v>290</v>
      </c>
      <c r="D135" s="2" t="s">
        <v>1793</v>
      </c>
      <c r="E135" s="2" t="s">
        <v>291</v>
      </c>
      <c r="F135" s="4">
        <v>45475</v>
      </c>
      <c r="G135" s="8" t="s">
        <v>13</v>
      </c>
      <c r="H135" s="8" t="s">
        <v>1254</v>
      </c>
      <c r="I135" s="2" t="s">
        <v>14</v>
      </c>
      <c r="J135" s="2" t="s">
        <v>15</v>
      </c>
      <c r="K135" s="2" t="s">
        <v>791</v>
      </c>
      <c r="L135" s="2" t="s">
        <v>1258</v>
      </c>
      <c r="M135" s="2" t="s">
        <v>1264</v>
      </c>
      <c r="N135" s="2" t="s">
        <v>2149</v>
      </c>
      <c r="O135" s="4">
        <v>38027</v>
      </c>
      <c r="P135" s="2" t="s">
        <v>2573</v>
      </c>
      <c r="Q135" s="2" t="s">
        <v>2428</v>
      </c>
      <c r="R135" s="2" t="s">
        <v>2393</v>
      </c>
      <c r="S135" s="2" t="s">
        <v>788</v>
      </c>
      <c r="T135" s="2" t="s">
        <v>1421</v>
      </c>
      <c r="U135" s="2" t="s">
        <v>1272</v>
      </c>
      <c r="V135" s="2">
        <v>9990516960</v>
      </c>
      <c r="W135" s="2" t="s">
        <v>937</v>
      </c>
      <c r="X135" s="2" t="s">
        <v>1183</v>
      </c>
      <c r="Y135" s="2" t="s">
        <v>1184</v>
      </c>
      <c r="Z135" s="2" t="s">
        <v>1185</v>
      </c>
      <c r="AA135" s="2">
        <v>3000</v>
      </c>
      <c r="AB135" s="2">
        <v>200</v>
      </c>
      <c r="AC135" s="2">
        <v>500</v>
      </c>
      <c r="AD135" s="2">
        <v>300</v>
      </c>
      <c r="AE135" s="2">
        <f t="shared" si="18"/>
        <v>3400</v>
      </c>
      <c r="AF135" s="2">
        <v>1000</v>
      </c>
      <c r="AG135" s="4">
        <v>45485</v>
      </c>
      <c r="AH135" s="2">
        <f t="shared" si="19"/>
        <v>2400</v>
      </c>
      <c r="AI135" s="2">
        <v>1000</v>
      </c>
      <c r="AJ135" s="4">
        <v>45516</v>
      </c>
      <c r="AK135" s="2">
        <f t="shared" si="20"/>
        <v>1400</v>
      </c>
      <c r="AL135" s="2">
        <v>500</v>
      </c>
      <c r="AM135" s="4">
        <v>45547</v>
      </c>
      <c r="AN135" s="2">
        <f t="shared" si="21"/>
        <v>900</v>
      </c>
      <c r="AO135" s="2" cm="1">
        <f t="array" ref="AO135">_xlfn.IFS(AN135&gt;=5000,3000,AN135&gt;=2000,1000,AN135&gt;=500,500,AN135&lt;500,AN135)</f>
        <v>500</v>
      </c>
      <c r="AP135" s="4">
        <v>45577</v>
      </c>
      <c r="AQ135" s="2">
        <f t="shared" si="22"/>
        <v>400</v>
      </c>
      <c r="AR135" s="2">
        <v>400</v>
      </c>
      <c r="AS135" s="4">
        <v>45608</v>
      </c>
      <c r="AT135" s="2">
        <f t="shared" si="23"/>
        <v>0</v>
      </c>
      <c r="AU135" s="2" t="s">
        <v>1200</v>
      </c>
      <c r="AV135" s="4" t="s">
        <v>1200</v>
      </c>
      <c r="AW135" s="2" t="s">
        <v>1200</v>
      </c>
      <c r="AX135" s="2">
        <f t="shared" si="24"/>
        <v>3400</v>
      </c>
      <c r="AY135" s="2">
        <f t="shared" si="25"/>
        <v>0</v>
      </c>
      <c r="AZ135" s="2" t="str">
        <f t="shared" si="26"/>
        <v>Paid</v>
      </c>
      <c r="BA135" s="9" t="str" cm="1">
        <f t="array" ref="BA135">_xlfn.IFS(AZ135="Paid","R",AZ135="Unpaid","Q")</f>
        <v>R</v>
      </c>
      <c r="BB135" s="8" t="s">
        <v>2815</v>
      </c>
    </row>
    <row r="136" spans="1:54" x14ac:dyDescent="0.25">
      <c r="A136" s="2">
        <v>135</v>
      </c>
      <c r="B136" s="2">
        <v>135</v>
      </c>
      <c r="C136" s="2" t="s">
        <v>292</v>
      </c>
      <c r="D136" s="2" t="s">
        <v>1794</v>
      </c>
      <c r="E136" s="2" t="s">
        <v>293</v>
      </c>
      <c r="F136" s="4">
        <v>45475</v>
      </c>
      <c r="G136" s="8" t="s">
        <v>48</v>
      </c>
      <c r="H136" s="8" t="s">
        <v>1251</v>
      </c>
      <c r="I136" s="2" t="s">
        <v>14</v>
      </c>
      <c r="J136" s="2" t="s">
        <v>15</v>
      </c>
      <c r="K136" s="2" t="s">
        <v>791</v>
      </c>
      <c r="L136" s="2" t="s">
        <v>1256</v>
      </c>
      <c r="M136" s="2" t="s">
        <v>1263</v>
      </c>
      <c r="N136" s="2" t="s">
        <v>2150</v>
      </c>
      <c r="O136" s="4">
        <v>35146</v>
      </c>
      <c r="P136" s="2" t="s">
        <v>2574</v>
      </c>
      <c r="Q136" s="2" t="s">
        <v>2560</v>
      </c>
      <c r="R136" s="2" t="s">
        <v>2396</v>
      </c>
      <c r="S136" s="2" t="s">
        <v>788</v>
      </c>
      <c r="T136" s="2" t="s">
        <v>1422</v>
      </c>
      <c r="U136" s="2" t="s">
        <v>1268</v>
      </c>
      <c r="V136" s="2">
        <v>8299907238</v>
      </c>
      <c r="W136" s="2" t="s">
        <v>938</v>
      </c>
      <c r="X136" s="2" t="s">
        <v>1183</v>
      </c>
      <c r="Y136" s="2" t="s">
        <v>1184</v>
      </c>
      <c r="Z136" s="2" t="s">
        <v>1185</v>
      </c>
      <c r="AA136" s="2">
        <v>3000</v>
      </c>
      <c r="AB136" s="2">
        <v>200</v>
      </c>
      <c r="AC136" s="2">
        <v>500</v>
      </c>
      <c r="AD136" s="2">
        <v>0</v>
      </c>
      <c r="AE136" s="2">
        <f t="shared" si="18"/>
        <v>3700</v>
      </c>
      <c r="AF136" s="2">
        <v>1000</v>
      </c>
      <c r="AG136" s="4">
        <v>45485</v>
      </c>
      <c r="AH136" s="2">
        <f t="shared" si="19"/>
        <v>2700</v>
      </c>
      <c r="AI136" s="2">
        <v>1000</v>
      </c>
      <c r="AJ136" s="4">
        <v>45516</v>
      </c>
      <c r="AK136" s="2">
        <f t="shared" si="20"/>
        <v>1700</v>
      </c>
      <c r="AL136" s="2">
        <v>500</v>
      </c>
      <c r="AM136" s="4">
        <v>45547</v>
      </c>
      <c r="AN136" s="2">
        <f t="shared" si="21"/>
        <v>1200</v>
      </c>
      <c r="AO136" s="2" cm="1">
        <f t="array" ref="AO136">_xlfn.IFS(AN136&gt;=5000,3000,AN136&gt;=2000,1000,AN136&gt;=500,500,AN136&lt;500,AN136)</f>
        <v>500</v>
      </c>
      <c r="AP136" s="4">
        <v>45577</v>
      </c>
      <c r="AQ136" s="2">
        <f t="shared" si="22"/>
        <v>700</v>
      </c>
      <c r="AR136" s="2">
        <v>500</v>
      </c>
      <c r="AS136" s="4">
        <v>45608</v>
      </c>
      <c r="AT136" s="2">
        <f t="shared" si="23"/>
        <v>200</v>
      </c>
      <c r="AU136" s="2">
        <v>200</v>
      </c>
      <c r="AV136" s="4">
        <v>45638</v>
      </c>
      <c r="AW136" s="2">
        <v>0</v>
      </c>
      <c r="AX136" s="2">
        <f t="shared" si="24"/>
        <v>3700</v>
      </c>
      <c r="AY136" s="2">
        <f t="shared" si="25"/>
        <v>0</v>
      </c>
      <c r="AZ136" s="2" t="str">
        <f t="shared" si="26"/>
        <v>Paid</v>
      </c>
      <c r="BA136" s="9" t="str" cm="1">
        <f t="array" ref="BA136">_xlfn.IFS(AZ136="Paid","R",AZ136="Unpaid","Q")</f>
        <v>R</v>
      </c>
      <c r="BB136" s="8" t="s">
        <v>2815</v>
      </c>
    </row>
    <row r="137" spans="1:54" x14ac:dyDescent="0.25">
      <c r="A137" s="2">
        <v>136</v>
      </c>
      <c r="B137" s="2">
        <v>136</v>
      </c>
      <c r="C137" s="2" t="s">
        <v>294</v>
      </c>
      <c r="D137" s="2" t="s">
        <v>1795</v>
      </c>
      <c r="E137" s="2" t="s">
        <v>295</v>
      </c>
      <c r="F137" s="4">
        <v>45475</v>
      </c>
      <c r="G137" s="8" t="s">
        <v>8</v>
      </c>
      <c r="H137" s="8" t="s">
        <v>1242</v>
      </c>
      <c r="I137" s="2" t="s">
        <v>9</v>
      </c>
      <c r="J137" s="2" t="s">
        <v>10</v>
      </c>
      <c r="K137" s="2" t="s">
        <v>787</v>
      </c>
      <c r="L137" s="2" t="s">
        <v>1256</v>
      </c>
      <c r="M137" s="2" t="s">
        <v>1263</v>
      </c>
      <c r="N137" s="2" t="s">
        <v>2151</v>
      </c>
      <c r="O137" s="4">
        <v>40370</v>
      </c>
      <c r="P137" s="2" t="s">
        <v>2575</v>
      </c>
      <c r="Q137" s="2" t="s">
        <v>2470</v>
      </c>
      <c r="R137" s="2" t="s">
        <v>2393</v>
      </c>
      <c r="S137" s="2" t="s">
        <v>792</v>
      </c>
      <c r="T137" s="2" t="s">
        <v>1423</v>
      </c>
      <c r="U137" s="2" t="s">
        <v>1284</v>
      </c>
      <c r="V137" s="2">
        <v>8059486755</v>
      </c>
      <c r="W137" s="2" t="s">
        <v>939</v>
      </c>
      <c r="X137" s="2" t="s">
        <v>1183</v>
      </c>
      <c r="Y137" s="2" t="s">
        <v>1184</v>
      </c>
      <c r="Z137" s="2" t="s">
        <v>1185</v>
      </c>
      <c r="AA137" s="2">
        <v>12500</v>
      </c>
      <c r="AB137" s="2">
        <v>200</v>
      </c>
      <c r="AC137" s="2">
        <v>1200</v>
      </c>
      <c r="AD137" s="2">
        <v>300</v>
      </c>
      <c r="AE137" s="2">
        <f t="shared" si="18"/>
        <v>13600</v>
      </c>
      <c r="AF137" s="2">
        <v>5000</v>
      </c>
      <c r="AG137" s="4">
        <v>45485</v>
      </c>
      <c r="AH137" s="2">
        <f t="shared" si="19"/>
        <v>8600</v>
      </c>
      <c r="AI137" s="2">
        <v>3000</v>
      </c>
      <c r="AJ137" s="4">
        <v>45516</v>
      </c>
      <c r="AK137" s="2">
        <f t="shared" si="20"/>
        <v>5600</v>
      </c>
      <c r="AL137" s="2">
        <v>3000</v>
      </c>
      <c r="AM137" s="4">
        <v>45547</v>
      </c>
      <c r="AN137" s="2">
        <f t="shared" si="21"/>
        <v>2600</v>
      </c>
      <c r="AO137" s="2" cm="1">
        <f t="array" ref="AO137">_xlfn.IFS(AN137&gt;=5000,3000,AN137&gt;=2000,1000,AN137&gt;=500,500,AN137&lt;500,AN137)</f>
        <v>1000</v>
      </c>
      <c r="AP137" s="4">
        <v>45577</v>
      </c>
      <c r="AQ137" s="2">
        <f t="shared" si="22"/>
        <v>1600</v>
      </c>
      <c r="AR137" s="2">
        <v>1000</v>
      </c>
      <c r="AS137" s="4">
        <v>45608</v>
      </c>
      <c r="AT137" s="2">
        <f t="shared" si="23"/>
        <v>600</v>
      </c>
      <c r="AU137" s="2">
        <v>600</v>
      </c>
      <c r="AV137" s="4">
        <v>45638</v>
      </c>
      <c r="AW137" s="2">
        <v>0</v>
      </c>
      <c r="AX137" s="2">
        <f t="shared" si="24"/>
        <v>13600</v>
      </c>
      <c r="AY137" s="2">
        <f t="shared" si="25"/>
        <v>0</v>
      </c>
      <c r="AZ137" s="2" t="str">
        <f t="shared" si="26"/>
        <v>Paid</v>
      </c>
      <c r="BA137" s="9" t="str" cm="1">
        <f t="array" ref="BA137">_xlfn.IFS(AZ137="Paid","R",AZ137="Unpaid","Q")</f>
        <v>R</v>
      </c>
      <c r="BB137" s="8" t="s">
        <v>2815</v>
      </c>
    </row>
    <row r="138" spans="1:54" x14ac:dyDescent="0.25">
      <c r="A138" s="2">
        <v>137</v>
      </c>
      <c r="B138" s="2">
        <v>137</v>
      </c>
      <c r="C138" s="2" t="s">
        <v>296</v>
      </c>
      <c r="D138" s="2" t="s">
        <v>1796</v>
      </c>
      <c r="E138" s="2" t="s">
        <v>297</v>
      </c>
      <c r="F138" s="4">
        <v>45475</v>
      </c>
      <c r="G138" s="8" t="s">
        <v>95</v>
      </c>
      <c r="H138" s="8" t="s">
        <v>1245</v>
      </c>
      <c r="I138" s="2" t="s">
        <v>14</v>
      </c>
      <c r="J138" s="2" t="s">
        <v>15</v>
      </c>
      <c r="K138" s="2" t="s">
        <v>791</v>
      </c>
      <c r="L138" s="2" t="s">
        <v>1257</v>
      </c>
      <c r="M138" s="2" t="s">
        <v>1261</v>
      </c>
      <c r="N138" s="2" t="s">
        <v>2152</v>
      </c>
      <c r="O138" s="4">
        <v>34446</v>
      </c>
      <c r="P138" s="2" t="s">
        <v>2576</v>
      </c>
      <c r="Q138" s="2" t="s">
        <v>2492</v>
      </c>
      <c r="R138" s="2" t="s">
        <v>2393</v>
      </c>
      <c r="S138" s="2" t="s">
        <v>820</v>
      </c>
      <c r="T138" s="2" t="s">
        <v>1424</v>
      </c>
      <c r="U138" s="2" t="s">
        <v>1271</v>
      </c>
      <c r="V138" s="2">
        <v>6448118873</v>
      </c>
      <c r="W138" s="2" t="s">
        <v>940</v>
      </c>
      <c r="X138" s="2" t="s">
        <v>798</v>
      </c>
      <c r="Y138" s="2" t="s">
        <v>1184</v>
      </c>
      <c r="Z138" s="2" t="s">
        <v>1185</v>
      </c>
      <c r="AA138" s="2">
        <v>3500</v>
      </c>
      <c r="AB138" s="2">
        <v>200</v>
      </c>
      <c r="AC138" s="2">
        <v>500</v>
      </c>
      <c r="AD138" s="2">
        <v>500</v>
      </c>
      <c r="AE138" s="2">
        <f t="shared" si="18"/>
        <v>3700</v>
      </c>
      <c r="AF138" s="2">
        <v>1000</v>
      </c>
      <c r="AG138" s="4">
        <v>45485</v>
      </c>
      <c r="AH138" s="2">
        <f t="shared" si="19"/>
        <v>2700</v>
      </c>
      <c r="AI138" s="2">
        <v>1000</v>
      </c>
      <c r="AJ138" s="4">
        <v>45516</v>
      </c>
      <c r="AK138" s="2">
        <f t="shared" si="20"/>
        <v>1700</v>
      </c>
      <c r="AL138" s="2">
        <v>500</v>
      </c>
      <c r="AM138" s="4">
        <v>45547</v>
      </c>
      <c r="AN138" s="2">
        <f t="shared" si="21"/>
        <v>1200</v>
      </c>
      <c r="AO138" s="2" cm="1">
        <f t="array" ref="AO138">_xlfn.IFS(AN138&gt;=5000,3000,AN138&gt;=2000,1000,AN138&gt;=500,500,AN138&lt;500,AN138)</f>
        <v>500</v>
      </c>
      <c r="AP138" s="4">
        <v>45577</v>
      </c>
      <c r="AQ138" s="2">
        <f t="shared" si="22"/>
        <v>700</v>
      </c>
      <c r="AR138" s="2">
        <v>500</v>
      </c>
      <c r="AS138" s="4">
        <v>45608</v>
      </c>
      <c r="AT138" s="2">
        <f t="shared" si="23"/>
        <v>200</v>
      </c>
      <c r="AU138" s="2">
        <v>200</v>
      </c>
      <c r="AV138" s="4">
        <v>45638</v>
      </c>
      <c r="AW138" s="2">
        <v>0</v>
      </c>
      <c r="AX138" s="2">
        <f t="shared" si="24"/>
        <v>3700</v>
      </c>
      <c r="AY138" s="2">
        <f t="shared" si="25"/>
        <v>0</v>
      </c>
      <c r="AZ138" s="2" t="str">
        <f t="shared" si="26"/>
        <v>Paid</v>
      </c>
      <c r="BA138" s="9" t="str" cm="1">
        <f t="array" ref="BA138">_xlfn.IFS(AZ138="Paid","R",AZ138="Unpaid","Q")</f>
        <v>R</v>
      </c>
      <c r="BB138" s="8" t="s">
        <v>2815</v>
      </c>
    </row>
    <row r="139" spans="1:54" x14ac:dyDescent="0.25">
      <c r="A139" s="2">
        <v>138</v>
      </c>
      <c r="B139" s="2">
        <v>138</v>
      </c>
      <c r="C139" s="2" t="s">
        <v>298</v>
      </c>
      <c r="D139" s="2" t="s">
        <v>1797</v>
      </c>
      <c r="E139" s="2" t="s">
        <v>299</v>
      </c>
      <c r="F139" s="4">
        <v>45476</v>
      </c>
      <c r="G139" s="8" t="s">
        <v>95</v>
      </c>
      <c r="H139" s="8" t="s">
        <v>1245</v>
      </c>
      <c r="I139" s="2" t="s">
        <v>14</v>
      </c>
      <c r="J139" s="2" t="s">
        <v>15</v>
      </c>
      <c r="K139" s="2" t="s">
        <v>791</v>
      </c>
      <c r="L139" s="2" t="s">
        <v>1256</v>
      </c>
      <c r="M139" s="2" t="s">
        <v>1263</v>
      </c>
      <c r="N139" s="2" t="s">
        <v>2153</v>
      </c>
      <c r="O139" s="4">
        <v>37352</v>
      </c>
      <c r="P139" s="2" t="s">
        <v>2577</v>
      </c>
      <c r="Q139" s="2" t="s">
        <v>2422</v>
      </c>
      <c r="R139" s="2" t="s">
        <v>2393</v>
      </c>
      <c r="S139" s="2" t="s">
        <v>788</v>
      </c>
      <c r="T139" s="2" t="s">
        <v>1425</v>
      </c>
      <c r="U139" s="2" t="s">
        <v>1283</v>
      </c>
      <c r="V139" s="2">
        <v>9421061150</v>
      </c>
      <c r="W139" s="2" t="s">
        <v>941</v>
      </c>
      <c r="X139" s="2" t="s">
        <v>790</v>
      </c>
      <c r="Y139" s="2" t="s">
        <v>1184</v>
      </c>
      <c r="Z139" s="2" t="s">
        <v>1185</v>
      </c>
      <c r="AA139" s="2">
        <v>3500</v>
      </c>
      <c r="AB139" s="2">
        <v>200</v>
      </c>
      <c r="AC139" s="2">
        <v>500</v>
      </c>
      <c r="AD139" s="2">
        <v>300</v>
      </c>
      <c r="AE139" s="2">
        <f t="shared" si="18"/>
        <v>3900</v>
      </c>
      <c r="AF139" s="2">
        <v>1000</v>
      </c>
      <c r="AG139" s="4">
        <v>45486</v>
      </c>
      <c r="AH139" s="2">
        <f t="shared" si="19"/>
        <v>2900</v>
      </c>
      <c r="AI139" s="2">
        <v>1000</v>
      </c>
      <c r="AJ139" s="4">
        <v>45517</v>
      </c>
      <c r="AK139" s="2">
        <f t="shared" si="20"/>
        <v>1900</v>
      </c>
      <c r="AL139" s="2">
        <v>500</v>
      </c>
      <c r="AM139" s="4">
        <v>45548</v>
      </c>
      <c r="AN139" s="2">
        <f t="shared" si="21"/>
        <v>1400</v>
      </c>
      <c r="AO139" s="2" cm="1">
        <f t="array" ref="AO139">_xlfn.IFS(AN139&gt;=5000,3000,AN139&gt;=2000,1000,AN139&gt;=500,500,AN139&lt;500,AN139)</f>
        <v>500</v>
      </c>
      <c r="AP139" s="4">
        <v>45578</v>
      </c>
      <c r="AQ139" s="2">
        <f t="shared" si="22"/>
        <v>900</v>
      </c>
      <c r="AR139" s="2">
        <v>500</v>
      </c>
      <c r="AS139" s="4">
        <v>45609</v>
      </c>
      <c r="AT139" s="2">
        <f t="shared" si="23"/>
        <v>400</v>
      </c>
      <c r="AU139" s="2">
        <v>400</v>
      </c>
      <c r="AV139" s="4">
        <v>45639</v>
      </c>
      <c r="AW139" s="2">
        <v>0</v>
      </c>
      <c r="AX139" s="2">
        <f t="shared" si="24"/>
        <v>3900</v>
      </c>
      <c r="AY139" s="2">
        <f t="shared" si="25"/>
        <v>0</v>
      </c>
      <c r="AZ139" s="2" t="str">
        <f t="shared" si="26"/>
        <v>Paid</v>
      </c>
      <c r="BA139" s="9" t="str" cm="1">
        <f t="array" ref="BA139">_xlfn.IFS(AZ139="Paid","R",AZ139="Unpaid","Q")</f>
        <v>R</v>
      </c>
      <c r="BB139" s="8" t="s">
        <v>2815</v>
      </c>
    </row>
    <row r="140" spans="1:54" x14ac:dyDescent="0.25">
      <c r="A140" s="2">
        <v>139</v>
      </c>
      <c r="B140" s="2">
        <v>139</v>
      </c>
      <c r="C140" s="2" t="s">
        <v>300</v>
      </c>
      <c r="D140" s="2" t="s">
        <v>1798</v>
      </c>
      <c r="E140" s="2" t="s">
        <v>301</v>
      </c>
      <c r="F140" s="4">
        <v>45477</v>
      </c>
      <c r="G140" s="8" t="s">
        <v>13</v>
      </c>
      <c r="H140" s="8" t="s">
        <v>1254</v>
      </c>
      <c r="I140" s="2" t="s">
        <v>14</v>
      </c>
      <c r="J140" s="2" t="s">
        <v>15</v>
      </c>
      <c r="K140" s="2" t="s">
        <v>791</v>
      </c>
      <c r="L140" s="2" t="s">
        <v>1256</v>
      </c>
      <c r="M140" s="2" t="s">
        <v>1263</v>
      </c>
      <c r="N140" s="2" t="s">
        <v>2154</v>
      </c>
      <c r="O140" s="4">
        <v>38681</v>
      </c>
      <c r="P140" s="2" t="s">
        <v>2578</v>
      </c>
      <c r="Q140" s="2" t="s">
        <v>2416</v>
      </c>
      <c r="R140" s="2" t="s">
        <v>2393</v>
      </c>
      <c r="S140" s="2" t="s">
        <v>788</v>
      </c>
      <c r="T140" s="2" t="s">
        <v>1426</v>
      </c>
      <c r="U140" s="2" t="s">
        <v>1277</v>
      </c>
      <c r="V140" s="2">
        <v>6184035124</v>
      </c>
      <c r="W140" s="2" t="s">
        <v>942</v>
      </c>
      <c r="X140" s="2" t="s">
        <v>1183</v>
      </c>
      <c r="Y140" s="2" t="s">
        <v>1184</v>
      </c>
      <c r="Z140" s="2" t="s">
        <v>1185</v>
      </c>
      <c r="AA140" s="2">
        <v>3000</v>
      </c>
      <c r="AB140" s="2">
        <v>200</v>
      </c>
      <c r="AC140" s="2">
        <v>500</v>
      </c>
      <c r="AD140" s="2">
        <v>0</v>
      </c>
      <c r="AE140" s="2">
        <f t="shared" si="18"/>
        <v>3700</v>
      </c>
      <c r="AF140" s="2">
        <v>1000</v>
      </c>
      <c r="AG140" s="4">
        <v>45487</v>
      </c>
      <c r="AH140" s="2">
        <f t="shared" si="19"/>
        <v>2700</v>
      </c>
      <c r="AI140" s="2">
        <v>1000</v>
      </c>
      <c r="AJ140" s="4">
        <v>45518</v>
      </c>
      <c r="AK140" s="2">
        <f t="shared" si="20"/>
        <v>1700</v>
      </c>
      <c r="AL140" s="2">
        <v>500</v>
      </c>
      <c r="AM140" s="4">
        <v>45549</v>
      </c>
      <c r="AN140" s="2">
        <f t="shared" si="21"/>
        <v>1200</v>
      </c>
      <c r="AO140" s="2" cm="1">
        <f t="array" ref="AO140">_xlfn.IFS(AN140&gt;=5000,3000,AN140&gt;=2000,1000,AN140&gt;=500,500,AN140&lt;500,AN140)</f>
        <v>500</v>
      </c>
      <c r="AP140" s="4">
        <v>45579</v>
      </c>
      <c r="AQ140" s="2">
        <f t="shared" si="22"/>
        <v>700</v>
      </c>
      <c r="AR140" s="2">
        <v>500</v>
      </c>
      <c r="AS140" s="4">
        <v>45610</v>
      </c>
      <c r="AT140" s="2">
        <f t="shared" si="23"/>
        <v>200</v>
      </c>
      <c r="AU140" s="2">
        <v>200</v>
      </c>
      <c r="AV140" s="4">
        <v>45640</v>
      </c>
      <c r="AW140" s="2">
        <v>0</v>
      </c>
      <c r="AX140" s="2">
        <f t="shared" si="24"/>
        <v>3700</v>
      </c>
      <c r="AY140" s="2">
        <f t="shared" si="25"/>
        <v>0</v>
      </c>
      <c r="AZ140" s="2" t="str">
        <f t="shared" si="26"/>
        <v>Paid</v>
      </c>
      <c r="BA140" s="9" t="str" cm="1">
        <f t="array" ref="BA140">_xlfn.IFS(AZ140="Paid","R",AZ140="Unpaid","Q")</f>
        <v>R</v>
      </c>
      <c r="BB140" s="8" t="s">
        <v>2815</v>
      </c>
    </row>
    <row r="141" spans="1:54" x14ac:dyDescent="0.25">
      <c r="A141" s="2">
        <v>140</v>
      </c>
      <c r="B141" s="2">
        <v>140</v>
      </c>
      <c r="C141" s="2" t="s">
        <v>302</v>
      </c>
      <c r="D141" s="2" t="s">
        <v>1799</v>
      </c>
      <c r="E141" s="2" t="s">
        <v>303</v>
      </c>
      <c r="F141" s="4">
        <v>45483</v>
      </c>
      <c r="G141" s="8" t="s">
        <v>45</v>
      </c>
      <c r="H141" s="8" t="s">
        <v>1250</v>
      </c>
      <c r="I141" s="2" t="s">
        <v>14</v>
      </c>
      <c r="J141" s="2" t="s">
        <v>15</v>
      </c>
      <c r="K141" s="2" t="s">
        <v>791</v>
      </c>
      <c r="L141" s="2" t="s">
        <v>1259</v>
      </c>
      <c r="M141" s="2" t="s">
        <v>1262</v>
      </c>
      <c r="N141" s="2" t="s">
        <v>2155</v>
      </c>
      <c r="O141" s="4">
        <v>39333</v>
      </c>
      <c r="P141" s="2" t="s">
        <v>2579</v>
      </c>
      <c r="Q141" s="2" t="s">
        <v>2539</v>
      </c>
      <c r="R141" s="2" t="s">
        <v>2393</v>
      </c>
      <c r="S141" s="2" t="s">
        <v>796</v>
      </c>
      <c r="T141" s="2" t="s">
        <v>1427</v>
      </c>
      <c r="U141" s="2" t="s">
        <v>1273</v>
      </c>
      <c r="V141" s="2">
        <v>9310921783</v>
      </c>
      <c r="W141" s="2" t="s">
        <v>943</v>
      </c>
      <c r="X141" s="2" t="s">
        <v>813</v>
      </c>
      <c r="Y141" s="2" t="s">
        <v>1184</v>
      </c>
      <c r="Z141" s="2" t="s">
        <v>1185</v>
      </c>
      <c r="AA141" s="2">
        <v>2000</v>
      </c>
      <c r="AB141" s="2">
        <v>200</v>
      </c>
      <c r="AC141" s="2">
        <v>300</v>
      </c>
      <c r="AD141" s="2">
        <v>0</v>
      </c>
      <c r="AE141" s="2">
        <f t="shared" si="18"/>
        <v>2500</v>
      </c>
      <c r="AF141" s="2">
        <v>1000</v>
      </c>
      <c r="AG141" s="4">
        <v>45493</v>
      </c>
      <c r="AH141" s="2">
        <f t="shared" si="19"/>
        <v>1500</v>
      </c>
      <c r="AI141" s="2">
        <v>500</v>
      </c>
      <c r="AJ141" s="4">
        <v>45524</v>
      </c>
      <c r="AK141" s="2">
        <f t="shared" si="20"/>
        <v>1000</v>
      </c>
      <c r="AL141" s="2">
        <v>500</v>
      </c>
      <c r="AM141" s="4">
        <v>45555</v>
      </c>
      <c r="AN141" s="2">
        <f t="shared" si="21"/>
        <v>500</v>
      </c>
      <c r="AO141" s="2" cm="1">
        <f t="array" ref="AO141">_xlfn.IFS(AN141&gt;=5000,3000,AN141&gt;=2000,1000,AN141&gt;=500,500,AN141&lt;500,AN141)</f>
        <v>500</v>
      </c>
      <c r="AP141" s="4">
        <v>45585</v>
      </c>
      <c r="AQ141" s="2">
        <f t="shared" si="22"/>
        <v>0</v>
      </c>
      <c r="AR141" s="2" t="s">
        <v>1200</v>
      </c>
      <c r="AS141" s="4" t="s">
        <v>1200</v>
      </c>
      <c r="AT141" s="2" t="str">
        <f t="shared" si="23"/>
        <v/>
      </c>
      <c r="AU141" s="2" t="s">
        <v>1200</v>
      </c>
      <c r="AV141" s="4" t="s">
        <v>1200</v>
      </c>
      <c r="AW141" s="2" t="s">
        <v>1200</v>
      </c>
      <c r="AX141" s="2">
        <f t="shared" si="24"/>
        <v>2500</v>
      </c>
      <c r="AY141" s="2">
        <f t="shared" si="25"/>
        <v>0</v>
      </c>
      <c r="AZ141" s="2" t="str">
        <f t="shared" si="26"/>
        <v>Paid</v>
      </c>
      <c r="BA141" s="9" t="str" cm="1">
        <f t="array" ref="BA141">_xlfn.IFS(AZ141="Paid","R",AZ141="Unpaid","Q")</f>
        <v>R</v>
      </c>
      <c r="BB141" s="8" t="s">
        <v>2815</v>
      </c>
    </row>
    <row r="142" spans="1:54" x14ac:dyDescent="0.25">
      <c r="A142" s="2">
        <v>141</v>
      </c>
      <c r="B142" s="2">
        <v>141</v>
      </c>
      <c r="C142" s="2" t="s">
        <v>304</v>
      </c>
      <c r="D142" s="2" t="s">
        <v>1800</v>
      </c>
      <c r="E142" s="2" t="s">
        <v>305</v>
      </c>
      <c r="F142" s="4">
        <v>45483</v>
      </c>
      <c r="G142" s="8" t="s">
        <v>65</v>
      </c>
      <c r="H142" s="8" t="s">
        <v>65</v>
      </c>
      <c r="I142" s="2" t="s">
        <v>14</v>
      </c>
      <c r="J142" s="2" t="s">
        <v>15</v>
      </c>
      <c r="K142" s="2" t="s">
        <v>791</v>
      </c>
      <c r="L142" s="2" t="s">
        <v>1260</v>
      </c>
      <c r="M142" s="2" t="s">
        <v>1261</v>
      </c>
      <c r="N142" s="2" t="s">
        <v>2156</v>
      </c>
      <c r="O142" s="4">
        <v>33774</v>
      </c>
      <c r="P142" s="2" t="s">
        <v>2580</v>
      </c>
      <c r="Q142" s="2" t="s">
        <v>2446</v>
      </c>
      <c r="R142" s="2" t="s">
        <v>2393</v>
      </c>
      <c r="S142" s="2" t="s">
        <v>788</v>
      </c>
      <c r="T142" s="2" t="s">
        <v>1428</v>
      </c>
      <c r="U142" s="2" t="s">
        <v>1267</v>
      </c>
      <c r="V142" s="2">
        <v>7666506950</v>
      </c>
      <c r="W142" s="2" t="s">
        <v>944</v>
      </c>
      <c r="X142" s="2" t="s">
        <v>798</v>
      </c>
      <c r="Y142" s="2" t="s">
        <v>1184</v>
      </c>
      <c r="Z142" s="2" t="s">
        <v>1185</v>
      </c>
      <c r="AA142" s="2">
        <v>2500</v>
      </c>
      <c r="AB142" s="2">
        <v>200</v>
      </c>
      <c r="AC142" s="2">
        <v>500</v>
      </c>
      <c r="AD142" s="2">
        <v>0</v>
      </c>
      <c r="AE142" s="2">
        <f t="shared" si="18"/>
        <v>3200</v>
      </c>
      <c r="AF142" s="2">
        <v>1000</v>
      </c>
      <c r="AG142" s="4">
        <v>45493</v>
      </c>
      <c r="AH142" s="2">
        <f t="shared" si="19"/>
        <v>2200</v>
      </c>
      <c r="AI142" s="2">
        <v>1000</v>
      </c>
      <c r="AJ142" s="4">
        <v>45524</v>
      </c>
      <c r="AK142" s="2">
        <f t="shared" si="20"/>
        <v>1200</v>
      </c>
      <c r="AL142" s="2">
        <v>500</v>
      </c>
      <c r="AM142" s="4">
        <v>45555</v>
      </c>
      <c r="AN142" s="2">
        <f t="shared" si="21"/>
        <v>700</v>
      </c>
      <c r="AO142" s="2" cm="1">
        <f t="array" ref="AO142">_xlfn.IFS(AN142&gt;=5000,3000,AN142&gt;=2000,1000,AN142&gt;=500,500,AN142&lt;500,AN142)</f>
        <v>500</v>
      </c>
      <c r="AP142" s="4">
        <v>45585</v>
      </c>
      <c r="AQ142" s="2">
        <f t="shared" si="22"/>
        <v>200</v>
      </c>
      <c r="AR142" s="2">
        <v>200</v>
      </c>
      <c r="AS142" s="4">
        <v>45616</v>
      </c>
      <c r="AT142" s="2">
        <f t="shared" si="23"/>
        <v>0</v>
      </c>
      <c r="AU142" s="2" t="s">
        <v>1200</v>
      </c>
      <c r="AV142" s="4" t="s">
        <v>1200</v>
      </c>
      <c r="AW142" s="2" t="s">
        <v>1200</v>
      </c>
      <c r="AX142" s="2">
        <f t="shared" si="24"/>
        <v>3200</v>
      </c>
      <c r="AY142" s="2">
        <f t="shared" si="25"/>
        <v>0</v>
      </c>
      <c r="AZ142" s="2" t="str">
        <f t="shared" si="26"/>
        <v>Paid</v>
      </c>
      <c r="BA142" s="9" t="str" cm="1">
        <f t="array" ref="BA142">_xlfn.IFS(AZ142="Paid","R",AZ142="Unpaid","Q")</f>
        <v>R</v>
      </c>
      <c r="BB142" s="8" t="s">
        <v>2815</v>
      </c>
    </row>
    <row r="143" spans="1:54" x14ac:dyDescent="0.25">
      <c r="A143" s="2">
        <v>142</v>
      </c>
      <c r="B143" s="2">
        <v>142</v>
      </c>
      <c r="C143" s="2" t="s">
        <v>306</v>
      </c>
      <c r="D143" s="2" t="s">
        <v>1801</v>
      </c>
      <c r="E143" s="2" t="s">
        <v>307</v>
      </c>
      <c r="F143" s="4">
        <v>45486</v>
      </c>
      <c r="G143" s="8" t="s">
        <v>26</v>
      </c>
      <c r="H143" s="8" t="s">
        <v>1243</v>
      </c>
      <c r="I143" s="2" t="s">
        <v>9</v>
      </c>
      <c r="J143" s="2" t="s">
        <v>10</v>
      </c>
      <c r="K143" s="2" t="s">
        <v>787</v>
      </c>
      <c r="L143" s="2" t="s">
        <v>1257</v>
      </c>
      <c r="M143" s="2" t="s">
        <v>1261</v>
      </c>
      <c r="N143" s="2" t="s">
        <v>2157</v>
      </c>
      <c r="O143" s="4">
        <v>35047</v>
      </c>
      <c r="P143" s="2" t="s">
        <v>2581</v>
      </c>
      <c r="Q143" s="2" t="s">
        <v>2422</v>
      </c>
      <c r="R143" s="2" t="s">
        <v>2393</v>
      </c>
      <c r="S143" s="2" t="s">
        <v>792</v>
      </c>
      <c r="T143" s="2" t="s">
        <v>1429</v>
      </c>
      <c r="U143" s="2" t="s">
        <v>1268</v>
      </c>
      <c r="V143" s="2">
        <v>7914762497</v>
      </c>
      <c r="W143" s="2" t="s">
        <v>945</v>
      </c>
      <c r="X143" s="2" t="s">
        <v>1183</v>
      </c>
      <c r="Y143" s="2" t="s">
        <v>1184</v>
      </c>
      <c r="Z143" s="2" t="s">
        <v>1185</v>
      </c>
      <c r="AA143" s="2">
        <v>15000</v>
      </c>
      <c r="AB143" s="2">
        <v>200</v>
      </c>
      <c r="AC143" s="2">
        <v>1200</v>
      </c>
      <c r="AD143" s="2">
        <v>500</v>
      </c>
      <c r="AE143" s="2">
        <f t="shared" si="18"/>
        <v>15900</v>
      </c>
      <c r="AF143" s="2">
        <v>5000</v>
      </c>
      <c r="AG143" s="4">
        <v>45496</v>
      </c>
      <c r="AH143" s="2">
        <f t="shared" si="19"/>
        <v>10900</v>
      </c>
      <c r="AI143" s="2">
        <v>3000</v>
      </c>
      <c r="AJ143" s="4">
        <v>45527</v>
      </c>
      <c r="AK143" s="2">
        <f t="shared" si="20"/>
        <v>7900</v>
      </c>
      <c r="AL143" s="2">
        <v>3000</v>
      </c>
      <c r="AM143" s="4">
        <v>45558</v>
      </c>
      <c r="AN143" s="2">
        <f t="shared" si="21"/>
        <v>4900</v>
      </c>
      <c r="AO143" s="2" cm="1">
        <f t="array" ref="AO143">_xlfn.IFS(AN143&gt;=5000,3000,AN143&gt;=2000,1000,AN143&gt;=500,500,AN143&lt;500,AN143)</f>
        <v>1000</v>
      </c>
      <c r="AP143" s="4">
        <v>45588</v>
      </c>
      <c r="AQ143" s="2">
        <f t="shared" si="22"/>
        <v>3900</v>
      </c>
      <c r="AR143" s="2">
        <v>2000</v>
      </c>
      <c r="AS143" s="4">
        <v>45619</v>
      </c>
      <c r="AT143" s="2">
        <f t="shared" si="23"/>
        <v>1900</v>
      </c>
      <c r="AU143" s="2">
        <v>1900</v>
      </c>
      <c r="AV143" s="4">
        <v>45649</v>
      </c>
      <c r="AW143" s="2">
        <v>0</v>
      </c>
      <c r="AX143" s="2">
        <f t="shared" si="24"/>
        <v>15900</v>
      </c>
      <c r="AY143" s="2">
        <f t="shared" si="25"/>
        <v>0</v>
      </c>
      <c r="AZ143" s="2" t="str">
        <f t="shared" si="26"/>
        <v>Paid</v>
      </c>
      <c r="BA143" s="9" t="str" cm="1">
        <f t="array" ref="BA143">_xlfn.IFS(AZ143="Paid","R",AZ143="Unpaid","Q")</f>
        <v>R</v>
      </c>
      <c r="BB143" s="8" t="s">
        <v>2815</v>
      </c>
    </row>
    <row r="144" spans="1:54" x14ac:dyDescent="0.25">
      <c r="A144" s="2">
        <v>143</v>
      </c>
      <c r="B144" s="2">
        <v>143</v>
      </c>
      <c r="C144" s="2" t="s">
        <v>308</v>
      </c>
      <c r="D144" s="2" t="s">
        <v>1802</v>
      </c>
      <c r="E144" s="2" t="s">
        <v>309</v>
      </c>
      <c r="F144" s="4">
        <v>45490</v>
      </c>
      <c r="G144" s="8" t="s">
        <v>65</v>
      </c>
      <c r="H144" s="8" t="s">
        <v>65</v>
      </c>
      <c r="I144" s="2" t="s">
        <v>14</v>
      </c>
      <c r="J144" s="2" t="s">
        <v>15</v>
      </c>
      <c r="K144" s="2" t="s">
        <v>791</v>
      </c>
      <c r="L144" s="2" t="s">
        <v>1257</v>
      </c>
      <c r="M144" s="2" t="s">
        <v>1261</v>
      </c>
      <c r="N144" s="2" t="s">
        <v>2158</v>
      </c>
      <c r="O144" s="4">
        <v>32289</v>
      </c>
      <c r="P144" s="2" t="s">
        <v>2582</v>
      </c>
      <c r="Q144" s="2" t="s">
        <v>2405</v>
      </c>
      <c r="R144" s="2" t="s">
        <v>2396</v>
      </c>
      <c r="S144" s="2" t="s">
        <v>788</v>
      </c>
      <c r="T144" s="2" t="s">
        <v>1430</v>
      </c>
      <c r="U144" s="2" t="s">
        <v>1286</v>
      </c>
      <c r="V144" s="2">
        <v>8480045216</v>
      </c>
      <c r="W144" s="2" t="s">
        <v>946</v>
      </c>
      <c r="X144" s="2" t="s">
        <v>809</v>
      </c>
      <c r="Y144" s="2" t="s">
        <v>1184</v>
      </c>
      <c r="Z144" s="2" t="s">
        <v>1185</v>
      </c>
      <c r="AA144" s="2">
        <v>2500</v>
      </c>
      <c r="AB144" s="2">
        <v>200</v>
      </c>
      <c r="AC144" s="2">
        <v>500</v>
      </c>
      <c r="AD144" s="2">
        <v>0</v>
      </c>
      <c r="AE144" s="2">
        <f t="shared" si="18"/>
        <v>3200</v>
      </c>
      <c r="AF144" s="2">
        <v>1000</v>
      </c>
      <c r="AG144" s="4">
        <v>45500</v>
      </c>
      <c r="AH144" s="2">
        <f t="shared" si="19"/>
        <v>2200</v>
      </c>
      <c r="AI144" s="2">
        <v>1000</v>
      </c>
      <c r="AJ144" s="4">
        <v>45531</v>
      </c>
      <c r="AK144" s="2">
        <f t="shared" si="20"/>
        <v>1200</v>
      </c>
      <c r="AL144" s="2">
        <v>500</v>
      </c>
      <c r="AM144" s="4">
        <v>45562</v>
      </c>
      <c r="AN144" s="2">
        <f t="shared" si="21"/>
        <v>700</v>
      </c>
      <c r="AO144" s="2" cm="1">
        <f t="array" ref="AO144">_xlfn.IFS(AN144&gt;=5000,3000,AN144&gt;=2000,1000,AN144&gt;=500,500,AN144&lt;500,AN144)</f>
        <v>500</v>
      </c>
      <c r="AP144" s="4">
        <v>45592</v>
      </c>
      <c r="AQ144" s="2">
        <f t="shared" si="22"/>
        <v>200</v>
      </c>
      <c r="AR144" s="2">
        <v>200</v>
      </c>
      <c r="AS144" s="4">
        <v>45623</v>
      </c>
      <c r="AT144" s="2">
        <f t="shared" si="23"/>
        <v>0</v>
      </c>
      <c r="AU144" s="2" t="s">
        <v>1200</v>
      </c>
      <c r="AV144" s="4" t="s">
        <v>1200</v>
      </c>
      <c r="AW144" s="2" t="s">
        <v>1200</v>
      </c>
      <c r="AX144" s="2">
        <f t="shared" si="24"/>
        <v>3200</v>
      </c>
      <c r="AY144" s="2">
        <f t="shared" si="25"/>
        <v>0</v>
      </c>
      <c r="AZ144" s="2" t="str">
        <f t="shared" si="26"/>
        <v>Paid</v>
      </c>
      <c r="BA144" s="9" t="str" cm="1">
        <f t="array" ref="BA144">_xlfn.IFS(AZ144="Paid","R",AZ144="Unpaid","Q")</f>
        <v>R</v>
      </c>
      <c r="BB144" s="8" t="s">
        <v>2815</v>
      </c>
    </row>
    <row r="145" spans="1:54" x14ac:dyDescent="0.25">
      <c r="A145" s="2">
        <v>144</v>
      </c>
      <c r="B145" s="2">
        <v>144</v>
      </c>
      <c r="C145" s="2" t="s">
        <v>310</v>
      </c>
      <c r="D145" s="2" t="s">
        <v>1803</v>
      </c>
      <c r="E145" s="2" t="s">
        <v>311</v>
      </c>
      <c r="F145" s="4">
        <v>45490</v>
      </c>
      <c r="G145" s="8" t="s">
        <v>38</v>
      </c>
      <c r="H145" s="8" t="s">
        <v>1246</v>
      </c>
      <c r="I145" s="2" t="s">
        <v>9</v>
      </c>
      <c r="J145" s="2" t="s">
        <v>15</v>
      </c>
      <c r="K145" s="2" t="s">
        <v>795</v>
      </c>
      <c r="L145" s="2" t="s">
        <v>1257</v>
      </c>
      <c r="M145" s="2" t="s">
        <v>1261</v>
      </c>
      <c r="N145" s="2" t="s">
        <v>2159</v>
      </c>
      <c r="O145" s="4">
        <v>37566</v>
      </c>
      <c r="P145" s="2" t="s">
        <v>2583</v>
      </c>
      <c r="Q145" s="2" t="s">
        <v>2424</v>
      </c>
      <c r="R145" s="2" t="s">
        <v>2396</v>
      </c>
      <c r="S145" s="2" t="s">
        <v>792</v>
      </c>
      <c r="T145" s="2" t="s">
        <v>1431</v>
      </c>
      <c r="U145" s="2" t="s">
        <v>1274</v>
      </c>
      <c r="V145" s="2">
        <v>8849268553</v>
      </c>
      <c r="W145" s="2" t="s">
        <v>947</v>
      </c>
      <c r="X145" s="2" t="s">
        <v>807</v>
      </c>
      <c r="Y145" s="2" t="s">
        <v>1184</v>
      </c>
      <c r="Z145" s="2" t="s">
        <v>1185</v>
      </c>
      <c r="AA145" s="2">
        <v>6000</v>
      </c>
      <c r="AB145" s="2">
        <v>200</v>
      </c>
      <c r="AC145" s="2">
        <v>800</v>
      </c>
      <c r="AD145" s="2">
        <v>0</v>
      </c>
      <c r="AE145" s="2">
        <f t="shared" si="18"/>
        <v>7000</v>
      </c>
      <c r="AF145" s="2">
        <v>2500</v>
      </c>
      <c r="AG145" s="4">
        <v>45500</v>
      </c>
      <c r="AH145" s="2">
        <f t="shared" si="19"/>
        <v>4500</v>
      </c>
      <c r="AI145" s="2">
        <v>1000</v>
      </c>
      <c r="AJ145" s="4">
        <v>45531</v>
      </c>
      <c r="AK145" s="2">
        <f t="shared" si="20"/>
        <v>3500</v>
      </c>
      <c r="AL145" s="2">
        <v>1000</v>
      </c>
      <c r="AM145" s="4">
        <v>45562</v>
      </c>
      <c r="AN145" s="2">
        <f t="shared" si="21"/>
        <v>2500</v>
      </c>
      <c r="AO145" s="2" cm="1">
        <f t="array" ref="AO145">_xlfn.IFS(AN145&gt;=5000,3000,AN145&gt;=2000,1000,AN145&gt;=500,500,AN145&lt;500,AN145)</f>
        <v>1000</v>
      </c>
      <c r="AP145" s="4">
        <v>45592</v>
      </c>
      <c r="AQ145" s="2">
        <f t="shared" si="22"/>
        <v>1500</v>
      </c>
      <c r="AR145" s="2">
        <v>1000</v>
      </c>
      <c r="AS145" s="4">
        <v>45623</v>
      </c>
      <c r="AT145" s="2">
        <f t="shared" si="23"/>
        <v>500</v>
      </c>
      <c r="AU145" s="2">
        <v>500</v>
      </c>
      <c r="AV145" s="4">
        <v>45653</v>
      </c>
      <c r="AW145" s="2">
        <v>0</v>
      </c>
      <c r="AX145" s="2">
        <f t="shared" si="24"/>
        <v>7000</v>
      </c>
      <c r="AY145" s="2">
        <f t="shared" si="25"/>
        <v>0</v>
      </c>
      <c r="AZ145" s="2" t="str">
        <f t="shared" si="26"/>
        <v>Paid</v>
      </c>
      <c r="BA145" s="9" t="str" cm="1">
        <f t="array" ref="BA145">_xlfn.IFS(AZ145="Paid","R",AZ145="Unpaid","Q")</f>
        <v>R</v>
      </c>
      <c r="BB145" s="8" t="s">
        <v>2815</v>
      </c>
    </row>
    <row r="146" spans="1:54" x14ac:dyDescent="0.25">
      <c r="A146" s="2">
        <v>145</v>
      </c>
      <c r="B146" s="2">
        <v>145</v>
      </c>
      <c r="C146" s="2" t="s">
        <v>312</v>
      </c>
      <c r="D146" s="2" t="s">
        <v>1804</v>
      </c>
      <c r="E146" s="2" t="s">
        <v>313</v>
      </c>
      <c r="F146" s="4">
        <v>45492</v>
      </c>
      <c r="G146" s="8" t="s">
        <v>32</v>
      </c>
      <c r="H146" s="8" t="s">
        <v>1249</v>
      </c>
      <c r="I146" s="2" t="s">
        <v>14</v>
      </c>
      <c r="J146" s="2" t="s">
        <v>15</v>
      </c>
      <c r="K146" s="2" t="s">
        <v>791</v>
      </c>
      <c r="L146" s="2" t="s">
        <v>1257</v>
      </c>
      <c r="M146" s="2" t="s">
        <v>1261</v>
      </c>
      <c r="N146" s="2" t="s">
        <v>2160</v>
      </c>
      <c r="O146" s="4">
        <v>35668</v>
      </c>
      <c r="P146" s="2" t="s">
        <v>2584</v>
      </c>
      <c r="Q146" s="2" t="s">
        <v>2457</v>
      </c>
      <c r="R146" s="2" t="s">
        <v>2396</v>
      </c>
      <c r="S146" s="2" t="s">
        <v>788</v>
      </c>
      <c r="T146" s="2" t="s">
        <v>1432</v>
      </c>
      <c r="U146" s="2" t="s">
        <v>1286</v>
      </c>
      <c r="V146" s="2">
        <v>7947206239</v>
      </c>
      <c r="W146" s="2" t="s">
        <v>948</v>
      </c>
      <c r="X146" s="2" t="s">
        <v>837</v>
      </c>
      <c r="Y146" s="2" t="s">
        <v>1184</v>
      </c>
      <c r="Z146" s="2" t="s">
        <v>1185</v>
      </c>
      <c r="AA146" s="2">
        <v>2000</v>
      </c>
      <c r="AB146" s="2">
        <v>200</v>
      </c>
      <c r="AC146" s="2">
        <v>300</v>
      </c>
      <c r="AD146" s="2">
        <v>500</v>
      </c>
      <c r="AE146" s="2">
        <f t="shared" si="18"/>
        <v>2000</v>
      </c>
      <c r="AF146" s="2">
        <v>500</v>
      </c>
      <c r="AG146" s="4">
        <v>45502</v>
      </c>
      <c r="AH146" s="2">
        <f t="shared" si="19"/>
        <v>1500</v>
      </c>
      <c r="AI146" s="2">
        <v>500</v>
      </c>
      <c r="AJ146" s="4">
        <v>45533</v>
      </c>
      <c r="AK146" s="2">
        <f t="shared" si="20"/>
        <v>1000</v>
      </c>
      <c r="AL146" s="2">
        <v>500</v>
      </c>
      <c r="AM146" s="4">
        <v>45564</v>
      </c>
      <c r="AN146" s="2">
        <f t="shared" si="21"/>
        <v>500</v>
      </c>
      <c r="AO146" s="2" cm="1">
        <f t="array" ref="AO146">_xlfn.IFS(AN146&gt;=5000,3000,AN146&gt;=2000,1000,AN146&gt;=500,500,AN146&lt;500,AN146)</f>
        <v>500</v>
      </c>
      <c r="AP146" s="4">
        <v>45594</v>
      </c>
      <c r="AQ146" s="2">
        <f t="shared" si="22"/>
        <v>0</v>
      </c>
      <c r="AR146" s="2" t="s">
        <v>1200</v>
      </c>
      <c r="AS146" s="4" t="s">
        <v>1200</v>
      </c>
      <c r="AT146" s="2" t="str">
        <f t="shared" si="23"/>
        <v/>
      </c>
      <c r="AU146" s="2" t="s">
        <v>1200</v>
      </c>
      <c r="AV146" s="4" t="s">
        <v>1200</v>
      </c>
      <c r="AW146" s="2" t="s">
        <v>1200</v>
      </c>
      <c r="AX146" s="2">
        <f t="shared" si="24"/>
        <v>2000</v>
      </c>
      <c r="AY146" s="2">
        <f t="shared" si="25"/>
        <v>0</v>
      </c>
      <c r="AZ146" s="2" t="str">
        <f t="shared" si="26"/>
        <v>Paid</v>
      </c>
      <c r="BA146" s="9" t="str" cm="1">
        <f t="array" ref="BA146">_xlfn.IFS(AZ146="Paid","R",AZ146="Unpaid","Q")</f>
        <v>R</v>
      </c>
      <c r="BB146" s="8" t="s">
        <v>2815</v>
      </c>
    </row>
    <row r="147" spans="1:54" x14ac:dyDescent="0.25">
      <c r="A147" s="2">
        <v>146</v>
      </c>
      <c r="B147" s="2">
        <v>146</v>
      </c>
      <c r="C147" s="2" t="s">
        <v>314</v>
      </c>
      <c r="D147" s="2" t="s">
        <v>1805</v>
      </c>
      <c r="E147" s="2" t="s">
        <v>315</v>
      </c>
      <c r="F147" s="4">
        <v>45496</v>
      </c>
      <c r="G147" s="8" t="s">
        <v>95</v>
      </c>
      <c r="H147" s="8" t="s">
        <v>1245</v>
      </c>
      <c r="I147" s="2" t="s">
        <v>14</v>
      </c>
      <c r="J147" s="2" t="s">
        <v>15</v>
      </c>
      <c r="K147" s="2" t="s">
        <v>791</v>
      </c>
      <c r="L147" s="2" t="s">
        <v>1256</v>
      </c>
      <c r="M147" s="2" t="s">
        <v>1263</v>
      </c>
      <c r="N147" s="2" t="s">
        <v>2161</v>
      </c>
      <c r="O147" s="4">
        <v>35871</v>
      </c>
      <c r="P147" s="2" t="s">
        <v>2585</v>
      </c>
      <c r="Q147" s="2" t="s">
        <v>2586</v>
      </c>
      <c r="R147" s="2" t="s">
        <v>2396</v>
      </c>
      <c r="S147" s="2" t="s">
        <v>792</v>
      </c>
      <c r="T147" s="2" t="s">
        <v>1433</v>
      </c>
      <c r="U147" s="2" t="s">
        <v>1284</v>
      </c>
      <c r="V147" s="2">
        <v>8202834456</v>
      </c>
      <c r="W147" s="2" t="s">
        <v>949</v>
      </c>
      <c r="X147" s="2" t="s">
        <v>813</v>
      </c>
      <c r="Y147" s="2" t="s">
        <v>1184</v>
      </c>
      <c r="Z147" s="2" t="s">
        <v>1185</v>
      </c>
      <c r="AA147" s="2">
        <v>3500</v>
      </c>
      <c r="AB147" s="2">
        <v>200</v>
      </c>
      <c r="AC147" s="2">
        <v>500</v>
      </c>
      <c r="AD147" s="2">
        <v>300</v>
      </c>
      <c r="AE147" s="2">
        <f t="shared" si="18"/>
        <v>3900</v>
      </c>
      <c r="AF147" s="2">
        <v>1000</v>
      </c>
      <c r="AG147" s="4">
        <v>45506</v>
      </c>
      <c r="AH147" s="2">
        <f t="shared" si="19"/>
        <v>2900</v>
      </c>
      <c r="AI147" s="2">
        <v>1000</v>
      </c>
      <c r="AJ147" s="4">
        <v>45537</v>
      </c>
      <c r="AK147" s="2">
        <f t="shared" si="20"/>
        <v>1900</v>
      </c>
      <c r="AL147" s="2">
        <v>500</v>
      </c>
      <c r="AM147" s="4">
        <v>45567</v>
      </c>
      <c r="AN147" s="2">
        <f t="shared" si="21"/>
        <v>1400</v>
      </c>
      <c r="AO147" s="2" cm="1">
        <f t="array" ref="AO147">_xlfn.IFS(AN147&gt;=5000,3000,AN147&gt;=2000,1000,AN147&gt;=500,500,AN147&lt;500,AN147)</f>
        <v>500</v>
      </c>
      <c r="AP147" s="4">
        <v>45598</v>
      </c>
      <c r="AQ147" s="2">
        <f t="shared" si="22"/>
        <v>900</v>
      </c>
      <c r="AR147" s="2">
        <v>500</v>
      </c>
      <c r="AS147" s="4">
        <v>45628</v>
      </c>
      <c r="AT147" s="2">
        <f t="shared" si="23"/>
        <v>400</v>
      </c>
      <c r="AU147" s="2">
        <v>400</v>
      </c>
      <c r="AV147" s="4">
        <v>45659</v>
      </c>
      <c r="AW147" s="2">
        <v>0</v>
      </c>
      <c r="AX147" s="2">
        <f t="shared" si="24"/>
        <v>3900</v>
      </c>
      <c r="AY147" s="2">
        <f t="shared" si="25"/>
        <v>0</v>
      </c>
      <c r="AZ147" s="2" t="str">
        <f t="shared" si="26"/>
        <v>Paid</v>
      </c>
      <c r="BA147" s="9" t="str" cm="1">
        <f t="array" ref="BA147">_xlfn.IFS(AZ147="Paid","R",AZ147="Unpaid","Q")</f>
        <v>R</v>
      </c>
      <c r="BB147" s="8" t="s">
        <v>2815</v>
      </c>
    </row>
    <row r="148" spans="1:54" x14ac:dyDescent="0.25">
      <c r="A148" s="2">
        <v>147</v>
      </c>
      <c r="B148" s="2">
        <v>147</v>
      </c>
      <c r="C148" s="2" t="s">
        <v>316</v>
      </c>
      <c r="D148" s="2" t="s">
        <v>1806</v>
      </c>
      <c r="E148" s="2" t="s">
        <v>317</v>
      </c>
      <c r="F148" s="4">
        <v>45496</v>
      </c>
      <c r="G148" s="8" t="s">
        <v>18</v>
      </c>
      <c r="H148" s="8" t="s">
        <v>1253</v>
      </c>
      <c r="I148" s="2" t="s">
        <v>9</v>
      </c>
      <c r="J148" s="2" t="s">
        <v>15</v>
      </c>
      <c r="K148" s="2" t="s">
        <v>795</v>
      </c>
      <c r="L148" s="2" t="s">
        <v>1257</v>
      </c>
      <c r="M148" s="2" t="s">
        <v>1261</v>
      </c>
      <c r="N148" s="2" t="s">
        <v>2162</v>
      </c>
      <c r="O148" s="4">
        <v>34316</v>
      </c>
      <c r="P148" s="2" t="s">
        <v>2587</v>
      </c>
      <c r="Q148" s="2" t="s">
        <v>2556</v>
      </c>
      <c r="R148" s="2" t="s">
        <v>2393</v>
      </c>
      <c r="S148" s="2" t="s">
        <v>788</v>
      </c>
      <c r="T148" s="2" t="s">
        <v>1434</v>
      </c>
      <c r="U148" s="2" t="s">
        <v>1269</v>
      </c>
      <c r="V148" s="2">
        <v>6397213537</v>
      </c>
      <c r="W148" s="2" t="s">
        <v>950</v>
      </c>
      <c r="X148" s="2" t="s">
        <v>822</v>
      </c>
      <c r="Y148" s="2" t="s">
        <v>1184</v>
      </c>
      <c r="Z148" s="2" t="s">
        <v>1185</v>
      </c>
      <c r="AA148" s="2">
        <v>7000</v>
      </c>
      <c r="AB148" s="2">
        <v>200</v>
      </c>
      <c r="AC148" s="2">
        <v>800</v>
      </c>
      <c r="AD148" s="2">
        <v>0</v>
      </c>
      <c r="AE148" s="2">
        <f t="shared" si="18"/>
        <v>8000</v>
      </c>
      <c r="AF148" s="2">
        <v>2500</v>
      </c>
      <c r="AG148" s="4">
        <v>45506</v>
      </c>
      <c r="AH148" s="2">
        <f t="shared" si="19"/>
        <v>5500</v>
      </c>
      <c r="AI148" s="2">
        <v>3000</v>
      </c>
      <c r="AJ148" s="4">
        <v>45537</v>
      </c>
      <c r="AK148" s="2">
        <f t="shared" si="20"/>
        <v>2500</v>
      </c>
      <c r="AL148" s="2">
        <v>1000</v>
      </c>
      <c r="AM148" s="4">
        <v>45567</v>
      </c>
      <c r="AN148" s="2">
        <f t="shared" si="21"/>
        <v>1500</v>
      </c>
      <c r="AO148" s="2" cm="1">
        <f t="array" ref="AO148">_xlfn.IFS(AN148&gt;=5000,3000,AN148&gt;=2000,1000,AN148&gt;=500,500,AN148&lt;500,AN148)</f>
        <v>500</v>
      </c>
      <c r="AP148" s="4">
        <v>45598</v>
      </c>
      <c r="AQ148" s="2">
        <f t="shared" si="22"/>
        <v>1000</v>
      </c>
      <c r="AR148" s="2">
        <v>1000</v>
      </c>
      <c r="AS148" s="4">
        <v>45628</v>
      </c>
      <c r="AT148" s="2">
        <f t="shared" si="23"/>
        <v>0</v>
      </c>
      <c r="AU148" s="2" t="s">
        <v>1200</v>
      </c>
      <c r="AV148" s="4" t="s">
        <v>1200</v>
      </c>
      <c r="AW148" s="2" t="s">
        <v>1200</v>
      </c>
      <c r="AX148" s="2">
        <f t="shared" si="24"/>
        <v>8000</v>
      </c>
      <c r="AY148" s="2">
        <f t="shared" si="25"/>
        <v>0</v>
      </c>
      <c r="AZ148" s="2" t="str">
        <f t="shared" si="26"/>
        <v>Paid</v>
      </c>
      <c r="BA148" s="9" t="str" cm="1">
        <f t="array" ref="BA148">_xlfn.IFS(AZ148="Paid","R",AZ148="Unpaid","Q")</f>
        <v>R</v>
      </c>
      <c r="BB148" s="8" t="s">
        <v>2815</v>
      </c>
    </row>
    <row r="149" spans="1:54" x14ac:dyDescent="0.25">
      <c r="A149" s="2">
        <v>148</v>
      </c>
      <c r="B149" s="2">
        <v>148</v>
      </c>
      <c r="C149" s="2" t="s">
        <v>318</v>
      </c>
      <c r="D149" s="2" t="s">
        <v>1807</v>
      </c>
      <c r="E149" s="2" t="s">
        <v>319</v>
      </c>
      <c r="F149" s="4">
        <v>45497</v>
      </c>
      <c r="G149" s="8" t="s">
        <v>18</v>
      </c>
      <c r="H149" s="8" t="s">
        <v>1253</v>
      </c>
      <c r="I149" s="2" t="s">
        <v>9</v>
      </c>
      <c r="J149" s="2" t="s">
        <v>15</v>
      </c>
      <c r="K149" s="2" t="s">
        <v>795</v>
      </c>
      <c r="L149" s="2" t="s">
        <v>1258</v>
      </c>
      <c r="M149" s="2" t="s">
        <v>1264</v>
      </c>
      <c r="N149" s="2" t="s">
        <v>2163</v>
      </c>
      <c r="O149" s="4">
        <v>33342</v>
      </c>
      <c r="P149" s="2" t="s">
        <v>2588</v>
      </c>
      <c r="Q149" s="2" t="s">
        <v>2409</v>
      </c>
      <c r="R149" s="2" t="s">
        <v>2393</v>
      </c>
      <c r="S149" s="2" t="s">
        <v>788</v>
      </c>
      <c r="T149" s="2" t="s">
        <v>1435</v>
      </c>
      <c r="U149" s="2" t="s">
        <v>1276</v>
      </c>
      <c r="V149" s="2">
        <v>7414258637</v>
      </c>
      <c r="W149" s="2" t="s">
        <v>951</v>
      </c>
      <c r="X149" s="2" t="s">
        <v>837</v>
      </c>
      <c r="Y149" s="2" t="s">
        <v>1184</v>
      </c>
      <c r="Z149" s="2" t="s">
        <v>1185</v>
      </c>
      <c r="AA149" s="2">
        <v>7000</v>
      </c>
      <c r="AB149" s="2">
        <v>200</v>
      </c>
      <c r="AC149" s="2">
        <v>800</v>
      </c>
      <c r="AD149" s="2">
        <v>200</v>
      </c>
      <c r="AE149" s="2">
        <f t="shared" si="18"/>
        <v>7800</v>
      </c>
      <c r="AF149" s="2">
        <v>2500</v>
      </c>
      <c r="AG149" s="4">
        <v>45507</v>
      </c>
      <c r="AH149" s="2">
        <f t="shared" si="19"/>
        <v>5300</v>
      </c>
      <c r="AI149" s="2">
        <v>3000</v>
      </c>
      <c r="AJ149" s="4">
        <v>45538</v>
      </c>
      <c r="AK149" s="2">
        <f t="shared" si="20"/>
        <v>2300</v>
      </c>
      <c r="AL149" s="2">
        <v>1000</v>
      </c>
      <c r="AM149" s="4">
        <v>45568</v>
      </c>
      <c r="AN149" s="2">
        <f t="shared" si="21"/>
        <v>1300</v>
      </c>
      <c r="AO149" s="2" cm="1">
        <f t="array" ref="AO149">_xlfn.IFS(AN149&gt;=5000,3000,AN149&gt;=2000,1000,AN149&gt;=500,500,AN149&lt;500,AN149)</f>
        <v>500</v>
      </c>
      <c r="AP149" s="4">
        <v>45599</v>
      </c>
      <c r="AQ149" s="2">
        <f t="shared" si="22"/>
        <v>800</v>
      </c>
      <c r="AR149" s="2">
        <v>500</v>
      </c>
      <c r="AS149" s="4">
        <v>45629</v>
      </c>
      <c r="AT149" s="2">
        <f t="shared" si="23"/>
        <v>300</v>
      </c>
      <c r="AU149" s="2">
        <v>300</v>
      </c>
      <c r="AV149" s="4">
        <v>45660</v>
      </c>
      <c r="AW149" s="2">
        <v>0</v>
      </c>
      <c r="AX149" s="2">
        <f t="shared" si="24"/>
        <v>7800</v>
      </c>
      <c r="AY149" s="2">
        <f t="shared" si="25"/>
        <v>0</v>
      </c>
      <c r="AZ149" s="2" t="str">
        <f t="shared" si="26"/>
        <v>Paid</v>
      </c>
      <c r="BA149" s="9" t="str" cm="1">
        <f t="array" ref="BA149">_xlfn.IFS(AZ149="Paid","R",AZ149="Unpaid","Q")</f>
        <v>R</v>
      </c>
      <c r="BB149" s="8" t="s">
        <v>2815</v>
      </c>
    </row>
    <row r="150" spans="1:54" x14ac:dyDescent="0.25">
      <c r="A150" s="2">
        <v>149</v>
      </c>
      <c r="B150" s="2">
        <v>149</v>
      </c>
      <c r="C150" s="2" t="s">
        <v>320</v>
      </c>
      <c r="D150" s="2" t="s">
        <v>1808</v>
      </c>
      <c r="E150" s="2" t="s">
        <v>321</v>
      </c>
      <c r="F150" s="4">
        <v>45498</v>
      </c>
      <c r="G150" s="8" t="s">
        <v>48</v>
      </c>
      <c r="H150" s="8" t="s">
        <v>1251</v>
      </c>
      <c r="I150" s="2" t="s">
        <v>14</v>
      </c>
      <c r="J150" s="2" t="s">
        <v>15</v>
      </c>
      <c r="K150" s="2" t="s">
        <v>791</v>
      </c>
      <c r="L150" s="2" t="s">
        <v>1257</v>
      </c>
      <c r="M150" s="2" t="s">
        <v>1261</v>
      </c>
      <c r="N150" s="2" t="s">
        <v>2164</v>
      </c>
      <c r="O150" s="4">
        <v>35726</v>
      </c>
      <c r="P150" s="2" t="s">
        <v>2589</v>
      </c>
      <c r="Q150" s="2" t="s">
        <v>2434</v>
      </c>
      <c r="R150" s="2" t="s">
        <v>2396</v>
      </c>
      <c r="S150" s="2" t="s">
        <v>792</v>
      </c>
      <c r="T150" s="2" t="s">
        <v>1436</v>
      </c>
      <c r="U150" s="2" t="s">
        <v>1272</v>
      </c>
      <c r="V150" s="2">
        <v>7912636990</v>
      </c>
      <c r="W150" s="2" t="s">
        <v>952</v>
      </c>
      <c r="X150" s="2" t="s">
        <v>813</v>
      </c>
      <c r="Y150" s="2" t="s">
        <v>1184</v>
      </c>
      <c r="Z150" s="2" t="s">
        <v>1185</v>
      </c>
      <c r="AA150" s="2">
        <v>3000</v>
      </c>
      <c r="AB150" s="2">
        <v>200</v>
      </c>
      <c r="AC150" s="2">
        <v>500</v>
      </c>
      <c r="AD150" s="2">
        <v>0</v>
      </c>
      <c r="AE150" s="2">
        <f t="shared" si="18"/>
        <v>3700</v>
      </c>
      <c r="AF150" s="2">
        <v>1000</v>
      </c>
      <c r="AG150" s="4">
        <v>45508</v>
      </c>
      <c r="AH150" s="2">
        <f t="shared" si="19"/>
        <v>2700</v>
      </c>
      <c r="AI150" s="2">
        <v>1000</v>
      </c>
      <c r="AJ150" s="4">
        <v>45539</v>
      </c>
      <c r="AK150" s="2">
        <f t="shared" si="20"/>
        <v>1700</v>
      </c>
      <c r="AL150" s="2">
        <v>500</v>
      </c>
      <c r="AM150" s="4">
        <v>45569</v>
      </c>
      <c r="AN150" s="2">
        <f t="shared" si="21"/>
        <v>1200</v>
      </c>
      <c r="AO150" s="2" cm="1">
        <f t="array" ref="AO150">_xlfn.IFS(AN150&gt;=5000,3000,AN150&gt;=2000,1000,AN150&gt;=500,500,AN150&lt;500,AN150)</f>
        <v>500</v>
      </c>
      <c r="AP150" s="4">
        <v>45600</v>
      </c>
      <c r="AQ150" s="2">
        <f t="shared" si="22"/>
        <v>700</v>
      </c>
      <c r="AR150" s="2">
        <v>500</v>
      </c>
      <c r="AS150" s="4">
        <v>45630</v>
      </c>
      <c r="AT150" s="2">
        <f t="shared" si="23"/>
        <v>200</v>
      </c>
      <c r="AU150" s="2">
        <v>200</v>
      </c>
      <c r="AV150" s="4">
        <v>45661</v>
      </c>
      <c r="AW150" s="2">
        <v>0</v>
      </c>
      <c r="AX150" s="2">
        <f t="shared" si="24"/>
        <v>3700</v>
      </c>
      <c r="AY150" s="2">
        <f t="shared" si="25"/>
        <v>0</v>
      </c>
      <c r="AZ150" s="2" t="str">
        <f t="shared" si="26"/>
        <v>Paid</v>
      </c>
      <c r="BA150" s="9" t="str" cm="1">
        <f t="array" ref="BA150">_xlfn.IFS(AZ150="Paid","R",AZ150="Unpaid","Q")</f>
        <v>R</v>
      </c>
      <c r="BB150" s="8" t="s">
        <v>2815</v>
      </c>
    </row>
    <row r="151" spans="1:54" x14ac:dyDescent="0.25">
      <c r="A151" s="2">
        <v>150</v>
      </c>
      <c r="B151" s="2">
        <v>150</v>
      </c>
      <c r="C151" s="2" t="s">
        <v>322</v>
      </c>
      <c r="D151" s="2" t="s">
        <v>1809</v>
      </c>
      <c r="E151" s="2" t="s">
        <v>323</v>
      </c>
      <c r="F151" s="4">
        <v>45498</v>
      </c>
      <c r="G151" s="8" t="s">
        <v>26</v>
      </c>
      <c r="H151" s="8" t="s">
        <v>1243</v>
      </c>
      <c r="I151" s="2" t="s">
        <v>9</v>
      </c>
      <c r="J151" s="2" t="s">
        <v>10</v>
      </c>
      <c r="K151" s="2" t="s">
        <v>787</v>
      </c>
      <c r="L151" s="2" t="s">
        <v>1258</v>
      </c>
      <c r="M151" s="2" t="s">
        <v>1264</v>
      </c>
      <c r="N151" s="2" t="s">
        <v>2165</v>
      </c>
      <c r="O151" s="4">
        <v>38140</v>
      </c>
      <c r="P151" s="2" t="s">
        <v>2590</v>
      </c>
      <c r="Q151" s="2" t="s">
        <v>2441</v>
      </c>
      <c r="R151" s="2" t="s">
        <v>2393</v>
      </c>
      <c r="S151" s="2" t="s">
        <v>788</v>
      </c>
      <c r="T151" s="2" t="s">
        <v>1437</v>
      </c>
      <c r="U151" s="2" t="s">
        <v>1267</v>
      </c>
      <c r="V151" s="2">
        <v>8712218932</v>
      </c>
      <c r="W151" s="2" t="s">
        <v>953</v>
      </c>
      <c r="X151" s="2" t="s">
        <v>798</v>
      </c>
      <c r="Y151" s="2" t="s">
        <v>1184</v>
      </c>
      <c r="Z151" s="2" t="s">
        <v>1185</v>
      </c>
      <c r="AA151" s="2">
        <v>15000</v>
      </c>
      <c r="AB151" s="2">
        <v>200</v>
      </c>
      <c r="AC151" s="2">
        <v>1200</v>
      </c>
      <c r="AD151" s="2">
        <v>200</v>
      </c>
      <c r="AE151" s="2">
        <f t="shared" si="18"/>
        <v>16200</v>
      </c>
      <c r="AF151" s="2">
        <v>5000</v>
      </c>
      <c r="AG151" s="4">
        <v>45508</v>
      </c>
      <c r="AH151" s="2">
        <f t="shared" si="19"/>
        <v>11200</v>
      </c>
      <c r="AI151" s="2">
        <v>3000</v>
      </c>
      <c r="AJ151" s="4">
        <v>45539</v>
      </c>
      <c r="AK151" s="2">
        <f t="shared" si="20"/>
        <v>8200</v>
      </c>
      <c r="AL151" s="2">
        <v>3000</v>
      </c>
      <c r="AM151" s="4">
        <v>45569</v>
      </c>
      <c r="AN151" s="2">
        <f t="shared" si="21"/>
        <v>5200</v>
      </c>
      <c r="AO151" s="2" cm="1">
        <f t="array" ref="AO151">_xlfn.IFS(AN151&gt;=5000,3000,AN151&gt;=2000,1000,AN151&gt;=500,500,AN151&lt;500,AN151)</f>
        <v>3000</v>
      </c>
      <c r="AP151" s="4">
        <v>45600</v>
      </c>
      <c r="AQ151" s="2">
        <f t="shared" si="22"/>
        <v>2200</v>
      </c>
      <c r="AR151" s="2">
        <v>2000</v>
      </c>
      <c r="AS151" s="4">
        <v>45630</v>
      </c>
      <c r="AT151" s="2">
        <f t="shared" si="23"/>
        <v>200</v>
      </c>
      <c r="AU151" s="2">
        <v>200</v>
      </c>
      <c r="AV151" s="4">
        <v>45661</v>
      </c>
      <c r="AW151" s="2">
        <v>0</v>
      </c>
      <c r="AX151" s="2">
        <f t="shared" si="24"/>
        <v>16200</v>
      </c>
      <c r="AY151" s="2">
        <f t="shared" si="25"/>
        <v>0</v>
      </c>
      <c r="AZ151" s="2" t="str">
        <f t="shared" si="26"/>
        <v>Paid</v>
      </c>
      <c r="BA151" s="9" t="str" cm="1">
        <f t="array" ref="BA151">_xlfn.IFS(AZ151="Paid","R",AZ151="Unpaid","Q")</f>
        <v>R</v>
      </c>
      <c r="BB151" s="8" t="s">
        <v>2815</v>
      </c>
    </row>
    <row r="152" spans="1:54" x14ac:dyDescent="0.25">
      <c r="A152" s="2">
        <v>151</v>
      </c>
      <c r="B152" s="2">
        <v>151</v>
      </c>
      <c r="C152" s="2" t="s">
        <v>324</v>
      </c>
      <c r="D152" s="2" t="s">
        <v>1810</v>
      </c>
      <c r="E152" s="2" t="s">
        <v>325</v>
      </c>
      <c r="F152" s="4">
        <v>45498</v>
      </c>
      <c r="G152" s="8" t="s">
        <v>70</v>
      </c>
      <c r="H152" s="8" t="s">
        <v>1247</v>
      </c>
      <c r="I152" s="2" t="s">
        <v>9</v>
      </c>
      <c r="J152" s="2" t="s">
        <v>15</v>
      </c>
      <c r="K152" s="2" t="s">
        <v>795</v>
      </c>
      <c r="L152" s="2" t="s">
        <v>1258</v>
      </c>
      <c r="M152" s="2" t="s">
        <v>1264</v>
      </c>
      <c r="N152" s="2" t="s">
        <v>2166</v>
      </c>
      <c r="O152" s="4">
        <v>39122</v>
      </c>
      <c r="P152" s="2" t="s">
        <v>2591</v>
      </c>
      <c r="Q152" s="2" t="s">
        <v>2558</v>
      </c>
      <c r="R152" s="2" t="s">
        <v>2393</v>
      </c>
      <c r="S152" s="2" t="s">
        <v>792</v>
      </c>
      <c r="T152" s="2" t="s">
        <v>1438</v>
      </c>
      <c r="U152" s="2" t="s">
        <v>1270</v>
      </c>
      <c r="V152" s="2">
        <v>6433832807</v>
      </c>
      <c r="W152" s="2" t="s">
        <v>954</v>
      </c>
      <c r="X152" s="2" t="s">
        <v>813</v>
      </c>
      <c r="Y152" s="2" t="s">
        <v>1184</v>
      </c>
      <c r="Z152" s="2" t="s">
        <v>1185</v>
      </c>
      <c r="AA152" s="2">
        <v>8000</v>
      </c>
      <c r="AB152" s="2">
        <v>200</v>
      </c>
      <c r="AC152" s="2">
        <v>1000</v>
      </c>
      <c r="AD152" s="2">
        <v>0</v>
      </c>
      <c r="AE152" s="2">
        <f t="shared" si="18"/>
        <v>9200</v>
      </c>
      <c r="AF152" s="2">
        <v>2500</v>
      </c>
      <c r="AG152" s="4">
        <v>45508</v>
      </c>
      <c r="AH152" s="2">
        <f t="shared" si="19"/>
        <v>6700</v>
      </c>
      <c r="AI152" s="2">
        <v>3000</v>
      </c>
      <c r="AJ152" s="4">
        <v>45539</v>
      </c>
      <c r="AK152" s="2">
        <f t="shared" si="20"/>
        <v>3700</v>
      </c>
      <c r="AL152" s="2">
        <v>1000</v>
      </c>
      <c r="AM152" s="4">
        <v>45569</v>
      </c>
      <c r="AN152" s="2">
        <f t="shared" si="21"/>
        <v>2700</v>
      </c>
      <c r="AO152" s="2" cm="1">
        <f t="array" ref="AO152">_xlfn.IFS(AN152&gt;=5000,3000,AN152&gt;=2000,1000,AN152&gt;=500,500,AN152&lt;500,AN152)</f>
        <v>1000</v>
      </c>
      <c r="AP152" s="4">
        <v>45600</v>
      </c>
      <c r="AQ152" s="2">
        <f t="shared" si="22"/>
        <v>1700</v>
      </c>
      <c r="AR152" s="2">
        <v>1000</v>
      </c>
      <c r="AS152" s="4">
        <v>45630</v>
      </c>
      <c r="AT152" s="2">
        <f t="shared" si="23"/>
        <v>700</v>
      </c>
      <c r="AU152" s="2">
        <v>700</v>
      </c>
      <c r="AV152" s="4">
        <v>45661</v>
      </c>
      <c r="AW152" s="2">
        <v>0</v>
      </c>
      <c r="AX152" s="2">
        <f t="shared" si="24"/>
        <v>9200</v>
      </c>
      <c r="AY152" s="2">
        <f t="shared" si="25"/>
        <v>0</v>
      </c>
      <c r="AZ152" s="2" t="str">
        <f t="shared" si="26"/>
        <v>Paid</v>
      </c>
      <c r="BA152" s="9" t="str" cm="1">
        <f t="array" ref="BA152">_xlfn.IFS(AZ152="Paid","R",AZ152="Unpaid","Q")</f>
        <v>R</v>
      </c>
      <c r="BB152" s="8" t="s">
        <v>2815</v>
      </c>
    </row>
    <row r="153" spans="1:54" x14ac:dyDescent="0.25">
      <c r="A153" s="2">
        <v>152</v>
      </c>
      <c r="B153" s="2">
        <v>152</v>
      </c>
      <c r="C153" s="2" t="s">
        <v>326</v>
      </c>
      <c r="D153" s="2" t="s">
        <v>1811</v>
      </c>
      <c r="E153" s="2" t="s">
        <v>327</v>
      </c>
      <c r="F153" s="4">
        <v>45499</v>
      </c>
      <c r="G153" s="8" t="s">
        <v>32</v>
      </c>
      <c r="H153" s="8" t="s">
        <v>1249</v>
      </c>
      <c r="I153" s="2" t="s">
        <v>14</v>
      </c>
      <c r="J153" s="2" t="s">
        <v>15</v>
      </c>
      <c r="K153" s="2" t="s">
        <v>791</v>
      </c>
      <c r="L153" s="2" t="s">
        <v>1257</v>
      </c>
      <c r="M153" s="2" t="s">
        <v>1261</v>
      </c>
      <c r="N153" s="2" t="s">
        <v>2167</v>
      </c>
      <c r="O153" s="4">
        <v>32165</v>
      </c>
      <c r="P153" s="2" t="s">
        <v>2592</v>
      </c>
      <c r="Q153" s="2" t="s">
        <v>2485</v>
      </c>
      <c r="R153" s="2" t="s">
        <v>2393</v>
      </c>
      <c r="S153" s="2" t="s">
        <v>788</v>
      </c>
      <c r="T153" s="2" t="s">
        <v>1439</v>
      </c>
      <c r="U153" s="2" t="s">
        <v>1281</v>
      </c>
      <c r="V153" s="2">
        <v>8163313258</v>
      </c>
      <c r="W153" s="2" t="s">
        <v>955</v>
      </c>
      <c r="X153" s="2" t="s">
        <v>811</v>
      </c>
      <c r="Y153" s="2" t="s">
        <v>1184</v>
      </c>
      <c r="Z153" s="2" t="s">
        <v>1185</v>
      </c>
      <c r="AA153" s="2">
        <v>2000</v>
      </c>
      <c r="AB153" s="2">
        <v>200</v>
      </c>
      <c r="AC153" s="2">
        <v>300</v>
      </c>
      <c r="AD153" s="2">
        <v>500</v>
      </c>
      <c r="AE153" s="2">
        <f t="shared" si="18"/>
        <v>2000</v>
      </c>
      <c r="AF153" s="2">
        <v>500</v>
      </c>
      <c r="AG153" s="4">
        <v>45509</v>
      </c>
      <c r="AH153" s="2">
        <f t="shared" si="19"/>
        <v>1500</v>
      </c>
      <c r="AI153" s="2">
        <v>500</v>
      </c>
      <c r="AJ153" s="4">
        <v>45540</v>
      </c>
      <c r="AK153" s="2">
        <f t="shared" si="20"/>
        <v>1000</v>
      </c>
      <c r="AL153" s="2">
        <v>500</v>
      </c>
      <c r="AM153" s="4">
        <v>45570</v>
      </c>
      <c r="AN153" s="2">
        <f t="shared" si="21"/>
        <v>500</v>
      </c>
      <c r="AO153" s="2" cm="1">
        <f t="array" ref="AO153">_xlfn.IFS(AN153&gt;=5000,3000,AN153&gt;=2000,1000,AN153&gt;=500,500,AN153&lt;500,AN153)</f>
        <v>500</v>
      </c>
      <c r="AP153" s="4">
        <v>45601</v>
      </c>
      <c r="AQ153" s="2">
        <f t="shared" si="22"/>
        <v>0</v>
      </c>
      <c r="AR153" s="2" t="s">
        <v>1200</v>
      </c>
      <c r="AS153" s="4" t="s">
        <v>1200</v>
      </c>
      <c r="AT153" s="2" t="str">
        <f t="shared" si="23"/>
        <v/>
      </c>
      <c r="AU153" s="2" t="s">
        <v>1200</v>
      </c>
      <c r="AV153" s="4" t="s">
        <v>1200</v>
      </c>
      <c r="AW153" s="2" t="s">
        <v>1200</v>
      </c>
      <c r="AX153" s="2">
        <f t="shared" si="24"/>
        <v>2000</v>
      </c>
      <c r="AY153" s="2">
        <f t="shared" si="25"/>
        <v>0</v>
      </c>
      <c r="AZ153" s="2" t="str">
        <f t="shared" si="26"/>
        <v>Paid</v>
      </c>
      <c r="BA153" s="9" t="str" cm="1">
        <f t="array" ref="BA153">_xlfn.IFS(AZ153="Paid","R",AZ153="Unpaid","Q")</f>
        <v>R</v>
      </c>
      <c r="BB153" s="8" t="s">
        <v>2815</v>
      </c>
    </row>
    <row r="154" spans="1:54" x14ac:dyDescent="0.25">
      <c r="A154" s="2">
        <v>153</v>
      </c>
      <c r="B154" s="2">
        <v>153</v>
      </c>
      <c r="C154" s="2" t="s">
        <v>328</v>
      </c>
      <c r="D154" s="2" t="s">
        <v>1812</v>
      </c>
      <c r="E154" s="2" t="s">
        <v>329</v>
      </c>
      <c r="F154" s="4">
        <v>45499</v>
      </c>
      <c r="G154" s="8" t="s">
        <v>29</v>
      </c>
      <c r="H154" s="8" t="s">
        <v>1248</v>
      </c>
      <c r="I154" s="2" t="s">
        <v>14</v>
      </c>
      <c r="J154" s="2" t="s">
        <v>15</v>
      </c>
      <c r="K154" s="2" t="s">
        <v>791</v>
      </c>
      <c r="L154" s="2" t="s">
        <v>1258</v>
      </c>
      <c r="M154" s="2" t="s">
        <v>1264</v>
      </c>
      <c r="N154" s="2" t="s">
        <v>2168</v>
      </c>
      <c r="O154" s="4">
        <v>33173</v>
      </c>
      <c r="P154" s="2" t="s">
        <v>2593</v>
      </c>
      <c r="Q154" s="2" t="s">
        <v>2439</v>
      </c>
      <c r="R154" s="2" t="s">
        <v>2393</v>
      </c>
      <c r="S154" s="2" t="s">
        <v>788</v>
      </c>
      <c r="T154" s="2" t="s">
        <v>1440</v>
      </c>
      <c r="U154" s="2" t="s">
        <v>1281</v>
      </c>
      <c r="V154" s="2">
        <v>6344396693</v>
      </c>
      <c r="W154" s="2" t="s">
        <v>956</v>
      </c>
      <c r="X154" s="2" t="s">
        <v>809</v>
      </c>
      <c r="Y154" s="2" t="s">
        <v>1184</v>
      </c>
      <c r="Z154" s="2" t="s">
        <v>1185</v>
      </c>
      <c r="AA154" s="2">
        <v>2500</v>
      </c>
      <c r="AB154" s="2">
        <v>200</v>
      </c>
      <c r="AC154" s="2">
        <v>400</v>
      </c>
      <c r="AD154" s="2">
        <v>300</v>
      </c>
      <c r="AE154" s="2">
        <f t="shared" si="18"/>
        <v>2800</v>
      </c>
      <c r="AF154" s="2">
        <v>1000</v>
      </c>
      <c r="AG154" s="4">
        <v>45509</v>
      </c>
      <c r="AH154" s="2">
        <f t="shared" si="19"/>
        <v>1800</v>
      </c>
      <c r="AI154" s="2">
        <v>500</v>
      </c>
      <c r="AJ154" s="4">
        <v>45540</v>
      </c>
      <c r="AK154" s="2">
        <f t="shared" si="20"/>
        <v>1300</v>
      </c>
      <c r="AL154" s="2">
        <v>500</v>
      </c>
      <c r="AM154" s="4">
        <v>45570</v>
      </c>
      <c r="AN154" s="2">
        <f t="shared" si="21"/>
        <v>800</v>
      </c>
      <c r="AO154" s="2" cm="1">
        <f t="array" ref="AO154">_xlfn.IFS(AN154&gt;=5000,3000,AN154&gt;=2000,1000,AN154&gt;=500,500,AN154&lt;500,AN154)</f>
        <v>500</v>
      </c>
      <c r="AP154" s="4">
        <v>45601</v>
      </c>
      <c r="AQ154" s="2">
        <f t="shared" si="22"/>
        <v>300</v>
      </c>
      <c r="AR154" s="2">
        <v>300</v>
      </c>
      <c r="AS154" s="4">
        <v>45631</v>
      </c>
      <c r="AT154" s="2">
        <f t="shared" si="23"/>
        <v>0</v>
      </c>
      <c r="AU154" s="2" t="s">
        <v>1200</v>
      </c>
      <c r="AV154" s="4" t="s">
        <v>1200</v>
      </c>
      <c r="AW154" s="2" t="s">
        <v>1200</v>
      </c>
      <c r="AX154" s="2">
        <f t="shared" si="24"/>
        <v>2800</v>
      </c>
      <c r="AY154" s="2">
        <f t="shared" si="25"/>
        <v>0</v>
      </c>
      <c r="AZ154" s="2" t="str">
        <f t="shared" si="26"/>
        <v>Paid</v>
      </c>
      <c r="BA154" s="9" t="str" cm="1">
        <f t="array" ref="BA154">_xlfn.IFS(AZ154="Paid","R",AZ154="Unpaid","Q")</f>
        <v>R</v>
      </c>
      <c r="BB154" s="8" t="s">
        <v>2815</v>
      </c>
    </row>
    <row r="155" spans="1:54" x14ac:dyDescent="0.25">
      <c r="A155" s="2">
        <v>154</v>
      </c>
      <c r="B155" s="2">
        <v>154</v>
      </c>
      <c r="C155" s="2" t="s">
        <v>330</v>
      </c>
      <c r="D155" s="2" t="s">
        <v>1813</v>
      </c>
      <c r="E155" s="2" t="s">
        <v>331</v>
      </c>
      <c r="F155" s="4">
        <v>45505</v>
      </c>
      <c r="G155" s="8" t="s">
        <v>95</v>
      </c>
      <c r="H155" s="8" t="s">
        <v>1245</v>
      </c>
      <c r="I155" s="2" t="s">
        <v>14</v>
      </c>
      <c r="J155" s="2" t="s">
        <v>15</v>
      </c>
      <c r="K155" s="2" t="s">
        <v>791</v>
      </c>
      <c r="L155" s="2" t="s">
        <v>1259</v>
      </c>
      <c r="M155" s="2" t="s">
        <v>1262</v>
      </c>
      <c r="N155" s="2" t="s">
        <v>2169</v>
      </c>
      <c r="O155" s="4">
        <v>34377</v>
      </c>
      <c r="P155" s="2" t="s">
        <v>2594</v>
      </c>
      <c r="Q155" s="2" t="s">
        <v>2452</v>
      </c>
      <c r="R155" s="2" t="s">
        <v>2396</v>
      </c>
      <c r="S155" s="2" t="s">
        <v>788</v>
      </c>
      <c r="T155" s="2" t="s">
        <v>1441</v>
      </c>
      <c r="U155" s="2" t="s">
        <v>1287</v>
      </c>
      <c r="V155" s="2">
        <v>6219052452</v>
      </c>
      <c r="W155" s="2" t="s">
        <v>957</v>
      </c>
      <c r="X155" s="2" t="s">
        <v>807</v>
      </c>
      <c r="Y155" s="2" t="s">
        <v>1184</v>
      </c>
      <c r="Z155" s="2" t="s">
        <v>1185</v>
      </c>
      <c r="AA155" s="2">
        <v>3500</v>
      </c>
      <c r="AB155" s="2">
        <v>200</v>
      </c>
      <c r="AC155" s="2">
        <v>500</v>
      </c>
      <c r="AD155" s="2">
        <v>500</v>
      </c>
      <c r="AE155" s="2">
        <f t="shared" si="18"/>
        <v>3700</v>
      </c>
      <c r="AF155" s="2">
        <v>1000</v>
      </c>
      <c r="AG155" s="4">
        <v>45515</v>
      </c>
      <c r="AH155" s="2">
        <f t="shared" si="19"/>
        <v>2700</v>
      </c>
      <c r="AI155" s="2">
        <v>1000</v>
      </c>
      <c r="AJ155" s="4">
        <v>45546</v>
      </c>
      <c r="AK155" s="2">
        <f t="shared" si="20"/>
        <v>1700</v>
      </c>
      <c r="AL155" s="2">
        <v>500</v>
      </c>
      <c r="AM155" s="4">
        <v>45576</v>
      </c>
      <c r="AN155" s="2">
        <f t="shared" si="21"/>
        <v>1200</v>
      </c>
      <c r="AO155" s="2" cm="1">
        <f t="array" ref="AO155">_xlfn.IFS(AN155&gt;=5000,3000,AN155&gt;=2000,1000,AN155&gt;=500,500,AN155&lt;500,AN155)</f>
        <v>500</v>
      </c>
      <c r="AP155" s="4">
        <v>45607</v>
      </c>
      <c r="AQ155" s="2">
        <f t="shared" si="22"/>
        <v>700</v>
      </c>
      <c r="AR155" s="2">
        <v>500</v>
      </c>
      <c r="AS155" s="4">
        <v>45637</v>
      </c>
      <c r="AT155" s="2">
        <f t="shared" si="23"/>
        <v>200</v>
      </c>
      <c r="AU155" s="2">
        <v>200</v>
      </c>
      <c r="AV155" s="4">
        <v>45668</v>
      </c>
      <c r="AW155" s="2">
        <v>0</v>
      </c>
      <c r="AX155" s="2">
        <f t="shared" si="24"/>
        <v>3700</v>
      </c>
      <c r="AY155" s="2">
        <f t="shared" si="25"/>
        <v>0</v>
      </c>
      <c r="AZ155" s="2" t="str">
        <f t="shared" si="26"/>
        <v>Paid</v>
      </c>
      <c r="BA155" s="9" t="str" cm="1">
        <f t="array" ref="BA155">_xlfn.IFS(AZ155="Paid","R",AZ155="Unpaid","Q")</f>
        <v>R</v>
      </c>
      <c r="BB155" s="8" t="s">
        <v>2815</v>
      </c>
    </row>
    <row r="156" spans="1:54" x14ac:dyDescent="0.25">
      <c r="A156" s="2">
        <v>155</v>
      </c>
      <c r="B156" s="2">
        <v>155</v>
      </c>
      <c r="C156" s="2" t="s">
        <v>332</v>
      </c>
      <c r="D156" s="2" t="s">
        <v>1814</v>
      </c>
      <c r="E156" s="2" t="s">
        <v>333</v>
      </c>
      <c r="F156" s="4">
        <v>45508</v>
      </c>
      <c r="G156" s="8" t="s">
        <v>21</v>
      </c>
      <c r="H156" s="8" t="s">
        <v>1252</v>
      </c>
      <c r="I156" s="2" t="s">
        <v>14</v>
      </c>
      <c r="J156" s="2" t="s">
        <v>15</v>
      </c>
      <c r="K156" s="2" t="s">
        <v>791</v>
      </c>
      <c r="L156" s="2" t="s">
        <v>1256</v>
      </c>
      <c r="M156" s="2" t="s">
        <v>1263</v>
      </c>
      <c r="N156" s="2" t="s">
        <v>2170</v>
      </c>
      <c r="O156" s="4">
        <v>37995</v>
      </c>
      <c r="P156" s="2" t="s">
        <v>2595</v>
      </c>
      <c r="Q156" s="2" t="s">
        <v>2437</v>
      </c>
      <c r="R156" s="2" t="s">
        <v>2393</v>
      </c>
      <c r="S156" s="2" t="s">
        <v>796</v>
      </c>
      <c r="T156" s="2" t="s">
        <v>1442</v>
      </c>
      <c r="U156" s="2" t="s">
        <v>1274</v>
      </c>
      <c r="V156" s="2">
        <v>9152464088</v>
      </c>
      <c r="W156" s="2" t="s">
        <v>958</v>
      </c>
      <c r="X156" s="2" t="s">
        <v>807</v>
      </c>
      <c r="Y156" s="2" t="s">
        <v>1184</v>
      </c>
      <c r="Z156" s="2" t="s">
        <v>1185</v>
      </c>
      <c r="AA156" s="2">
        <v>3000</v>
      </c>
      <c r="AB156" s="2">
        <v>200</v>
      </c>
      <c r="AC156" s="2">
        <v>300</v>
      </c>
      <c r="AD156" s="2">
        <v>0</v>
      </c>
      <c r="AE156" s="2">
        <f t="shared" si="18"/>
        <v>3500</v>
      </c>
      <c r="AF156" s="2">
        <v>1000</v>
      </c>
      <c r="AG156" s="4">
        <v>45518</v>
      </c>
      <c r="AH156" s="2">
        <f t="shared" si="19"/>
        <v>2500</v>
      </c>
      <c r="AI156" s="2">
        <v>1000</v>
      </c>
      <c r="AJ156" s="4">
        <v>45549</v>
      </c>
      <c r="AK156" s="2">
        <f t="shared" si="20"/>
        <v>1500</v>
      </c>
      <c r="AL156" s="2">
        <v>500</v>
      </c>
      <c r="AM156" s="4">
        <v>45579</v>
      </c>
      <c r="AN156" s="2">
        <f t="shared" si="21"/>
        <v>1000</v>
      </c>
      <c r="AO156" s="2" cm="1">
        <f t="array" ref="AO156">_xlfn.IFS(AN156&gt;=5000,3000,AN156&gt;=2000,1000,AN156&gt;=500,500,AN156&lt;500,AN156)</f>
        <v>500</v>
      </c>
      <c r="AP156" s="4">
        <v>45610</v>
      </c>
      <c r="AQ156" s="2">
        <f t="shared" si="22"/>
        <v>500</v>
      </c>
      <c r="AR156" s="2">
        <v>500</v>
      </c>
      <c r="AS156" s="4">
        <v>45640</v>
      </c>
      <c r="AT156" s="2">
        <f t="shared" si="23"/>
        <v>0</v>
      </c>
      <c r="AU156" s="2" t="s">
        <v>1200</v>
      </c>
      <c r="AV156" s="4" t="s">
        <v>1200</v>
      </c>
      <c r="AW156" s="2" t="s">
        <v>1200</v>
      </c>
      <c r="AX156" s="2">
        <f t="shared" si="24"/>
        <v>3500</v>
      </c>
      <c r="AY156" s="2">
        <f t="shared" si="25"/>
        <v>0</v>
      </c>
      <c r="AZ156" s="2" t="str">
        <f t="shared" si="26"/>
        <v>Paid</v>
      </c>
      <c r="BA156" s="9" t="str" cm="1">
        <f t="array" ref="BA156">_xlfn.IFS(AZ156="Paid","R",AZ156="Unpaid","Q")</f>
        <v>R</v>
      </c>
      <c r="BB156" s="8" t="s">
        <v>2815</v>
      </c>
    </row>
    <row r="157" spans="1:54" x14ac:dyDescent="0.25">
      <c r="A157" s="2">
        <v>156</v>
      </c>
      <c r="B157" s="2">
        <v>156</v>
      </c>
      <c r="C157" s="2" t="s">
        <v>334</v>
      </c>
      <c r="D157" s="2" t="s">
        <v>1815</v>
      </c>
      <c r="E157" s="2" t="s">
        <v>335</v>
      </c>
      <c r="F157" s="4">
        <v>45509</v>
      </c>
      <c r="G157" s="8" t="s">
        <v>65</v>
      </c>
      <c r="H157" s="8" t="s">
        <v>65</v>
      </c>
      <c r="I157" s="2" t="s">
        <v>14</v>
      </c>
      <c r="J157" s="2" t="s">
        <v>15</v>
      </c>
      <c r="K157" s="2" t="s">
        <v>791</v>
      </c>
      <c r="L157" s="2" t="s">
        <v>1259</v>
      </c>
      <c r="M157" s="2" t="s">
        <v>1262</v>
      </c>
      <c r="N157" s="2" t="s">
        <v>2171</v>
      </c>
      <c r="O157" s="4">
        <v>38891</v>
      </c>
      <c r="P157" s="2" t="s">
        <v>2596</v>
      </c>
      <c r="Q157" s="2" t="s">
        <v>2529</v>
      </c>
      <c r="R157" s="2" t="s">
        <v>2393</v>
      </c>
      <c r="S157" s="2" t="s">
        <v>788</v>
      </c>
      <c r="T157" s="2" t="s">
        <v>1443</v>
      </c>
      <c r="U157" s="2" t="s">
        <v>1267</v>
      </c>
      <c r="V157" s="2">
        <v>6233589236</v>
      </c>
      <c r="W157" s="2" t="s">
        <v>959</v>
      </c>
      <c r="X157" s="2" t="s">
        <v>1183</v>
      </c>
      <c r="Y157" s="2" t="s">
        <v>1184</v>
      </c>
      <c r="Z157" s="2" t="s">
        <v>1185</v>
      </c>
      <c r="AA157" s="2">
        <v>2500</v>
      </c>
      <c r="AB157" s="2">
        <v>200</v>
      </c>
      <c r="AC157" s="2">
        <v>500</v>
      </c>
      <c r="AD157" s="2">
        <v>500</v>
      </c>
      <c r="AE157" s="2">
        <f t="shared" si="18"/>
        <v>2700</v>
      </c>
      <c r="AF157" s="2">
        <v>1000</v>
      </c>
      <c r="AG157" s="4">
        <v>45519</v>
      </c>
      <c r="AH157" s="2">
        <f t="shared" si="19"/>
        <v>1700</v>
      </c>
      <c r="AI157" s="2">
        <v>500</v>
      </c>
      <c r="AJ157" s="4">
        <v>45550</v>
      </c>
      <c r="AK157" s="2">
        <f t="shared" si="20"/>
        <v>1200</v>
      </c>
      <c r="AL157" s="2">
        <v>500</v>
      </c>
      <c r="AM157" s="4">
        <v>45580</v>
      </c>
      <c r="AN157" s="2">
        <f t="shared" si="21"/>
        <v>700</v>
      </c>
      <c r="AO157" s="2" cm="1">
        <f t="array" ref="AO157">_xlfn.IFS(AN157&gt;=5000,3000,AN157&gt;=2000,1000,AN157&gt;=500,500,AN157&lt;500,AN157)</f>
        <v>500</v>
      </c>
      <c r="AP157" s="4">
        <v>45611</v>
      </c>
      <c r="AQ157" s="2">
        <f t="shared" si="22"/>
        <v>200</v>
      </c>
      <c r="AR157" s="2">
        <v>200</v>
      </c>
      <c r="AS157" s="4">
        <v>45641</v>
      </c>
      <c r="AT157" s="2">
        <f t="shared" si="23"/>
        <v>0</v>
      </c>
      <c r="AU157" s="2" t="s">
        <v>1200</v>
      </c>
      <c r="AV157" s="4" t="s">
        <v>1200</v>
      </c>
      <c r="AW157" s="2" t="s">
        <v>1200</v>
      </c>
      <c r="AX157" s="2">
        <f t="shared" si="24"/>
        <v>2700</v>
      </c>
      <c r="AY157" s="2">
        <f t="shared" si="25"/>
        <v>0</v>
      </c>
      <c r="AZ157" s="2" t="str">
        <f t="shared" si="26"/>
        <v>Paid</v>
      </c>
      <c r="BA157" s="9" t="str" cm="1">
        <f t="array" ref="BA157">_xlfn.IFS(AZ157="Paid","R",AZ157="Unpaid","Q")</f>
        <v>R</v>
      </c>
      <c r="BB157" s="8" t="s">
        <v>2815</v>
      </c>
    </row>
    <row r="158" spans="1:54" x14ac:dyDescent="0.25">
      <c r="A158" s="2">
        <v>157</v>
      </c>
      <c r="B158" s="2">
        <v>157</v>
      </c>
      <c r="C158" s="2" t="s">
        <v>336</v>
      </c>
      <c r="D158" s="2" t="s">
        <v>1816</v>
      </c>
      <c r="E158" s="2" t="s">
        <v>337</v>
      </c>
      <c r="F158" s="4">
        <v>45511</v>
      </c>
      <c r="G158" s="8" t="s">
        <v>38</v>
      </c>
      <c r="H158" s="8" t="s">
        <v>1246</v>
      </c>
      <c r="I158" s="2" t="s">
        <v>9</v>
      </c>
      <c r="J158" s="2" t="s">
        <v>15</v>
      </c>
      <c r="K158" s="2" t="s">
        <v>795</v>
      </c>
      <c r="L158" s="2" t="s">
        <v>1257</v>
      </c>
      <c r="M158" s="2" t="s">
        <v>1261</v>
      </c>
      <c r="N158" s="2" t="s">
        <v>2172</v>
      </c>
      <c r="O158" s="4">
        <v>40028</v>
      </c>
      <c r="P158" s="2" t="s">
        <v>2597</v>
      </c>
      <c r="Q158" s="2" t="s">
        <v>2446</v>
      </c>
      <c r="R158" s="2" t="s">
        <v>2393</v>
      </c>
      <c r="S158" s="2" t="s">
        <v>788</v>
      </c>
      <c r="T158" s="2" t="s">
        <v>1444</v>
      </c>
      <c r="U158" s="2" t="s">
        <v>1282</v>
      </c>
      <c r="V158" s="2">
        <v>9747381358</v>
      </c>
      <c r="W158" s="2" t="s">
        <v>960</v>
      </c>
      <c r="X158" s="2" t="s">
        <v>809</v>
      </c>
      <c r="Y158" s="2" t="s">
        <v>1184</v>
      </c>
      <c r="Z158" s="2" t="s">
        <v>1185</v>
      </c>
      <c r="AA158" s="2">
        <v>6000</v>
      </c>
      <c r="AB158" s="2">
        <v>200</v>
      </c>
      <c r="AC158" s="2">
        <v>800</v>
      </c>
      <c r="AD158" s="2">
        <v>0</v>
      </c>
      <c r="AE158" s="2">
        <f t="shared" si="18"/>
        <v>7000</v>
      </c>
      <c r="AF158" s="2">
        <v>2500</v>
      </c>
      <c r="AG158" s="4">
        <v>45521</v>
      </c>
      <c r="AH158" s="2">
        <f t="shared" si="19"/>
        <v>4500</v>
      </c>
      <c r="AI158" s="2">
        <v>1000</v>
      </c>
      <c r="AJ158" s="4">
        <v>45552</v>
      </c>
      <c r="AK158" s="2">
        <f t="shared" si="20"/>
        <v>3500</v>
      </c>
      <c r="AL158" s="2">
        <v>1000</v>
      </c>
      <c r="AM158" s="4">
        <v>45582</v>
      </c>
      <c r="AN158" s="2">
        <f t="shared" si="21"/>
        <v>2500</v>
      </c>
      <c r="AO158" s="2" cm="1">
        <f t="array" ref="AO158">_xlfn.IFS(AN158&gt;=5000,3000,AN158&gt;=2000,1000,AN158&gt;=500,500,AN158&lt;500,AN158)</f>
        <v>1000</v>
      </c>
      <c r="AP158" s="4">
        <v>45613</v>
      </c>
      <c r="AQ158" s="2">
        <f t="shared" si="22"/>
        <v>1500</v>
      </c>
      <c r="AR158" s="2">
        <v>1000</v>
      </c>
      <c r="AS158" s="4">
        <v>45643</v>
      </c>
      <c r="AT158" s="2">
        <f t="shared" si="23"/>
        <v>500</v>
      </c>
      <c r="AU158" s="2">
        <v>500</v>
      </c>
      <c r="AV158" s="4">
        <v>45674</v>
      </c>
      <c r="AW158" s="2">
        <v>0</v>
      </c>
      <c r="AX158" s="2">
        <f t="shared" si="24"/>
        <v>7000</v>
      </c>
      <c r="AY158" s="2">
        <f t="shared" si="25"/>
        <v>0</v>
      </c>
      <c r="AZ158" s="2" t="str">
        <f t="shared" si="26"/>
        <v>Paid</v>
      </c>
      <c r="BA158" s="9" t="str" cm="1">
        <f t="array" ref="BA158">_xlfn.IFS(AZ158="Paid","R",AZ158="Unpaid","Q")</f>
        <v>R</v>
      </c>
      <c r="BB158" s="8" t="s">
        <v>2815</v>
      </c>
    </row>
    <row r="159" spans="1:54" x14ac:dyDescent="0.25">
      <c r="A159" s="2">
        <v>158</v>
      </c>
      <c r="B159" s="2">
        <v>158</v>
      </c>
      <c r="C159" s="2" t="s">
        <v>338</v>
      </c>
      <c r="D159" s="2" t="s">
        <v>1817</v>
      </c>
      <c r="E159" s="2" t="s">
        <v>339</v>
      </c>
      <c r="F159" s="4">
        <v>45515</v>
      </c>
      <c r="G159" s="8" t="s">
        <v>18</v>
      </c>
      <c r="H159" s="8" t="s">
        <v>1253</v>
      </c>
      <c r="I159" s="2" t="s">
        <v>9</v>
      </c>
      <c r="J159" s="2" t="s">
        <v>15</v>
      </c>
      <c r="K159" s="2" t="s">
        <v>795</v>
      </c>
      <c r="L159" s="2" t="s">
        <v>1258</v>
      </c>
      <c r="M159" s="2" t="s">
        <v>1264</v>
      </c>
      <c r="N159" s="2" t="s">
        <v>2173</v>
      </c>
      <c r="O159" s="4">
        <v>34540</v>
      </c>
      <c r="P159" s="2" t="s">
        <v>2598</v>
      </c>
      <c r="Q159" s="2" t="s">
        <v>2485</v>
      </c>
      <c r="R159" s="2" t="s">
        <v>2393</v>
      </c>
      <c r="S159" s="2" t="s">
        <v>792</v>
      </c>
      <c r="T159" s="2" t="s">
        <v>1445</v>
      </c>
      <c r="U159" s="2" t="s">
        <v>1287</v>
      </c>
      <c r="V159" s="2">
        <v>9443456742</v>
      </c>
      <c r="W159" s="2" t="s">
        <v>961</v>
      </c>
      <c r="X159" s="2" t="s">
        <v>822</v>
      </c>
      <c r="Y159" s="2" t="s">
        <v>1184</v>
      </c>
      <c r="Z159" s="2" t="s">
        <v>1185</v>
      </c>
      <c r="AA159" s="2">
        <v>7000</v>
      </c>
      <c r="AB159" s="2">
        <v>200</v>
      </c>
      <c r="AC159" s="2">
        <v>800</v>
      </c>
      <c r="AD159" s="2">
        <v>0</v>
      </c>
      <c r="AE159" s="2">
        <f t="shared" si="18"/>
        <v>8000</v>
      </c>
      <c r="AF159" s="2">
        <v>2500</v>
      </c>
      <c r="AG159" s="4">
        <v>45525</v>
      </c>
      <c r="AH159" s="2">
        <f t="shared" si="19"/>
        <v>5500</v>
      </c>
      <c r="AI159" s="2">
        <v>3000</v>
      </c>
      <c r="AJ159" s="4">
        <v>45556</v>
      </c>
      <c r="AK159" s="2">
        <f t="shared" si="20"/>
        <v>2500</v>
      </c>
      <c r="AL159" s="2">
        <v>1000</v>
      </c>
      <c r="AM159" s="4">
        <v>45586</v>
      </c>
      <c r="AN159" s="2">
        <f t="shared" si="21"/>
        <v>1500</v>
      </c>
      <c r="AO159" s="2" cm="1">
        <f t="array" ref="AO159">_xlfn.IFS(AN159&gt;=5000,3000,AN159&gt;=2000,1000,AN159&gt;=500,500,AN159&lt;500,AN159)</f>
        <v>500</v>
      </c>
      <c r="AP159" s="4">
        <v>45617</v>
      </c>
      <c r="AQ159" s="2">
        <f t="shared" si="22"/>
        <v>1000</v>
      </c>
      <c r="AR159" s="2">
        <v>1000</v>
      </c>
      <c r="AS159" s="4">
        <v>45647</v>
      </c>
      <c r="AT159" s="2">
        <f t="shared" si="23"/>
        <v>0</v>
      </c>
      <c r="AU159" s="2" t="s">
        <v>1200</v>
      </c>
      <c r="AV159" s="4" t="s">
        <v>1200</v>
      </c>
      <c r="AW159" s="2" t="s">
        <v>1200</v>
      </c>
      <c r="AX159" s="2">
        <f t="shared" si="24"/>
        <v>8000</v>
      </c>
      <c r="AY159" s="2">
        <f t="shared" si="25"/>
        <v>0</v>
      </c>
      <c r="AZ159" s="2" t="str">
        <f t="shared" si="26"/>
        <v>Paid</v>
      </c>
      <c r="BA159" s="9" t="str" cm="1">
        <f t="array" ref="BA159">_xlfn.IFS(AZ159="Paid","R",AZ159="Unpaid","Q")</f>
        <v>R</v>
      </c>
      <c r="BB159" s="8" t="s">
        <v>2815</v>
      </c>
    </row>
    <row r="160" spans="1:54" x14ac:dyDescent="0.25">
      <c r="A160" s="2">
        <v>159</v>
      </c>
      <c r="B160" s="2">
        <v>159</v>
      </c>
      <c r="C160" s="2" t="s">
        <v>340</v>
      </c>
      <c r="D160" s="2" t="s">
        <v>1818</v>
      </c>
      <c r="E160" s="2" t="s">
        <v>341</v>
      </c>
      <c r="F160" s="4">
        <v>45517</v>
      </c>
      <c r="G160" s="8" t="s">
        <v>26</v>
      </c>
      <c r="H160" s="8" t="s">
        <v>1243</v>
      </c>
      <c r="I160" s="2" t="s">
        <v>9</v>
      </c>
      <c r="J160" s="2" t="s">
        <v>10</v>
      </c>
      <c r="K160" s="2" t="s">
        <v>787</v>
      </c>
      <c r="L160" s="2" t="s">
        <v>1257</v>
      </c>
      <c r="M160" s="2" t="s">
        <v>1261</v>
      </c>
      <c r="N160" s="2" t="s">
        <v>2174</v>
      </c>
      <c r="O160" s="4">
        <v>38520</v>
      </c>
      <c r="P160" s="2" t="s">
        <v>2599</v>
      </c>
      <c r="Q160" s="2" t="s">
        <v>2586</v>
      </c>
      <c r="R160" s="2" t="s">
        <v>2393</v>
      </c>
      <c r="S160" s="2" t="s">
        <v>788</v>
      </c>
      <c r="T160" s="2" t="s">
        <v>1446</v>
      </c>
      <c r="U160" s="2" t="s">
        <v>1272</v>
      </c>
      <c r="V160" s="2">
        <v>6408914322</v>
      </c>
      <c r="W160" s="2" t="s">
        <v>962</v>
      </c>
      <c r="X160" s="2" t="s">
        <v>822</v>
      </c>
      <c r="Y160" s="2" t="s">
        <v>1184</v>
      </c>
      <c r="Z160" s="2" t="s">
        <v>1185</v>
      </c>
      <c r="AA160" s="2">
        <v>15000</v>
      </c>
      <c r="AB160" s="2">
        <v>200</v>
      </c>
      <c r="AC160" s="2">
        <v>1200</v>
      </c>
      <c r="AD160" s="2">
        <v>0</v>
      </c>
      <c r="AE160" s="2">
        <f t="shared" si="18"/>
        <v>16400</v>
      </c>
      <c r="AF160" s="2">
        <v>5000</v>
      </c>
      <c r="AG160" s="4">
        <v>45527</v>
      </c>
      <c r="AH160" s="2">
        <f t="shared" si="19"/>
        <v>11400</v>
      </c>
      <c r="AI160" s="2">
        <v>3000</v>
      </c>
      <c r="AJ160" s="4">
        <v>45558</v>
      </c>
      <c r="AK160" s="2">
        <f t="shared" si="20"/>
        <v>8400</v>
      </c>
      <c r="AL160" s="2">
        <v>3000</v>
      </c>
      <c r="AM160" s="4">
        <v>45588</v>
      </c>
      <c r="AN160" s="2">
        <f t="shared" si="21"/>
        <v>5400</v>
      </c>
      <c r="AO160" s="2" cm="1">
        <f t="array" ref="AO160">_xlfn.IFS(AN160&gt;=5000,3000,AN160&gt;=2000,1000,AN160&gt;=500,500,AN160&lt;500,AN160)</f>
        <v>3000</v>
      </c>
      <c r="AP160" s="4">
        <v>45619</v>
      </c>
      <c r="AQ160" s="2">
        <f t="shared" si="22"/>
        <v>2400</v>
      </c>
      <c r="AR160" s="2">
        <v>2000</v>
      </c>
      <c r="AS160" s="4">
        <v>45649</v>
      </c>
      <c r="AT160" s="2">
        <f t="shared" si="23"/>
        <v>400</v>
      </c>
      <c r="AU160" s="2">
        <v>400</v>
      </c>
      <c r="AV160" s="4">
        <v>45680</v>
      </c>
      <c r="AW160" s="2">
        <v>0</v>
      </c>
      <c r="AX160" s="2">
        <f t="shared" si="24"/>
        <v>16400</v>
      </c>
      <c r="AY160" s="2">
        <f t="shared" si="25"/>
        <v>0</v>
      </c>
      <c r="AZ160" s="2" t="str">
        <f t="shared" si="26"/>
        <v>Paid</v>
      </c>
      <c r="BA160" s="9" t="str" cm="1">
        <f t="array" ref="BA160">_xlfn.IFS(AZ160="Paid","R",AZ160="Unpaid","Q")</f>
        <v>R</v>
      </c>
      <c r="BB160" s="8" t="s">
        <v>2815</v>
      </c>
    </row>
    <row r="161" spans="1:54" x14ac:dyDescent="0.25">
      <c r="A161" s="2">
        <v>160</v>
      </c>
      <c r="B161" s="2">
        <v>160</v>
      </c>
      <c r="C161" s="2" t="s">
        <v>342</v>
      </c>
      <c r="D161" s="2" t="s">
        <v>1819</v>
      </c>
      <c r="E161" s="2" t="s">
        <v>343</v>
      </c>
      <c r="F161" s="4">
        <v>45519</v>
      </c>
      <c r="G161" s="8" t="s">
        <v>45</v>
      </c>
      <c r="H161" s="8" t="s">
        <v>1250</v>
      </c>
      <c r="I161" s="2" t="s">
        <v>14</v>
      </c>
      <c r="J161" s="2" t="s">
        <v>15</v>
      </c>
      <c r="K161" s="2" t="s">
        <v>791</v>
      </c>
      <c r="L161" s="2" t="s">
        <v>1257</v>
      </c>
      <c r="M161" s="2" t="s">
        <v>1261</v>
      </c>
      <c r="N161" s="2" t="s">
        <v>2175</v>
      </c>
      <c r="O161" s="4">
        <v>40414</v>
      </c>
      <c r="P161" s="2" t="s">
        <v>2600</v>
      </c>
      <c r="Q161" s="2" t="s">
        <v>2539</v>
      </c>
      <c r="R161" s="2" t="s">
        <v>2393</v>
      </c>
      <c r="S161" s="2" t="s">
        <v>788</v>
      </c>
      <c r="T161" s="2" t="s">
        <v>1447</v>
      </c>
      <c r="U161" s="2" t="s">
        <v>1276</v>
      </c>
      <c r="V161" s="2">
        <v>7863911210</v>
      </c>
      <c r="W161" s="2" t="s">
        <v>963</v>
      </c>
      <c r="X161" s="2" t="s">
        <v>801</v>
      </c>
      <c r="Y161" s="2" t="s">
        <v>1184</v>
      </c>
      <c r="Z161" s="2" t="s">
        <v>1185</v>
      </c>
      <c r="AA161" s="2">
        <v>2000</v>
      </c>
      <c r="AB161" s="2">
        <v>200</v>
      </c>
      <c r="AC161" s="2">
        <v>300</v>
      </c>
      <c r="AD161" s="2">
        <v>300</v>
      </c>
      <c r="AE161" s="2">
        <f t="shared" si="18"/>
        <v>2200</v>
      </c>
      <c r="AF161" s="2">
        <v>500</v>
      </c>
      <c r="AG161" s="4">
        <v>45529</v>
      </c>
      <c r="AH161" s="2">
        <f t="shared" si="19"/>
        <v>1700</v>
      </c>
      <c r="AI161" s="2">
        <v>500</v>
      </c>
      <c r="AJ161" s="4">
        <v>45560</v>
      </c>
      <c r="AK161" s="2">
        <f t="shared" si="20"/>
        <v>1200</v>
      </c>
      <c r="AL161" s="2">
        <v>500</v>
      </c>
      <c r="AM161" s="4">
        <v>45590</v>
      </c>
      <c r="AN161" s="2">
        <f t="shared" si="21"/>
        <v>700</v>
      </c>
      <c r="AO161" s="2" cm="1">
        <f t="array" ref="AO161">_xlfn.IFS(AN161&gt;=5000,3000,AN161&gt;=2000,1000,AN161&gt;=500,500,AN161&lt;500,AN161)</f>
        <v>500</v>
      </c>
      <c r="AP161" s="4">
        <v>45621</v>
      </c>
      <c r="AQ161" s="2">
        <f t="shared" si="22"/>
        <v>200</v>
      </c>
      <c r="AR161" s="2">
        <v>200</v>
      </c>
      <c r="AS161" s="4">
        <v>45651</v>
      </c>
      <c r="AT161" s="2">
        <f t="shared" si="23"/>
        <v>0</v>
      </c>
      <c r="AU161" s="2" t="s">
        <v>1200</v>
      </c>
      <c r="AV161" s="4" t="s">
        <v>1200</v>
      </c>
      <c r="AW161" s="2" t="s">
        <v>1200</v>
      </c>
      <c r="AX161" s="2">
        <f t="shared" si="24"/>
        <v>2200</v>
      </c>
      <c r="AY161" s="2">
        <f t="shared" si="25"/>
        <v>0</v>
      </c>
      <c r="AZ161" s="2" t="str">
        <f t="shared" si="26"/>
        <v>Paid</v>
      </c>
      <c r="BA161" s="9" t="str" cm="1">
        <f t="array" ref="BA161">_xlfn.IFS(AZ161="Paid","R",AZ161="Unpaid","Q")</f>
        <v>R</v>
      </c>
      <c r="BB161" s="8" t="s">
        <v>2815</v>
      </c>
    </row>
    <row r="162" spans="1:54" x14ac:dyDescent="0.25">
      <c r="A162" s="2">
        <v>161</v>
      </c>
      <c r="B162" s="2">
        <v>161</v>
      </c>
      <c r="C162" s="2" t="s">
        <v>344</v>
      </c>
      <c r="D162" s="2" t="s">
        <v>1820</v>
      </c>
      <c r="E162" s="2" t="s">
        <v>345</v>
      </c>
      <c r="F162" s="4">
        <v>45521</v>
      </c>
      <c r="G162" s="8" t="s">
        <v>45</v>
      </c>
      <c r="H162" s="8" t="s">
        <v>1250</v>
      </c>
      <c r="I162" s="2" t="s">
        <v>14</v>
      </c>
      <c r="J162" s="2" t="s">
        <v>15</v>
      </c>
      <c r="K162" s="2" t="s">
        <v>791</v>
      </c>
      <c r="L162" s="2" t="s">
        <v>1257</v>
      </c>
      <c r="M162" s="2" t="s">
        <v>1261</v>
      </c>
      <c r="N162" s="2" t="s">
        <v>2176</v>
      </c>
      <c r="O162" s="4">
        <v>36942</v>
      </c>
      <c r="P162" s="2" t="s">
        <v>2601</v>
      </c>
      <c r="Q162" s="2" t="s">
        <v>2459</v>
      </c>
      <c r="R162" s="2" t="s">
        <v>2393</v>
      </c>
      <c r="S162" s="2" t="s">
        <v>820</v>
      </c>
      <c r="T162" s="2" t="s">
        <v>1448</v>
      </c>
      <c r="U162" s="2" t="s">
        <v>1284</v>
      </c>
      <c r="V162" s="2">
        <v>6703313862</v>
      </c>
      <c r="W162" s="2" t="s">
        <v>964</v>
      </c>
      <c r="X162" s="2" t="s">
        <v>837</v>
      </c>
      <c r="Y162" s="2" t="s">
        <v>1184</v>
      </c>
      <c r="Z162" s="2" t="s">
        <v>1185</v>
      </c>
      <c r="AA162" s="2">
        <v>2000</v>
      </c>
      <c r="AB162" s="2">
        <v>200</v>
      </c>
      <c r="AC162" s="2">
        <v>300</v>
      </c>
      <c r="AD162" s="2">
        <v>0</v>
      </c>
      <c r="AE162" s="2">
        <f t="shared" si="18"/>
        <v>2500</v>
      </c>
      <c r="AF162" s="2">
        <v>1000</v>
      </c>
      <c r="AG162" s="4">
        <v>45531</v>
      </c>
      <c r="AH162" s="2">
        <f t="shared" si="19"/>
        <v>1500</v>
      </c>
      <c r="AI162" s="2">
        <v>500</v>
      </c>
      <c r="AJ162" s="4">
        <v>45562</v>
      </c>
      <c r="AK162" s="2">
        <f t="shared" si="20"/>
        <v>1000</v>
      </c>
      <c r="AL162" s="2">
        <v>500</v>
      </c>
      <c r="AM162" s="4">
        <v>45592</v>
      </c>
      <c r="AN162" s="2">
        <f t="shared" si="21"/>
        <v>500</v>
      </c>
      <c r="AO162" s="2" cm="1">
        <f t="array" ref="AO162">_xlfn.IFS(AN162&gt;=5000,3000,AN162&gt;=2000,1000,AN162&gt;=500,500,AN162&lt;500,AN162)</f>
        <v>500</v>
      </c>
      <c r="AP162" s="4">
        <v>45623</v>
      </c>
      <c r="AQ162" s="2">
        <f t="shared" si="22"/>
        <v>0</v>
      </c>
      <c r="AR162" s="2" t="s">
        <v>1200</v>
      </c>
      <c r="AS162" s="4" t="s">
        <v>1200</v>
      </c>
      <c r="AT162" s="2" t="str">
        <f t="shared" si="23"/>
        <v/>
      </c>
      <c r="AU162" s="2" t="s">
        <v>1200</v>
      </c>
      <c r="AV162" s="4" t="s">
        <v>1200</v>
      </c>
      <c r="AW162" s="2" t="s">
        <v>1200</v>
      </c>
      <c r="AX162" s="2">
        <f t="shared" si="24"/>
        <v>2500</v>
      </c>
      <c r="AY162" s="2">
        <f t="shared" si="25"/>
        <v>0</v>
      </c>
      <c r="AZ162" s="2" t="str">
        <f t="shared" si="26"/>
        <v>Paid</v>
      </c>
      <c r="BA162" s="9" t="str" cm="1">
        <f t="array" ref="BA162">_xlfn.IFS(AZ162="Paid","R",AZ162="Unpaid","Q")</f>
        <v>R</v>
      </c>
      <c r="BB162" s="8" t="s">
        <v>2815</v>
      </c>
    </row>
    <row r="163" spans="1:54" x14ac:dyDescent="0.25">
      <c r="A163" s="2">
        <v>162</v>
      </c>
      <c r="B163" s="2">
        <v>162</v>
      </c>
      <c r="C163" s="2" t="s">
        <v>346</v>
      </c>
      <c r="D163" s="2" t="s">
        <v>1821</v>
      </c>
      <c r="E163" s="2" t="s">
        <v>347</v>
      </c>
      <c r="F163" s="4">
        <v>45521</v>
      </c>
      <c r="G163" s="8" t="s">
        <v>18</v>
      </c>
      <c r="H163" s="8" t="s">
        <v>1253</v>
      </c>
      <c r="I163" s="2" t="s">
        <v>9</v>
      </c>
      <c r="J163" s="2" t="s">
        <v>15</v>
      </c>
      <c r="K163" s="2" t="s">
        <v>795</v>
      </c>
      <c r="L163" s="2" t="s">
        <v>1256</v>
      </c>
      <c r="M163" s="2" t="s">
        <v>1263</v>
      </c>
      <c r="N163" s="2" t="s">
        <v>2177</v>
      </c>
      <c r="O163" s="4">
        <v>40269</v>
      </c>
      <c r="P163" s="2" t="s">
        <v>2602</v>
      </c>
      <c r="Q163" s="2" t="s">
        <v>2430</v>
      </c>
      <c r="R163" s="2" t="s">
        <v>2393</v>
      </c>
      <c r="S163" s="2" t="s">
        <v>792</v>
      </c>
      <c r="T163" s="2" t="s">
        <v>1449</v>
      </c>
      <c r="U163" s="2" t="s">
        <v>1268</v>
      </c>
      <c r="V163" s="2">
        <v>6509272368</v>
      </c>
      <c r="W163" s="2" t="s">
        <v>965</v>
      </c>
      <c r="X163" s="2" t="s">
        <v>794</v>
      </c>
      <c r="Y163" s="2" t="s">
        <v>1184</v>
      </c>
      <c r="Z163" s="2" t="s">
        <v>1185</v>
      </c>
      <c r="AA163" s="2">
        <v>7000</v>
      </c>
      <c r="AB163" s="2">
        <v>200</v>
      </c>
      <c r="AC163" s="2">
        <v>800</v>
      </c>
      <c r="AD163" s="2">
        <v>0</v>
      </c>
      <c r="AE163" s="2">
        <f t="shared" si="18"/>
        <v>8000</v>
      </c>
      <c r="AF163" s="2">
        <v>2500</v>
      </c>
      <c r="AG163" s="4">
        <v>45531</v>
      </c>
      <c r="AH163" s="2">
        <f t="shared" si="19"/>
        <v>5500</v>
      </c>
      <c r="AI163" s="2">
        <v>3000</v>
      </c>
      <c r="AJ163" s="4">
        <v>45562</v>
      </c>
      <c r="AK163" s="2">
        <f t="shared" si="20"/>
        <v>2500</v>
      </c>
      <c r="AL163" s="2">
        <v>1000</v>
      </c>
      <c r="AM163" s="4">
        <v>45592</v>
      </c>
      <c r="AN163" s="2">
        <f t="shared" si="21"/>
        <v>1500</v>
      </c>
      <c r="AO163" s="2" cm="1">
        <f t="array" ref="AO163">_xlfn.IFS(AN163&gt;=5000,3000,AN163&gt;=2000,1000,AN163&gt;=500,500,AN163&lt;500,AN163)</f>
        <v>500</v>
      </c>
      <c r="AP163" s="4">
        <v>45623</v>
      </c>
      <c r="AQ163" s="2">
        <f t="shared" si="22"/>
        <v>1000</v>
      </c>
      <c r="AR163" s="2">
        <v>1000</v>
      </c>
      <c r="AS163" s="4">
        <v>45653</v>
      </c>
      <c r="AT163" s="2">
        <f t="shared" si="23"/>
        <v>0</v>
      </c>
      <c r="AU163" s="2" t="s">
        <v>1200</v>
      </c>
      <c r="AV163" s="4" t="s">
        <v>1200</v>
      </c>
      <c r="AW163" s="2" t="s">
        <v>1200</v>
      </c>
      <c r="AX163" s="2">
        <f t="shared" si="24"/>
        <v>8000</v>
      </c>
      <c r="AY163" s="2">
        <f t="shared" si="25"/>
        <v>0</v>
      </c>
      <c r="AZ163" s="2" t="str">
        <f t="shared" si="26"/>
        <v>Paid</v>
      </c>
      <c r="BA163" s="9" t="str" cm="1">
        <f t="array" ref="BA163">_xlfn.IFS(AZ163="Paid","R",AZ163="Unpaid","Q")</f>
        <v>R</v>
      </c>
      <c r="BB163" s="8" t="s">
        <v>2815</v>
      </c>
    </row>
    <row r="164" spans="1:54" x14ac:dyDescent="0.25">
      <c r="A164" s="2">
        <v>163</v>
      </c>
      <c r="B164" s="2">
        <v>163</v>
      </c>
      <c r="C164" s="2" t="s">
        <v>348</v>
      </c>
      <c r="D164" s="2" t="s">
        <v>1822</v>
      </c>
      <c r="E164" s="2" t="s">
        <v>349</v>
      </c>
      <c r="F164" s="4">
        <v>45529</v>
      </c>
      <c r="G164" s="8" t="s">
        <v>29</v>
      </c>
      <c r="H164" s="8" t="s">
        <v>1248</v>
      </c>
      <c r="I164" s="2" t="s">
        <v>14</v>
      </c>
      <c r="J164" s="2" t="s">
        <v>15</v>
      </c>
      <c r="K164" s="2" t="s">
        <v>791</v>
      </c>
      <c r="L164" s="2" t="s">
        <v>1259</v>
      </c>
      <c r="M164" s="2" t="s">
        <v>1262</v>
      </c>
      <c r="N164" s="2" t="s">
        <v>2178</v>
      </c>
      <c r="O164" s="4">
        <v>32347</v>
      </c>
      <c r="P164" s="2" t="s">
        <v>2603</v>
      </c>
      <c r="Q164" s="2" t="s">
        <v>2442</v>
      </c>
      <c r="R164" s="2" t="s">
        <v>2393</v>
      </c>
      <c r="S164" s="2" t="s">
        <v>788</v>
      </c>
      <c r="T164" s="2" t="s">
        <v>1450</v>
      </c>
      <c r="U164" s="2" t="s">
        <v>1272</v>
      </c>
      <c r="V164" s="2">
        <v>8766143059</v>
      </c>
      <c r="W164" s="2" t="s">
        <v>966</v>
      </c>
      <c r="X164" s="2" t="s">
        <v>809</v>
      </c>
      <c r="Y164" s="2" t="s">
        <v>1184</v>
      </c>
      <c r="Z164" s="2" t="s">
        <v>1185</v>
      </c>
      <c r="AA164" s="2">
        <v>2500</v>
      </c>
      <c r="AB164" s="2">
        <v>200</v>
      </c>
      <c r="AC164" s="2">
        <v>400</v>
      </c>
      <c r="AD164" s="2">
        <v>0</v>
      </c>
      <c r="AE164" s="2">
        <f t="shared" si="18"/>
        <v>3100</v>
      </c>
      <c r="AF164" s="2">
        <v>1000</v>
      </c>
      <c r="AG164" s="4">
        <v>45539</v>
      </c>
      <c r="AH164" s="2">
        <f t="shared" si="19"/>
        <v>2100</v>
      </c>
      <c r="AI164" s="2">
        <v>1000</v>
      </c>
      <c r="AJ164" s="4">
        <v>45569</v>
      </c>
      <c r="AK164" s="2">
        <f t="shared" si="20"/>
        <v>1100</v>
      </c>
      <c r="AL164" s="2">
        <v>500</v>
      </c>
      <c r="AM164" s="4">
        <v>45600</v>
      </c>
      <c r="AN164" s="2">
        <f t="shared" si="21"/>
        <v>600</v>
      </c>
      <c r="AO164" s="2" cm="1">
        <f t="array" ref="AO164">_xlfn.IFS(AN164&gt;=5000,3000,AN164&gt;=2000,1000,AN164&gt;=500,500,AN164&lt;500,AN164)</f>
        <v>500</v>
      </c>
      <c r="AP164" s="4">
        <v>45630</v>
      </c>
      <c r="AQ164" s="2">
        <f t="shared" si="22"/>
        <v>100</v>
      </c>
      <c r="AR164" s="2">
        <v>100</v>
      </c>
      <c r="AS164" s="4">
        <v>45661</v>
      </c>
      <c r="AT164" s="2">
        <f t="shared" si="23"/>
        <v>0</v>
      </c>
      <c r="AU164" s="2" t="s">
        <v>1200</v>
      </c>
      <c r="AV164" s="4" t="s">
        <v>1200</v>
      </c>
      <c r="AW164" s="2" t="s">
        <v>1200</v>
      </c>
      <c r="AX164" s="2">
        <f t="shared" si="24"/>
        <v>3100</v>
      </c>
      <c r="AY164" s="2">
        <f t="shared" si="25"/>
        <v>0</v>
      </c>
      <c r="AZ164" s="2" t="str">
        <f t="shared" si="26"/>
        <v>Paid</v>
      </c>
      <c r="BA164" s="9" t="str" cm="1">
        <f t="array" ref="BA164">_xlfn.IFS(AZ164="Paid","R",AZ164="Unpaid","Q")</f>
        <v>R</v>
      </c>
      <c r="BB164" s="8" t="s">
        <v>2815</v>
      </c>
    </row>
    <row r="165" spans="1:54" x14ac:dyDescent="0.25">
      <c r="A165" s="2">
        <v>164</v>
      </c>
      <c r="B165" s="2">
        <v>164</v>
      </c>
      <c r="C165" s="2" t="s">
        <v>350</v>
      </c>
      <c r="D165" s="2" t="s">
        <v>1823</v>
      </c>
      <c r="E165" s="2" t="s">
        <v>351</v>
      </c>
      <c r="F165" s="4">
        <v>45531</v>
      </c>
      <c r="G165" s="8" t="s">
        <v>48</v>
      </c>
      <c r="H165" s="8" t="s">
        <v>1251</v>
      </c>
      <c r="I165" s="2" t="s">
        <v>14</v>
      </c>
      <c r="J165" s="2" t="s">
        <v>15</v>
      </c>
      <c r="K165" s="2" t="s">
        <v>791</v>
      </c>
      <c r="L165" s="2" t="s">
        <v>1259</v>
      </c>
      <c r="M165" s="2" t="s">
        <v>1262</v>
      </c>
      <c r="N165" s="2" t="s">
        <v>2179</v>
      </c>
      <c r="O165" s="4">
        <v>39253</v>
      </c>
      <c r="P165" s="2" t="s">
        <v>2604</v>
      </c>
      <c r="Q165" s="2" t="s">
        <v>2560</v>
      </c>
      <c r="R165" s="2" t="s">
        <v>2393</v>
      </c>
      <c r="S165" s="2" t="s">
        <v>788</v>
      </c>
      <c r="T165" s="2" t="s">
        <v>1451</v>
      </c>
      <c r="U165" s="2" t="s">
        <v>1280</v>
      </c>
      <c r="V165" s="2">
        <v>9856983322</v>
      </c>
      <c r="W165" s="2" t="s">
        <v>967</v>
      </c>
      <c r="X165" s="2" t="s">
        <v>813</v>
      </c>
      <c r="Y165" s="2" t="s">
        <v>1184</v>
      </c>
      <c r="Z165" s="2" t="s">
        <v>1185</v>
      </c>
      <c r="AA165" s="2">
        <v>3000</v>
      </c>
      <c r="AB165" s="2">
        <v>200</v>
      </c>
      <c r="AC165" s="2">
        <v>500</v>
      </c>
      <c r="AD165" s="2">
        <v>0</v>
      </c>
      <c r="AE165" s="2">
        <f t="shared" si="18"/>
        <v>3700</v>
      </c>
      <c r="AF165" s="2">
        <v>1000</v>
      </c>
      <c r="AG165" s="4">
        <v>45541</v>
      </c>
      <c r="AH165" s="2">
        <f t="shared" si="19"/>
        <v>2700</v>
      </c>
      <c r="AI165" s="2">
        <v>1000</v>
      </c>
      <c r="AJ165" s="4">
        <v>45571</v>
      </c>
      <c r="AK165" s="2">
        <f t="shared" si="20"/>
        <v>1700</v>
      </c>
      <c r="AL165" s="2">
        <v>500</v>
      </c>
      <c r="AM165" s="4">
        <v>45602</v>
      </c>
      <c r="AN165" s="2">
        <f t="shared" si="21"/>
        <v>1200</v>
      </c>
      <c r="AO165" s="2" cm="1">
        <f t="array" ref="AO165">_xlfn.IFS(AN165&gt;=5000,3000,AN165&gt;=2000,1000,AN165&gt;=500,500,AN165&lt;500,AN165)</f>
        <v>500</v>
      </c>
      <c r="AP165" s="4">
        <v>45632</v>
      </c>
      <c r="AQ165" s="2">
        <f t="shared" si="22"/>
        <v>700</v>
      </c>
      <c r="AR165" s="2">
        <v>500</v>
      </c>
      <c r="AS165" s="4">
        <v>45663</v>
      </c>
      <c r="AT165" s="2">
        <f t="shared" si="23"/>
        <v>200</v>
      </c>
      <c r="AU165" s="2">
        <v>200</v>
      </c>
      <c r="AV165" s="4">
        <v>45694</v>
      </c>
      <c r="AW165" s="2">
        <v>0</v>
      </c>
      <c r="AX165" s="2">
        <f t="shared" si="24"/>
        <v>3700</v>
      </c>
      <c r="AY165" s="2">
        <f t="shared" si="25"/>
        <v>0</v>
      </c>
      <c r="AZ165" s="2" t="str">
        <f t="shared" si="26"/>
        <v>Paid</v>
      </c>
      <c r="BA165" s="9" t="str" cm="1">
        <f t="array" ref="BA165">_xlfn.IFS(AZ165="Paid","R",AZ165="Unpaid","Q")</f>
        <v>R</v>
      </c>
      <c r="BB165" s="8" t="s">
        <v>2815</v>
      </c>
    </row>
    <row r="166" spans="1:54" x14ac:dyDescent="0.25">
      <c r="A166" s="2">
        <v>165</v>
      </c>
      <c r="B166" s="2">
        <v>165</v>
      </c>
      <c r="C166" s="2" t="s">
        <v>352</v>
      </c>
      <c r="D166" s="2" t="s">
        <v>1824</v>
      </c>
      <c r="E166" s="2" t="s">
        <v>353</v>
      </c>
      <c r="F166" s="4">
        <v>45531</v>
      </c>
      <c r="G166" s="8" t="s">
        <v>35</v>
      </c>
      <c r="H166" s="8" t="s">
        <v>1244</v>
      </c>
      <c r="I166" s="2" t="s">
        <v>14</v>
      </c>
      <c r="J166" s="2" t="s">
        <v>15</v>
      </c>
      <c r="K166" s="2" t="s">
        <v>791</v>
      </c>
      <c r="L166" s="2" t="s">
        <v>1259</v>
      </c>
      <c r="M166" s="2" t="s">
        <v>1262</v>
      </c>
      <c r="N166" s="2" t="s">
        <v>2180</v>
      </c>
      <c r="O166" s="4">
        <v>32198</v>
      </c>
      <c r="P166" s="2" t="s">
        <v>2605</v>
      </c>
      <c r="Q166" s="2" t="s">
        <v>2564</v>
      </c>
      <c r="R166" s="2" t="s">
        <v>2396</v>
      </c>
      <c r="S166" s="2" t="s">
        <v>788</v>
      </c>
      <c r="T166" s="2" t="s">
        <v>1452</v>
      </c>
      <c r="U166" s="2" t="s">
        <v>1268</v>
      </c>
      <c r="V166" s="2">
        <v>9952961885</v>
      </c>
      <c r="W166" s="2" t="s">
        <v>968</v>
      </c>
      <c r="X166" s="2" t="s">
        <v>807</v>
      </c>
      <c r="Y166" s="2" t="s">
        <v>1184</v>
      </c>
      <c r="Z166" s="2" t="s">
        <v>1185</v>
      </c>
      <c r="AA166" s="2">
        <v>3000</v>
      </c>
      <c r="AB166" s="2">
        <v>200</v>
      </c>
      <c r="AC166" s="2">
        <v>500</v>
      </c>
      <c r="AD166" s="2">
        <v>200</v>
      </c>
      <c r="AE166" s="2">
        <f t="shared" si="18"/>
        <v>3500</v>
      </c>
      <c r="AF166" s="2">
        <v>1000</v>
      </c>
      <c r="AG166" s="4">
        <v>45541</v>
      </c>
      <c r="AH166" s="2">
        <f t="shared" si="19"/>
        <v>2500</v>
      </c>
      <c r="AI166" s="2">
        <v>1000</v>
      </c>
      <c r="AJ166" s="4">
        <v>45571</v>
      </c>
      <c r="AK166" s="2">
        <f t="shared" si="20"/>
        <v>1500</v>
      </c>
      <c r="AL166" s="2">
        <v>500</v>
      </c>
      <c r="AM166" s="4">
        <v>45602</v>
      </c>
      <c r="AN166" s="2">
        <f t="shared" si="21"/>
        <v>1000</v>
      </c>
      <c r="AO166" s="2" cm="1">
        <f t="array" ref="AO166">_xlfn.IFS(AN166&gt;=5000,3000,AN166&gt;=2000,1000,AN166&gt;=500,500,AN166&lt;500,AN166)</f>
        <v>500</v>
      </c>
      <c r="AP166" s="4">
        <v>45632</v>
      </c>
      <c r="AQ166" s="2">
        <f t="shared" si="22"/>
        <v>500</v>
      </c>
      <c r="AR166" s="2">
        <v>500</v>
      </c>
      <c r="AS166" s="4">
        <v>45663</v>
      </c>
      <c r="AT166" s="2">
        <f t="shared" si="23"/>
        <v>0</v>
      </c>
      <c r="AU166" s="2" t="s">
        <v>1200</v>
      </c>
      <c r="AV166" s="4" t="s">
        <v>1200</v>
      </c>
      <c r="AW166" s="2" t="s">
        <v>1200</v>
      </c>
      <c r="AX166" s="2">
        <f t="shared" si="24"/>
        <v>3500</v>
      </c>
      <c r="AY166" s="2">
        <f t="shared" si="25"/>
        <v>0</v>
      </c>
      <c r="AZ166" s="2" t="str">
        <f t="shared" si="26"/>
        <v>Paid</v>
      </c>
      <c r="BA166" s="9" t="str" cm="1">
        <f t="array" ref="BA166">_xlfn.IFS(AZ166="Paid","R",AZ166="Unpaid","Q")</f>
        <v>R</v>
      </c>
      <c r="BB166" s="8" t="s">
        <v>2815</v>
      </c>
    </row>
    <row r="167" spans="1:54" x14ac:dyDescent="0.25">
      <c r="A167" s="2">
        <v>166</v>
      </c>
      <c r="B167" s="2">
        <v>166</v>
      </c>
      <c r="C167" s="2" t="s">
        <v>354</v>
      </c>
      <c r="D167" s="2" t="s">
        <v>1825</v>
      </c>
      <c r="E167" s="2" t="s">
        <v>355</v>
      </c>
      <c r="F167" s="4">
        <v>45531</v>
      </c>
      <c r="G167" s="8" t="s">
        <v>26</v>
      </c>
      <c r="H167" s="8" t="s">
        <v>1243</v>
      </c>
      <c r="I167" s="2" t="s">
        <v>9</v>
      </c>
      <c r="J167" s="2" t="s">
        <v>10</v>
      </c>
      <c r="K167" s="2" t="s">
        <v>787</v>
      </c>
      <c r="L167" s="2" t="s">
        <v>1260</v>
      </c>
      <c r="M167" s="2" t="s">
        <v>1261</v>
      </c>
      <c r="N167" s="2" t="s">
        <v>2181</v>
      </c>
      <c r="O167" s="4">
        <v>40412</v>
      </c>
      <c r="P167" s="2" t="s">
        <v>2606</v>
      </c>
      <c r="Q167" s="2" t="s">
        <v>2401</v>
      </c>
      <c r="R167" s="2" t="s">
        <v>2393</v>
      </c>
      <c r="S167" s="2" t="s">
        <v>788</v>
      </c>
      <c r="T167" s="2" t="s">
        <v>1453</v>
      </c>
      <c r="U167" s="2" t="s">
        <v>1269</v>
      </c>
      <c r="V167" s="2">
        <v>9494292714</v>
      </c>
      <c r="W167" s="2" t="s">
        <v>969</v>
      </c>
      <c r="X167" s="2" t="s">
        <v>790</v>
      </c>
      <c r="Y167" s="2" t="s">
        <v>1184</v>
      </c>
      <c r="Z167" s="2" t="s">
        <v>1185</v>
      </c>
      <c r="AA167" s="2">
        <v>15000</v>
      </c>
      <c r="AB167" s="2">
        <v>200</v>
      </c>
      <c r="AC167" s="2">
        <v>1200</v>
      </c>
      <c r="AD167" s="2">
        <v>300</v>
      </c>
      <c r="AE167" s="2">
        <f t="shared" si="18"/>
        <v>16100</v>
      </c>
      <c r="AF167" s="2">
        <v>5000</v>
      </c>
      <c r="AG167" s="4">
        <v>45541</v>
      </c>
      <c r="AH167" s="2">
        <f t="shared" si="19"/>
        <v>11100</v>
      </c>
      <c r="AI167" s="2">
        <v>3000</v>
      </c>
      <c r="AJ167" s="4">
        <v>45571</v>
      </c>
      <c r="AK167" s="2">
        <f t="shared" si="20"/>
        <v>8100</v>
      </c>
      <c r="AL167" s="2">
        <v>3000</v>
      </c>
      <c r="AM167" s="4">
        <v>45602</v>
      </c>
      <c r="AN167" s="2">
        <f t="shared" si="21"/>
        <v>5100</v>
      </c>
      <c r="AO167" s="2" cm="1">
        <f t="array" ref="AO167">_xlfn.IFS(AN167&gt;=5000,3000,AN167&gt;=2000,1000,AN167&gt;=500,500,AN167&lt;500,AN167)</f>
        <v>3000</v>
      </c>
      <c r="AP167" s="4">
        <v>45632</v>
      </c>
      <c r="AQ167" s="2">
        <f t="shared" si="22"/>
        <v>2100</v>
      </c>
      <c r="AR167" s="2">
        <v>2000</v>
      </c>
      <c r="AS167" s="4">
        <v>45663</v>
      </c>
      <c r="AT167" s="2">
        <f t="shared" si="23"/>
        <v>100</v>
      </c>
      <c r="AU167" s="2">
        <v>100</v>
      </c>
      <c r="AV167" s="4">
        <v>45694</v>
      </c>
      <c r="AW167" s="2">
        <v>0</v>
      </c>
      <c r="AX167" s="2">
        <f t="shared" si="24"/>
        <v>16100</v>
      </c>
      <c r="AY167" s="2">
        <f t="shared" si="25"/>
        <v>0</v>
      </c>
      <c r="AZ167" s="2" t="str">
        <f t="shared" si="26"/>
        <v>Paid</v>
      </c>
      <c r="BA167" s="9" t="str" cm="1">
        <f t="array" ref="BA167">_xlfn.IFS(AZ167="Paid","R",AZ167="Unpaid","Q")</f>
        <v>R</v>
      </c>
      <c r="BB167" s="8" t="s">
        <v>2815</v>
      </c>
    </row>
    <row r="168" spans="1:54" x14ac:dyDescent="0.25">
      <c r="A168" s="2">
        <v>167</v>
      </c>
      <c r="B168" s="2">
        <v>167</v>
      </c>
      <c r="C168" s="2" t="s">
        <v>356</v>
      </c>
      <c r="D168" s="2" t="s">
        <v>1826</v>
      </c>
      <c r="E168" s="2" t="s">
        <v>357</v>
      </c>
      <c r="F168" s="4">
        <v>45532</v>
      </c>
      <c r="G168" s="8" t="s">
        <v>45</v>
      </c>
      <c r="H168" s="8" t="s">
        <v>1250</v>
      </c>
      <c r="I168" s="2" t="s">
        <v>14</v>
      </c>
      <c r="J168" s="2" t="s">
        <v>15</v>
      </c>
      <c r="K168" s="2" t="s">
        <v>791</v>
      </c>
      <c r="L168" s="2" t="s">
        <v>1257</v>
      </c>
      <c r="M168" s="2" t="s">
        <v>1261</v>
      </c>
      <c r="N168" s="2" t="s">
        <v>2182</v>
      </c>
      <c r="O168" s="4">
        <v>39650</v>
      </c>
      <c r="P168" s="2" t="s">
        <v>2607</v>
      </c>
      <c r="Q168" s="2" t="s">
        <v>2432</v>
      </c>
      <c r="R168" s="2" t="s">
        <v>2393</v>
      </c>
      <c r="S168" s="2" t="s">
        <v>796</v>
      </c>
      <c r="T168" s="2" t="s">
        <v>1454</v>
      </c>
      <c r="U168" s="2" t="s">
        <v>1268</v>
      </c>
      <c r="V168" s="2">
        <v>8776579639</v>
      </c>
      <c r="W168" s="2" t="s">
        <v>970</v>
      </c>
      <c r="X168" s="2" t="s">
        <v>801</v>
      </c>
      <c r="Y168" s="2" t="s">
        <v>1184</v>
      </c>
      <c r="Z168" s="2" t="s">
        <v>1185</v>
      </c>
      <c r="AA168" s="2">
        <v>2000</v>
      </c>
      <c r="AB168" s="2">
        <v>200</v>
      </c>
      <c r="AC168" s="2">
        <v>300</v>
      </c>
      <c r="AD168" s="2">
        <v>200</v>
      </c>
      <c r="AE168" s="2">
        <f t="shared" si="18"/>
        <v>2300</v>
      </c>
      <c r="AF168" s="2">
        <v>500</v>
      </c>
      <c r="AG168" s="4">
        <v>45542</v>
      </c>
      <c r="AH168" s="2">
        <f t="shared" si="19"/>
        <v>1800</v>
      </c>
      <c r="AI168" s="2">
        <v>500</v>
      </c>
      <c r="AJ168" s="4">
        <v>45572</v>
      </c>
      <c r="AK168" s="2">
        <f t="shared" si="20"/>
        <v>1300</v>
      </c>
      <c r="AL168" s="2">
        <v>500</v>
      </c>
      <c r="AM168" s="4">
        <v>45603</v>
      </c>
      <c r="AN168" s="2">
        <f t="shared" si="21"/>
        <v>800</v>
      </c>
      <c r="AO168" s="2" cm="1">
        <f t="array" ref="AO168">_xlfn.IFS(AN168&gt;=5000,3000,AN168&gt;=2000,1000,AN168&gt;=500,500,AN168&lt;500,AN168)</f>
        <v>500</v>
      </c>
      <c r="AP168" s="4">
        <v>45633</v>
      </c>
      <c r="AQ168" s="2">
        <f t="shared" si="22"/>
        <v>300</v>
      </c>
      <c r="AR168" s="2">
        <v>300</v>
      </c>
      <c r="AS168" s="4">
        <v>45664</v>
      </c>
      <c r="AT168" s="2">
        <f t="shared" si="23"/>
        <v>0</v>
      </c>
      <c r="AU168" s="2" t="s">
        <v>1200</v>
      </c>
      <c r="AV168" s="4" t="s">
        <v>1200</v>
      </c>
      <c r="AW168" s="2" t="s">
        <v>1200</v>
      </c>
      <c r="AX168" s="2">
        <f t="shared" si="24"/>
        <v>2300</v>
      </c>
      <c r="AY168" s="2">
        <f t="shared" si="25"/>
        <v>0</v>
      </c>
      <c r="AZ168" s="2" t="str">
        <f t="shared" si="26"/>
        <v>Paid</v>
      </c>
      <c r="BA168" s="9" t="str" cm="1">
        <f t="array" ref="BA168">_xlfn.IFS(AZ168="Paid","R",AZ168="Unpaid","Q")</f>
        <v>R</v>
      </c>
      <c r="BB168" s="8" t="s">
        <v>2815</v>
      </c>
    </row>
    <row r="169" spans="1:54" x14ac:dyDescent="0.25">
      <c r="A169" s="2">
        <v>168</v>
      </c>
      <c r="B169" s="2">
        <v>168</v>
      </c>
      <c r="C169" s="2" t="s">
        <v>358</v>
      </c>
      <c r="D169" s="2" t="s">
        <v>1827</v>
      </c>
      <c r="E169" s="2" t="s">
        <v>359</v>
      </c>
      <c r="F169" s="4">
        <v>45532</v>
      </c>
      <c r="G169" s="8" t="s">
        <v>26</v>
      </c>
      <c r="H169" s="8" t="s">
        <v>1243</v>
      </c>
      <c r="I169" s="2" t="s">
        <v>9</v>
      </c>
      <c r="J169" s="2" t="s">
        <v>10</v>
      </c>
      <c r="K169" s="2" t="s">
        <v>787</v>
      </c>
      <c r="L169" s="2" t="s">
        <v>1257</v>
      </c>
      <c r="M169" s="2" t="s">
        <v>1261</v>
      </c>
      <c r="N169" s="2" t="s">
        <v>2183</v>
      </c>
      <c r="O169" s="4">
        <v>34114</v>
      </c>
      <c r="P169" s="2" t="s">
        <v>2608</v>
      </c>
      <c r="Q169" s="2" t="s">
        <v>2609</v>
      </c>
      <c r="R169" s="2" t="s">
        <v>2393</v>
      </c>
      <c r="S169" s="2" t="s">
        <v>788</v>
      </c>
      <c r="T169" s="2" t="s">
        <v>1455</v>
      </c>
      <c r="U169" s="2" t="s">
        <v>1272</v>
      </c>
      <c r="V169" s="2">
        <v>6048116254</v>
      </c>
      <c r="W169" s="2" t="s">
        <v>971</v>
      </c>
      <c r="X169" s="2" t="s">
        <v>794</v>
      </c>
      <c r="Y169" s="2" t="s">
        <v>1184</v>
      </c>
      <c r="Z169" s="2" t="s">
        <v>1185</v>
      </c>
      <c r="AA169" s="2">
        <v>15000</v>
      </c>
      <c r="AB169" s="2">
        <v>200</v>
      </c>
      <c r="AC169" s="2">
        <v>1200</v>
      </c>
      <c r="AD169" s="2">
        <v>0</v>
      </c>
      <c r="AE169" s="2">
        <f t="shared" si="18"/>
        <v>16400</v>
      </c>
      <c r="AF169" s="2">
        <v>5000</v>
      </c>
      <c r="AG169" s="4">
        <v>45542</v>
      </c>
      <c r="AH169" s="2">
        <f t="shared" si="19"/>
        <v>11400</v>
      </c>
      <c r="AI169" s="2">
        <v>3000</v>
      </c>
      <c r="AJ169" s="4">
        <v>45572</v>
      </c>
      <c r="AK169" s="2">
        <f t="shared" si="20"/>
        <v>8400</v>
      </c>
      <c r="AL169" s="2">
        <v>3000</v>
      </c>
      <c r="AM169" s="4">
        <v>45603</v>
      </c>
      <c r="AN169" s="2">
        <f t="shared" si="21"/>
        <v>5400</v>
      </c>
      <c r="AO169" s="2" cm="1">
        <f t="array" ref="AO169">_xlfn.IFS(AN169&gt;=5000,3000,AN169&gt;=2000,1000,AN169&gt;=500,500,AN169&lt;500,AN169)</f>
        <v>3000</v>
      </c>
      <c r="AP169" s="4">
        <v>45633</v>
      </c>
      <c r="AQ169" s="2">
        <f t="shared" si="22"/>
        <v>2400</v>
      </c>
      <c r="AR169" s="2">
        <v>2000</v>
      </c>
      <c r="AS169" s="4">
        <v>45664</v>
      </c>
      <c r="AT169" s="2">
        <f t="shared" si="23"/>
        <v>400</v>
      </c>
      <c r="AU169" s="2">
        <v>400</v>
      </c>
      <c r="AV169" s="4">
        <v>45695</v>
      </c>
      <c r="AW169" s="2">
        <v>0</v>
      </c>
      <c r="AX169" s="2">
        <f t="shared" si="24"/>
        <v>16400</v>
      </c>
      <c r="AY169" s="2">
        <f t="shared" si="25"/>
        <v>0</v>
      </c>
      <c r="AZ169" s="2" t="str">
        <f t="shared" si="26"/>
        <v>Paid</v>
      </c>
      <c r="BA169" s="9" t="str" cm="1">
        <f t="array" ref="BA169">_xlfn.IFS(AZ169="Paid","R",AZ169="Unpaid","Q")</f>
        <v>R</v>
      </c>
      <c r="BB169" s="8" t="s">
        <v>2815</v>
      </c>
    </row>
    <row r="170" spans="1:54" x14ac:dyDescent="0.25">
      <c r="A170" s="2">
        <v>169</v>
      </c>
      <c r="B170" s="2">
        <v>169</v>
      </c>
      <c r="C170" s="2" t="s">
        <v>360</v>
      </c>
      <c r="D170" s="2" t="s">
        <v>1828</v>
      </c>
      <c r="E170" s="2" t="s">
        <v>361</v>
      </c>
      <c r="F170" s="4">
        <v>45532</v>
      </c>
      <c r="G170" s="8" t="s">
        <v>48</v>
      </c>
      <c r="H170" s="8" t="s">
        <v>1251</v>
      </c>
      <c r="I170" s="2" t="s">
        <v>14</v>
      </c>
      <c r="J170" s="2" t="s">
        <v>15</v>
      </c>
      <c r="K170" s="2" t="s">
        <v>791</v>
      </c>
      <c r="L170" s="2" t="s">
        <v>1257</v>
      </c>
      <c r="M170" s="2" t="s">
        <v>1261</v>
      </c>
      <c r="N170" s="2" t="s">
        <v>2184</v>
      </c>
      <c r="O170" s="4">
        <v>37749</v>
      </c>
      <c r="P170" s="2" t="s">
        <v>2610</v>
      </c>
      <c r="Q170" s="2" t="s">
        <v>2472</v>
      </c>
      <c r="R170" s="2" t="s">
        <v>2396</v>
      </c>
      <c r="S170" s="2" t="s">
        <v>792</v>
      </c>
      <c r="T170" s="2" t="s">
        <v>1456</v>
      </c>
      <c r="U170" s="2" t="s">
        <v>1273</v>
      </c>
      <c r="V170" s="2">
        <v>7656119781</v>
      </c>
      <c r="W170" s="2" t="s">
        <v>972</v>
      </c>
      <c r="X170" s="2" t="s">
        <v>1183</v>
      </c>
      <c r="Y170" s="2" t="s">
        <v>1184</v>
      </c>
      <c r="Z170" s="2" t="s">
        <v>1185</v>
      </c>
      <c r="AA170" s="2">
        <v>3000</v>
      </c>
      <c r="AB170" s="2">
        <v>200</v>
      </c>
      <c r="AC170" s="2">
        <v>500</v>
      </c>
      <c r="AD170" s="2">
        <v>0</v>
      </c>
      <c r="AE170" s="2">
        <f t="shared" si="18"/>
        <v>3700</v>
      </c>
      <c r="AF170" s="2">
        <v>1000</v>
      </c>
      <c r="AG170" s="4">
        <v>45542</v>
      </c>
      <c r="AH170" s="2">
        <f t="shared" si="19"/>
        <v>2700</v>
      </c>
      <c r="AI170" s="2">
        <v>1000</v>
      </c>
      <c r="AJ170" s="4">
        <v>45572</v>
      </c>
      <c r="AK170" s="2">
        <f t="shared" si="20"/>
        <v>1700</v>
      </c>
      <c r="AL170" s="2">
        <v>500</v>
      </c>
      <c r="AM170" s="4">
        <v>45603</v>
      </c>
      <c r="AN170" s="2">
        <f t="shared" si="21"/>
        <v>1200</v>
      </c>
      <c r="AO170" s="2" cm="1">
        <f t="array" ref="AO170">_xlfn.IFS(AN170&gt;=5000,3000,AN170&gt;=2000,1000,AN170&gt;=500,500,AN170&lt;500,AN170)</f>
        <v>500</v>
      </c>
      <c r="AP170" s="4">
        <v>45633</v>
      </c>
      <c r="AQ170" s="2">
        <f t="shared" si="22"/>
        <v>700</v>
      </c>
      <c r="AR170" s="2">
        <v>500</v>
      </c>
      <c r="AS170" s="4">
        <v>45664</v>
      </c>
      <c r="AT170" s="2">
        <f t="shared" si="23"/>
        <v>200</v>
      </c>
      <c r="AU170" s="2">
        <v>200</v>
      </c>
      <c r="AV170" s="4">
        <v>45695</v>
      </c>
      <c r="AW170" s="2">
        <v>0</v>
      </c>
      <c r="AX170" s="2">
        <f t="shared" si="24"/>
        <v>3700</v>
      </c>
      <c r="AY170" s="2">
        <f t="shared" si="25"/>
        <v>0</v>
      </c>
      <c r="AZ170" s="2" t="str">
        <f t="shared" si="26"/>
        <v>Paid</v>
      </c>
      <c r="BA170" s="9" t="str" cm="1">
        <f t="array" ref="BA170">_xlfn.IFS(AZ170="Paid","R",AZ170="Unpaid","Q")</f>
        <v>R</v>
      </c>
      <c r="BB170" s="8" t="s">
        <v>2815</v>
      </c>
    </row>
    <row r="171" spans="1:54" x14ac:dyDescent="0.25">
      <c r="A171" s="2">
        <v>170</v>
      </c>
      <c r="B171" s="2">
        <v>170</v>
      </c>
      <c r="C171" s="2" t="s">
        <v>362</v>
      </c>
      <c r="D171" s="2" t="s">
        <v>1829</v>
      </c>
      <c r="E171" s="2" t="s">
        <v>363</v>
      </c>
      <c r="F171" s="4">
        <v>45541</v>
      </c>
      <c r="G171" s="8" t="s">
        <v>8</v>
      </c>
      <c r="H171" s="8" t="s">
        <v>1242</v>
      </c>
      <c r="I171" s="2" t="s">
        <v>9</v>
      </c>
      <c r="J171" s="2" t="s">
        <v>10</v>
      </c>
      <c r="K171" s="2" t="s">
        <v>787</v>
      </c>
      <c r="L171" s="2" t="s">
        <v>1259</v>
      </c>
      <c r="M171" s="2" t="s">
        <v>1262</v>
      </c>
      <c r="N171" s="2" t="s">
        <v>2185</v>
      </c>
      <c r="O171" s="4">
        <v>33337</v>
      </c>
      <c r="P171" s="2" t="s">
        <v>2611</v>
      </c>
      <c r="Q171" s="2" t="s">
        <v>2420</v>
      </c>
      <c r="R171" s="2" t="s">
        <v>2393</v>
      </c>
      <c r="S171" s="2" t="s">
        <v>788</v>
      </c>
      <c r="T171" s="2" t="s">
        <v>1457</v>
      </c>
      <c r="U171" s="2" t="s">
        <v>1267</v>
      </c>
      <c r="V171" s="2">
        <v>8368746373</v>
      </c>
      <c r="W171" s="2" t="s">
        <v>973</v>
      </c>
      <c r="X171" s="2" t="s">
        <v>790</v>
      </c>
      <c r="Y171" s="2" t="s">
        <v>1184</v>
      </c>
      <c r="Z171" s="2" t="s">
        <v>1185</v>
      </c>
      <c r="AA171" s="2">
        <v>12500</v>
      </c>
      <c r="AB171" s="2">
        <v>200</v>
      </c>
      <c r="AC171" s="2">
        <v>1200</v>
      </c>
      <c r="AD171" s="2">
        <v>500</v>
      </c>
      <c r="AE171" s="2">
        <f t="shared" si="18"/>
        <v>13400</v>
      </c>
      <c r="AF171" s="2">
        <v>5000</v>
      </c>
      <c r="AG171" s="4">
        <v>45551</v>
      </c>
      <c r="AH171" s="2">
        <f t="shared" si="19"/>
        <v>8400</v>
      </c>
      <c r="AI171" s="2">
        <v>3000</v>
      </c>
      <c r="AJ171" s="4">
        <v>45581</v>
      </c>
      <c r="AK171" s="2">
        <f t="shared" si="20"/>
        <v>5400</v>
      </c>
      <c r="AL171" s="2">
        <v>3000</v>
      </c>
      <c r="AM171" s="4">
        <v>45612</v>
      </c>
      <c r="AN171" s="2">
        <f t="shared" si="21"/>
        <v>2400</v>
      </c>
      <c r="AO171" s="2" cm="1">
        <f t="array" ref="AO171">_xlfn.IFS(AN171&gt;=5000,3000,AN171&gt;=2000,1000,AN171&gt;=500,500,AN171&lt;500,AN171)</f>
        <v>1000</v>
      </c>
      <c r="AP171" s="4">
        <v>45642</v>
      </c>
      <c r="AQ171" s="2">
        <f t="shared" si="22"/>
        <v>1400</v>
      </c>
      <c r="AR171" s="2">
        <v>1000</v>
      </c>
      <c r="AS171" s="4">
        <v>45673</v>
      </c>
      <c r="AT171" s="2">
        <f t="shared" si="23"/>
        <v>400</v>
      </c>
      <c r="AU171" s="2">
        <v>400</v>
      </c>
      <c r="AV171" s="4">
        <v>45704</v>
      </c>
      <c r="AW171" s="2">
        <v>0</v>
      </c>
      <c r="AX171" s="2">
        <f t="shared" si="24"/>
        <v>13400</v>
      </c>
      <c r="AY171" s="2">
        <f t="shared" si="25"/>
        <v>0</v>
      </c>
      <c r="AZ171" s="2" t="str">
        <f t="shared" si="26"/>
        <v>Paid</v>
      </c>
      <c r="BA171" s="9" t="str" cm="1">
        <f t="array" ref="BA171">_xlfn.IFS(AZ171="Paid","R",AZ171="Unpaid","Q")</f>
        <v>R</v>
      </c>
      <c r="BB171" s="8" t="s">
        <v>2815</v>
      </c>
    </row>
    <row r="172" spans="1:54" x14ac:dyDescent="0.25">
      <c r="A172" s="2">
        <v>171</v>
      </c>
      <c r="B172" s="2">
        <v>171</v>
      </c>
      <c r="C172" s="2" t="s">
        <v>364</v>
      </c>
      <c r="D172" s="2" t="s">
        <v>1750</v>
      </c>
      <c r="E172" s="2" t="s">
        <v>365</v>
      </c>
      <c r="F172" s="4">
        <v>45542</v>
      </c>
      <c r="G172" s="8" t="s">
        <v>21</v>
      </c>
      <c r="H172" s="8" t="s">
        <v>1252</v>
      </c>
      <c r="I172" s="2" t="s">
        <v>14</v>
      </c>
      <c r="J172" s="2" t="s">
        <v>15</v>
      </c>
      <c r="K172" s="2" t="s">
        <v>791</v>
      </c>
      <c r="L172" s="2" t="s">
        <v>1257</v>
      </c>
      <c r="M172" s="2" t="s">
        <v>1261</v>
      </c>
      <c r="N172" s="2" t="s">
        <v>2186</v>
      </c>
      <c r="O172" s="4">
        <v>39864</v>
      </c>
      <c r="P172" s="2" t="s">
        <v>2612</v>
      </c>
      <c r="Q172" s="2" t="s">
        <v>2560</v>
      </c>
      <c r="R172" s="2" t="s">
        <v>2393</v>
      </c>
      <c r="S172" s="2" t="s">
        <v>820</v>
      </c>
      <c r="T172" s="2" t="s">
        <v>1458</v>
      </c>
      <c r="U172" s="2" t="s">
        <v>1268</v>
      </c>
      <c r="V172" s="2">
        <v>6281536167</v>
      </c>
      <c r="W172" s="2" t="s">
        <v>974</v>
      </c>
      <c r="X172" s="2" t="s">
        <v>809</v>
      </c>
      <c r="Y172" s="2" t="s">
        <v>1184</v>
      </c>
      <c r="Z172" s="2" t="s">
        <v>1185</v>
      </c>
      <c r="AA172" s="2">
        <v>3000</v>
      </c>
      <c r="AB172" s="2">
        <v>200</v>
      </c>
      <c r="AC172" s="2">
        <v>300</v>
      </c>
      <c r="AD172" s="2">
        <v>200</v>
      </c>
      <c r="AE172" s="2">
        <f t="shared" si="18"/>
        <v>3300</v>
      </c>
      <c r="AF172" s="2">
        <v>1000</v>
      </c>
      <c r="AG172" s="4">
        <v>45552</v>
      </c>
      <c r="AH172" s="2">
        <f t="shared" si="19"/>
        <v>2300</v>
      </c>
      <c r="AI172" s="2">
        <v>1000</v>
      </c>
      <c r="AJ172" s="4">
        <v>45582</v>
      </c>
      <c r="AK172" s="2">
        <f t="shared" si="20"/>
        <v>1300</v>
      </c>
      <c r="AL172" s="2">
        <v>500</v>
      </c>
      <c r="AM172" s="4">
        <v>45613</v>
      </c>
      <c r="AN172" s="2">
        <f t="shared" si="21"/>
        <v>800</v>
      </c>
      <c r="AO172" s="2" cm="1">
        <f t="array" ref="AO172">_xlfn.IFS(AN172&gt;=5000,3000,AN172&gt;=2000,1000,AN172&gt;=500,500,AN172&lt;500,AN172)</f>
        <v>500</v>
      </c>
      <c r="AP172" s="4">
        <v>45643</v>
      </c>
      <c r="AQ172" s="2">
        <f t="shared" si="22"/>
        <v>300</v>
      </c>
      <c r="AR172" s="2">
        <v>300</v>
      </c>
      <c r="AS172" s="4">
        <v>45674</v>
      </c>
      <c r="AT172" s="2">
        <f t="shared" si="23"/>
        <v>0</v>
      </c>
      <c r="AU172" s="2" t="s">
        <v>1200</v>
      </c>
      <c r="AV172" s="4" t="s">
        <v>1200</v>
      </c>
      <c r="AW172" s="2" t="s">
        <v>1200</v>
      </c>
      <c r="AX172" s="2">
        <f t="shared" si="24"/>
        <v>3300</v>
      </c>
      <c r="AY172" s="2">
        <f t="shared" si="25"/>
        <v>0</v>
      </c>
      <c r="AZ172" s="2" t="str">
        <f t="shared" si="26"/>
        <v>Paid</v>
      </c>
      <c r="BA172" s="9" t="str" cm="1">
        <f t="array" ref="BA172">_xlfn.IFS(AZ172="Paid","R",AZ172="Unpaid","Q")</f>
        <v>R</v>
      </c>
      <c r="BB172" s="8" t="s">
        <v>2815</v>
      </c>
    </row>
    <row r="173" spans="1:54" x14ac:dyDescent="0.25">
      <c r="A173" s="2">
        <v>172</v>
      </c>
      <c r="B173" s="2">
        <v>172</v>
      </c>
      <c r="C173" s="2" t="s">
        <v>366</v>
      </c>
      <c r="D173" s="2" t="s">
        <v>1830</v>
      </c>
      <c r="E173" s="2" t="s">
        <v>367</v>
      </c>
      <c r="F173" s="4">
        <v>45543</v>
      </c>
      <c r="G173" s="8" t="s">
        <v>32</v>
      </c>
      <c r="H173" s="8" t="s">
        <v>1249</v>
      </c>
      <c r="I173" s="2" t="s">
        <v>14</v>
      </c>
      <c r="J173" s="2" t="s">
        <v>15</v>
      </c>
      <c r="K173" s="2" t="s">
        <v>791</v>
      </c>
      <c r="L173" s="2" t="s">
        <v>1260</v>
      </c>
      <c r="M173" s="2" t="s">
        <v>1261</v>
      </c>
      <c r="N173" s="2" t="s">
        <v>2187</v>
      </c>
      <c r="O173" s="4">
        <v>33295</v>
      </c>
      <c r="P173" s="2" t="s">
        <v>2613</v>
      </c>
      <c r="Q173" s="2" t="s">
        <v>2420</v>
      </c>
      <c r="R173" s="2" t="s">
        <v>2393</v>
      </c>
      <c r="S173" s="2" t="s">
        <v>796</v>
      </c>
      <c r="T173" s="2" t="s">
        <v>1459</v>
      </c>
      <c r="U173" s="2" t="s">
        <v>1285</v>
      </c>
      <c r="V173" s="2">
        <v>9309808171</v>
      </c>
      <c r="W173" s="2" t="s">
        <v>975</v>
      </c>
      <c r="X173" s="2" t="s">
        <v>798</v>
      </c>
      <c r="Y173" s="2" t="s">
        <v>1184</v>
      </c>
      <c r="Z173" s="2" t="s">
        <v>1185</v>
      </c>
      <c r="AA173" s="2">
        <v>2000</v>
      </c>
      <c r="AB173" s="2">
        <v>200</v>
      </c>
      <c r="AC173" s="2">
        <v>300</v>
      </c>
      <c r="AD173" s="2">
        <v>0</v>
      </c>
      <c r="AE173" s="2">
        <f t="shared" si="18"/>
        <v>2500</v>
      </c>
      <c r="AF173" s="2">
        <v>1000</v>
      </c>
      <c r="AG173" s="4">
        <v>45553</v>
      </c>
      <c r="AH173" s="2">
        <f t="shared" si="19"/>
        <v>1500</v>
      </c>
      <c r="AI173" s="2">
        <v>500</v>
      </c>
      <c r="AJ173" s="4">
        <v>45583</v>
      </c>
      <c r="AK173" s="2">
        <f t="shared" si="20"/>
        <v>1000</v>
      </c>
      <c r="AL173" s="2">
        <v>500</v>
      </c>
      <c r="AM173" s="4">
        <v>45614</v>
      </c>
      <c r="AN173" s="2">
        <f t="shared" si="21"/>
        <v>500</v>
      </c>
      <c r="AO173" s="2" cm="1">
        <f t="array" ref="AO173">_xlfn.IFS(AN173&gt;=5000,3000,AN173&gt;=2000,1000,AN173&gt;=500,500,AN173&lt;500,AN173)</f>
        <v>500</v>
      </c>
      <c r="AP173" s="4">
        <v>45644</v>
      </c>
      <c r="AQ173" s="2">
        <f t="shared" si="22"/>
        <v>0</v>
      </c>
      <c r="AR173" s="2" t="s">
        <v>1200</v>
      </c>
      <c r="AS173" s="4" t="s">
        <v>1200</v>
      </c>
      <c r="AT173" s="2" t="str">
        <f t="shared" si="23"/>
        <v/>
      </c>
      <c r="AU173" s="2" t="s">
        <v>1200</v>
      </c>
      <c r="AV173" s="4" t="s">
        <v>1200</v>
      </c>
      <c r="AW173" s="2" t="s">
        <v>1200</v>
      </c>
      <c r="AX173" s="2">
        <f t="shared" si="24"/>
        <v>2500</v>
      </c>
      <c r="AY173" s="2">
        <f t="shared" si="25"/>
        <v>0</v>
      </c>
      <c r="AZ173" s="2" t="str">
        <f t="shared" si="26"/>
        <v>Paid</v>
      </c>
      <c r="BA173" s="9" t="str" cm="1">
        <f t="array" ref="BA173">_xlfn.IFS(AZ173="Paid","R",AZ173="Unpaid","Q")</f>
        <v>R</v>
      </c>
      <c r="BB173" s="8" t="s">
        <v>2815</v>
      </c>
    </row>
    <row r="174" spans="1:54" x14ac:dyDescent="0.25">
      <c r="A174" s="2">
        <v>173</v>
      </c>
      <c r="B174" s="2">
        <v>173</v>
      </c>
      <c r="C174" s="2" t="s">
        <v>368</v>
      </c>
      <c r="D174" s="2" t="s">
        <v>1831</v>
      </c>
      <c r="E174" s="2" t="s">
        <v>369</v>
      </c>
      <c r="F174" s="4">
        <v>45543</v>
      </c>
      <c r="G174" s="8" t="s">
        <v>65</v>
      </c>
      <c r="H174" s="8" t="s">
        <v>65</v>
      </c>
      <c r="I174" s="2" t="s">
        <v>14</v>
      </c>
      <c r="J174" s="2" t="s">
        <v>15</v>
      </c>
      <c r="K174" s="2" t="s">
        <v>791</v>
      </c>
      <c r="L174" s="2" t="s">
        <v>1257</v>
      </c>
      <c r="M174" s="2" t="s">
        <v>1261</v>
      </c>
      <c r="N174" s="2" t="s">
        <v>2188</v>
      </c>
      <c r="O174" s="4">
        <v>39330</v>
      </c>
      <c r="P174" s="2" t="s">
        <v>2614</v>
      </c>
      <c r="Q174" s="2" t="s">
        <v>2500</v>
      </c>
      <c r="R174" s="2" t="s">
        <v>2393</v>
      </c>
      <c r="S174" s="2" t="s">
        <v>788</v>
      </c>
      <c r="T174" s="2" t="s">
        <v>1460</v>
      </c>
      <c r="U174" s="2" t="s">
        <v>1274</v>
      </c>
      <c r="V174" s="2">
        <v>6815571472</v>
      </c>
      <c r="W174" s="2" t="s">
        <v>976</v>
      </c>
      <c r="X174" s="2" t="s">
        <v>811</v>
      </c>
      <c r="Y174" s="2" t="s">
        <v>1184</v>
      </c>
      <c r="Z174" s="2" t="s">
        <v>1185</v>
      </c>
      <c r="AA174" s="2">
        <v>2500</v>
      </c>
      <c r="AB174" s="2">
        <v>200</v>
      </c>
      <c r="AC174" s="2">
        <v>500</v>
      </c>
      <c r="AD174" s="2">
        <v>200</v>
      </c>
      <c r="AE174" s="2">
        <f t="shared" si="18"/>
        <v>3000</v>
      </c>
      <c r="AF174" s="2">
        <v>1000</v>
      </c>
      <c r="AG174" s="4">
        <v>45553</v>
      </c>
      <c r="AH174" s="2">
        <f t="shared" si="19"/>
        <v>2000</v>
      </c>
      <c r="AI174" s="2">
        <v>1000</v>
      </c>
      <c r="AJ174" s="4">
        <v>45583</v>
      </c>
      <c r="AK174" s="2">
        <f t="shared" si="20"/>
        <v>1000</v>
      </c>
      <c r="AL174" s="2">
        <v>500</v>
      </c>
      <c r="AM174" s="4">
        <v>45614</v>
      </c>
      <c r="AN174" s="2">
        <f t="shared" si="21"/>
        <v>500</v>
      </c>
      <c r="AO174" s="2" cm="1">
        <f t="array" ref="AO174">_xlfn.IFS(AN174&gt;=5000,3000,AN174&gt;=2000,1000,AN174&gt;=500,500,AN174&lt;500,AN174)</f>
        <v>500</v>
      </c>
      <c r="AP174" s="4">
        <v>45644</v>
      </c>
      <c r="AQ174" s="2">
        <f t="shared" si="22"/>
        <v>0</v>
      </c>
      <c r="AR174" s="2" t="s">
        <v>1200</v>
      </c>
      <c r="AS174" s="4" t="s">
        <v>1200</v>
      </c>
      <c r="AT174" s="2" t="str">
        <f t="shared" si="23"/>
        <v/>
      </c>
      <c r="AU174" s="2" t="s">
        <v>1200</v>
      </c>
      <c r="AV174" s="4" t="s">
        <v>1200</v>
      </c>
      <c r="AW174" s="2" t="s">
        <v>1200</v>
      </c>
      <c r="AX174" s="2">
        <f t="shared" si="24"/>
        <v>3000</v>
      </c>
      <c r="AY174" s="2">
        <f t="shared" si="25"/>
        <v>0</v>
      </c>
      <c r="AZ174" s="2" t="str">
        <f t="shared" si="26"/>
        <v>Paid</v>
      </c>
      <c r="BA174" s="9" t="str" cm="1">
        <f t="array" ref="BA174">_xlfn.IFS(AZ174="Paid","R",AZ174="Unpaid","Q")</f>
        <v>R</v>
      </c>
      <c r="BB174" s="8" t="s">
        <v>2815</v>
      </c>
    </row>
    <row r="175" spans="1:54" x14ac:dyDescent="0.25">
      <c r="A175" s="2">
        <v>174</v>
      </c>
      <c r="B175" s="2">
        <v>174</v>
      </c>
      <c r="C175" s="2" t="s">
        <v>370</v>
      </c>
      <c r="D175" s="2" t="s">
        <v>1832</v>
      </c>
      <c r="E175" s="2" t="s">
        <v>371</v>
      </c>
      <c r="F175" s="4">
        <v>45544</v>
      </c>
      <c r="G175" s="8" t="s">
        <v>8</v>
      </c>
      <c r="H175" s="8" t="s">
        <v>1242</v>
      </c>
      <c r="I175" s="2" t="s">
        <v>9</v>
      </c>
      <c r="J175" s="2" t="s">
        <v>10</v>
      </c>
      <c r="K175" s="2" t="s">
        <v>787</v>
      </c>
      <c r="L175" s="2" t="s">
        <v>1257</v>
      </c>
      <c r="M175" s="2" t="s">
        <v>1261</v>
      </c>
      <c r="N175" s="2" t="s">
        <v>2189</v>
      </c>
      <c r="O175" s="4">
        <v>37212</v>
      </c>
      <c r="P175" s="2" t="s">
        <v>2615</v>
      </c>
      <c r="Q175" s="2" t="s">
        <v>2472</v>
      </c>
      <c r="R175" s="2" t="s">
        <v>2393</v>
      </c>
      <c r="S175" s="2" t="s">
        <v>788</v>
      </c>
      <c r="T175" s="2" t="s">
        <v>1461</v>
      </c>
      <c r="U175" s="2" t="s">
        <v>1268</v>
      </c>
      <c r="V175" s="2">
        <v>8711064217</v>
      </c>
      <c r="W175" s="2" t="s">
        <v>977</v>
      </c>
      <c r="X175" s="2" t="s">
        <v>798</v>
      </c>
      <c r="Y175" s="2" t="s">
        <v>1184</v>
      </c>
      <c r="Z175" s="2" t="s">
        <v>1185</v>
      </c>
      <c r="AA175" s="2">
        <v>12500</v>
      </c>
      <c r="AB175" s="2">
        <v>200</v>
      </c>
      <c r="AC175" s="2">
        <v>1200</v>
      </c>
      <c r="AD175" s="2">
        <v>0</v>
      </c>
      <c r="AE175" s="2">
        <f t="shared" si="18"/>
        <v>13900</v>
      </c>
      <c r="AF175" s="2">
        <v>5000</v>
      </c>
      <c r="AG175" s="4">
        <v>45554</v>
      </c>
      <c r="AH175" s="2">
        <f t="shared" si="19"/>
        <v>8900</v>
      </c>
      <c r="AI175" s="2">
        <v>3000</v>
      </c>
      <c r="AJ175" s="4">
        <v>45584</v>
      </c>
      <c r="AK175" s="2">
        <f t="shared" si="20"/>
        <v>5900</v>
      </c>
      <c r="AL175" s="2">
        <v>3000</v>
      </c>
      <c r="AM175" s="4">
        <v>45615</v>
      </c>
      <c r="AN175" s="2">
        <f t="shared" si="21"/>
        <v>2900</v>
      </c>
      <c r="AO175" s="2" cm="1">
        <f t="array" ref="AO175">_xlfn.IFS(AN175&gt;=5000,3000,AN175&gt;=2000,1000,AN175&gt;=500,500,AN175&lt;500,AN175)</f>
        <v>1000</v>
      </c>
      <c r="AP175" s="4">
        <v>45645</v>
      </c>
      <c r="AQ175" s="2">
        <f t="shared" si="22"/>
        <v>1900</v>
      </c>
      <c r="AR175" s="2">
        <v>1000</v>
      </c>
      <c r="AS175" s="4">
        <v>45676</v>
      </c>
      <c r="AT175" s="2">
        <f t="shared" si="23"/>
        <v>900</v>
      </c>
      <c r="AU175" s="2">
        <v>900</v>
      </c>
      <c r="AV175" s="4">
        <v>45707</v>
      </c>
      <c r="AW175" s="2">
        <v>0</v>
      </c>
      <c r="AX175" s="2">
        <f t="shared" si="24"/>
        <v>13900</v>
      </c>
      <c r="AY175" s="2">
        <f t="shared" si="25"/>
        <v>0</v>
      </c>
      <c r="AZ175" s="2" t="str">
        <f t="shared" si="26"/>
        <v>Paid</v>
      </c>
      <c r="BA175" s="9" t="str" cm="1">
        <f t="array" ref="BA175">_xlfn.IFS(AZ175="Paid","R",AZ175="Unpaid","Q")</f>
        <v>R</v>
      </c>
      <c r="BB175" s="8" t="s">
        <v>2815</v>
      </c>
    </row>
    <row r="176" spans="1:54" x14ac:dyDescent="0.25">
      <c r="A176" s="2">
        <v>175</v>
      </c>
      <c r="B176" s="2">
        <v>175</v>
      </c>
      <c r="C176" s="2" t="s">
        <v>372</v>
      </c>
      <c r="D176" s="2" t="s">
        <v>1833</v>
      </c>
      <c r="E176" s="2" t="s">
        <v>373</v>
      </c>
      <c r="F176" s="4">
        <v>45546</v>
      </c>
      <c r="G176" s="8" t="s">
        <v>48</v>
      </c>
      <c r="H176" s="8" t="s">
        <v>1251</v>
      </c>
      <c r="I176" s="2" t="s">
        <v>14</v>
      </c>
      <c r="J176" s="2" t="s">
        <v>15</v>
      </c>
      <c r="K176" s="2" t="s">
        <v>791</v>
      </c>
      <c r="L176" s="2" t="s">
        <v>1256</v>
      </c>
      <c r="M176" s="2" t="s">
        <v>1263</v>
      </c>
      <c r="N176" s="2" t="s">
        <v>2190</v>
      </c>
      <c r="O176" s="4">
        <v>39289</v>
      </c>
      <c r="P176" s="2" t="s">
        <v>2616</v>
      </c>
      <c r="Q176" s="2" t="s">
        <v>2442</v>
      </c>
      <c r="R176" s="2" t="s">
        <v>2393</v>
      </c>
      <c r="S176" s="2" t="s">
        <v>788</v>
      </c>
      <c r="T176" s="2" t="s">
        <v>1462</v>
      </c>
      <c r="U176" s="2" t="s">
        <v>1267</v>
      </c>
      <c r="V176" s="2">
        <v>8019808584</v>
      </c>
      <c r="W176" s="2" t="s">
        <v>978</v>
      </c>
      <c r="X176" s="2" t="s">
        <v>798</v>
      </c>
      <c r="Y176" s="2" t="s">
        <v>1184</v>
      </c>
      <c r="Z176" s="2" t="s">
        <v>1185</v>
      </c>
      <c r="AA176" s="2">
        <v>3000</v>
      </c>
      <c r="AB176" s="2">
        <v>200</v>
      </c>
      <c r="AC176" s="2">
        <v>500</v>
      </c>
      <c r="AD176" s="2">
        <v>0</v>
      </c>
      <c r="AE176" s="2">
        <f t="shared" si="18"/>
        <v>3700</v>
      </c>
      <c r="AF176" s="2">
        <v>1000</v>
      </c>
      <c r="AG176" s="4">
        <v>45556</v>
      </c>
      <c r="AH176" s="2">
        <f t="shared" si="19"/>
        <v>2700</v>
      </c>
      <c r="AI176" s="2">
        <v>1000</v>
      </c>
      <c r="AJ176" s="4">
        <v>45586</v>
      </c>
      <c r="AK176" s="2">
        <f t="shared" si="20"/>
        <v>1700</v>
      </c>
      <c r="AL176" s="2">
        <v>500</v>
      </c>
      <c r="AM176" s="4">
        <v>45617</v>
      </c>
      <c r="AN176" s="2">
        <f t="shared" si="21"/>
        <v>1200</v>
      </c>
      <c r="AO176" s="2" cm="1">
        <f t="array" ref="AO176">_xlfn.IFS(AN176&gt;=5000,3000,AN176&gt;=2000,1000,AN176&gt;=500,500,AN176&lt;500,AN176)</f>
        <v>500</v>
      </c>
      <c r="AP176" s="4">
        <v>45647</v>
      </c>
      <c r="AQ176" s="2">
        <f t="shared" si="22"/>
        <v>700</v>
      </c>
      <c r="AR176" s="2">
        <v>500</v>
      </c>
      <c r="AS176" s="4">
        <v>45678</v>
      </c>
      <c r="AT176" s="2">
        <f t="shared" si="23"/>
        <v>200</v>
      </c>
      <c r="AU176" s="2">
        <v>200</v>
      </c>
      <c r="AV176" s="4">
        <v>45709</v>
      </c>
      <c r="AW176" s="2">
        <v>0</v>
      </c>
      <c r="AX176" s="2">
        <f t="shared" si="24"/>
        <v>3700</v>
      </c>
      <c r="AY176" s="2">
        <f t="shared" si="25"/>
        <v>0</v>
      </c>
      <c r="AZ176" s="2" t="str">
        <f t="shared" si="26"/>
        <v>Paid</v>
      </c>
      <c r="BA176" s="9" t="str" cm="1">
        <f t="array" ref="BA176">_xlfn.IFS(AZ176="Paid","R",AZ176="Unpaid","Q")</f>
        <v>R</v>
      </c>
      <c r="BB176" s="8" t="s">
        <v>2815</v>
      </c>
    </row>
    <row r="177" spans="1:54" x14ac:dyDescent="0.25">
      <c r="A177" s="2">
        <v>176</v>
      </c>
      <c r="B177" s="2">
        <v>176</v>
      </c>
      <c r="C177" s="2" t="s">
        <v>374</v>
      </c>
      <c r="D177" s="2" t="s">
        <v>1834</v>
      </c>
      <c r="E177" s="2" t="s">
        <v>375</v>
      </c>
      <c r="F177" s="4">
        <v>45547</v>
      </c>
      <c r="G177" s="8" t="s">
        <v>48</v>
      </c>
      <c r="H177" s="8" t="s">
        <v>1251</v>
      </c>
      <c r="I177" s="2" t="s">
        <v>14</v>
      </c>
      <c r="J177" s="2" t="s">
        <v>15</v>
      </c>
      <c r="K177" s="2" t="s">
        <v>791</v>
      </c>
      <c r="L177" s="2" t="s">
        <v>1259</v>
      </c>
      <c r="M177" s="2" t="s">
        <v>1262</v>
      </c>
      <c r="N177" s="2" t="s">
        <v>2191</v>
      </c>
      <c r="O177" s="4">
        <v>33691</v>
      </c>
      <c r="P177" s="2" t="s">
        <v>2617</v>
      </c>
      <c r="Q177" s="2" t="s">
        <v>2560</v>
      </c>
      <c r="R177" s="2" t="s">
        <v>2393</v>
      </c>
      <c r="S177" s="2" t="s">
        <v>788</v>
      </c>
      <c r="T177" s="2" t="s">
        <v>1463</v>
      </c>
      <c r="U177" s="2" t="s">
        <v>1283</v>
      </c>
      <c r="V177" s="2">
        <v>7981897661</v>
      </c>
      <c r="W177" s="2" t="s">
        <v>979</v>
      </c>
      <c r="X177" s="2" t="s">
        <v>798</v>
      </c>
      <c r="Y177" s="2" t="s">
        <v>1184</v>
      </c>
      <c r="Z177" s="2" t="s">
        <v>1185</v>
      </c>
      <c r="AA177" s="2">
        <v>3000</v>
      </c>
      <c r="AB177" s="2">
        <v>200</v>
      </c>
      <c r="AC177" s="2">
        <v>500</v>
      </c>
      <c r="AD177" s="2">
        <v>500</v>
      </c>
      <c r="AE177" s="2">
        <f t="shared" si="18"/>
        <v>3200</v>
      </c>
      <c r="AF177" s="2">
        <v>1000</v>
      </c>
      <c r="AG177" s="4">
        <v>45557</v>
      </c>
      <c r="AH177" s="2">
        <f t="shared" si="19"/>
        <v>2200</v>
      </c>
      <c r="AI177" s="2">
        <v>1000</v>
      </c>
      <c r="AJ177" s="4">
        <v>45587</v>
      </c>
      <c r="AK177" s="2">
        <f t="shared" si="20"/>
        <v>1200</v>
      </c>
      <c r="AL177" s="2">
        <v>500</v>
      </c>
      <c r="AM177" s="4">
        <v>45618</v>
      </c>
      <c r="AN177" s="2">
        <f t="shared" si="21"/>
        <v>700</v>
      </c>
      <c r="AO177" s="2" cm="1">
        <f t="array" ref="AO177">_xlfn.IFS(AN177&gt;=5000,3000,AN177&gt;=2000,1000,AN177&gt;=500,500,AN177&lt;500,AN177)</f>
        <v>500</v>
      </c>
      <c r="AP177" s="4">
        <v>45648</v>
      </c>
      <c r="AQ177" s="2">
        <f t="shared" si="22"/>
        <v>200</v>
      </c>
      <c r="AR177" s="2">
        <v>200</v>
      </c>
      <c r="AS177" s="4">
        <v>45679</v>
      </c>
      <c r="AT177" s="2">
        <f t="shared" si="23"/>
        <v>0</v>
      </c>
      <c r="AU177" s="2" t="s">
        <v>1200</v>
      </c>
      <c r="AV177" s="4" t="s">
        <v>1200</v>
      </c>
      <c r="AW177" s="2" t="s">
        <v>1200</v>
      </c>
      <c r="AX177" s="2">
        <f t="shared" si="24"/>
        <v>3200</v>
      </c>
      <c r="AY177" s="2">
        <f t="shared" si="25"/>
        <v>0</v>
      </c>
      <c r="AZ177" s="2" t="str">
        <f t="shared" si="26"/>
        <v>Paid</v>
      </c>
      <c r="BA177" s="9" t="str" cm="1">
        <f t="array" ref="BA177">_xlfn.IFS(AZ177="Paid","R",AZ177="Unpaid","Q")</f>
        <v>R</v>
      </c>
      <c r="BB177" s="8" t="s">
        <v>2815</v>
      </c>
    </row>
    <row r="178" spans="1:54" x14ac:dyDescent="0.25">
      <c r="A178" s="2">
        <v>177</v>
      </c>
      <c r="B178" s="2">
        <v>177</v>
      </c>
      <c r="C178" s="2" t="s">
        <v>376</v>
      </c>
      <c r="D178" s="2" t="s">
        <v>1835</v>
      </c>
      <c r="E178" s="2" t="s">
        <v>377</v>
      </c>
      <c r="F178" s="4">
        <v>45549</v>
      </c>
      <c r="G178" s="8" t="s">
        <v>13</v>
      </c>
      <c r="H178" s="8" t="s">
        <v>1254</v>
      </c>
      <c r="I178" s="2" t="s">
        <v>14</v>
      </c>
      <c r="J178" s="2" t="s">
        <v>15</v>
      </c>
      <c r="K178" s="2" t="s">
        <v>791</v>
      </c>
      <c r="L178" s="2" t="s">
        <v>1260</v>
      </c>
      <c r="M178" s="2" t="s">
        <v>1261</v>
      </c>
      <c r="N178" s="2" t="s">
        <v>2192</v>
      </c>
      <c r="O178" s="4">
        <v>32847</v>
      </c>
      <c r="P178" s="2" t="s">
        <v>2618</v>
      </c>
      <c r="Q178" s="2" t="s">
        <v>2430</v>
      </c>
      <c r="R178" s="2" t="s">
        <v>2396</v>
      </c>
      <c r="S178" s="2" t="s">
        <v>788</v>
      </c>
      <c r="T178" s="2" t="s">
        <v>1464</v>
      </c>
      <c r="U178" s="2" t="s">
        <v>1280</v>
      </c>
      <c r="V178" s="2">
        <v>6644496764</v>
      </c>
      <c r="W178" s="2" t="s">
        <v>980</v>
      </c>
      <c r="X178" s="2" t="s">
        <v>809</v>
      </c>
      <c r="Y178" s="2" t="s">
        <v>1184</v>
      </c>
      <c r="Z178" s="2" t="s">
        <v>1185</v>
      </c>
      <c r="AA178" s="2">
        <v>3000</v>
      </c>
      <c r="AB178" s="2">
        <v>200</v>
      </c>
      <c r="AC178" s="2">
        <v>500</v>
      </c>
      <c r="AD178" s="2">
        <v>0</v>
      </c>
      <c r="AE178" s="2">
        <f t="shared" si="18"/>
        <v>3700</v>
      </c>
      <c r="AF178" s="2">
        <v>1000</v>
      </c>
      <c r="AG178" s="4">
        <v>45559</v>
      </c>
      <c r="AH178" s="2">
        <f t="shared" si="19"/>
        <v>2700</v>
      </c>
      <c r="AI178" s="2">
        <v>1000</v>
      </c>
      <c r="AJ178" s="4">
        <v>45589</v>
      </c>
      <c r="AK178" s="2">
        <f t="shared" si="20"/>
        <v>1700</v>
      </c>
      <c r="AL178" s="2">
        <v>500</v>
      </c>
      <c r="AM178" s="4">
        <v>45620</v>
      </c>
      <c r="AN178" s="2">
        <f t="shared" si="21"/>
        <v>1200</v>
      </c>
      <c r="AO178" s="2" cm="1">
        <f t="array" ref="AO178">_xlfn.IFS(AN178&gt;=5000,3000,AN178&gt;=2000,1000,AN178&gt;=500,500,AN178&lt;500,AN178)</f>
        <v>500</v>
      </c>
      <c r="AP178" s="4">
        <v>45650</v>
      </c>
      <c r="AQ178" s="2">
        <f t="shared" si="22"/>
        <v>700</v>
      </c>
      <c r="AR178" s="2">
        <v>500</v>
      </c>
      <c r="AS178" s="4">
        <v>45681</v>
      </c>
      <c r="AT178" s="2">
        <f t="shared" si="23"/>
        <v>200</v>
      </c>
      <c r="AU178" s="2">
        <v>200</v>
      </c>
      <c r="AV178" s="4">
        <v>45712</v>
      </c>
      <c r="AW178" s="2">
        <v>0</v>
      </c>
      <c r="AX178" s="2">
        <f t="shared" si="24"/>
        <v>3700</v>
      </c>
      <c r="AY178" s="2">
        <f t="shared" si="25"/>
        <v>0</v>
      </c>
      <c r="AZ178" s="2" t="str">
        <f t="shared" si="26"/>
        <v>Paid</v>
      </c>
      <c r="BA178" s="9" t="str" cm="1">
        <f t="array" ref="BA178">_xlfn.IFS(AZ178="Paid","R",AZ178="Unpaid","Q")</f>
        <v>R</v>
      </c>
      <c r="BB178" s="8" t="s">
        <v>2815</v>
      </c>
    </row>
    <row r="179" spans="1:54" x14ac:dyDescent="0.25">
      <c r="A179" s="2">
        <v>178</v>
      </c>
      <c r="B179" s="2">
        <v>178</v>
      </c>
      <c r="C179" s="2" t="s">
        <v>378</v>
      </c>
      <c r="D179" s="2" t="s">
        <v>1836</v>
      </c>
      <c r="E179" s="2" t="s">
        <v>379</v>
      </c>
      <c r="F179" s="4">
        <v>45556</v>
      </c>
      <c r="G179" s="8" t="s">
        <v>38</v>
      </c>
      <c r="H179" s="8" t="s">
        <v>1246</v>
      </c>
      <c r="I179" s="2" t="s">
        <v>9</v>
      </c>
      <c r="J179" s="2" t="s">
        <v>15</v>
      </c>
      <c r="K179" s="2" t="s">
        <v>795</v>
      </c>
      <c r="L179" s="2" t="s">
        <v>1258</v>
      </c>
      <c r="M179" s="2" t="s">
        <v>1264</v>
      </c>
      <c r="N179" s="2" t="s">
        <v>2193</v>
      </c>
      <c r="O179" s="4">
        <v>32991</v>
      </c>
      <c r="P179" s="2" t="s">
        <v>2156</v>
      </c>
      <c r="Q179" s="2" t="s">
        <v>2556</v>
      </c>
      <c r="R179" s="2" t="s">
        <v>2393</v>
      </c>
      <c r="S179" s="2" t="s">
        <v>792</v>
      </c>
      <c r="T179" s="2" t="s">
        <v>1465</v>
      </c>
      <c r="U179" s="2" t="s">
        <v>1273</v>
      </c>
      <c r="V179" s="2">
        <v>7644270922</v>
      </c>
      <c r="W179" s="2" t="s">
        <v>981</v>
      </c>
      <c r="X179" s="2" t="s">
        <v>798</v>
      </c>
      <c r="Y179" s="2" t="s">
        <v>1184</v>
      </c>
      <c r="Z179" s="2" t="s">
        <v>1185</v>
      </c>
      <c r="AA179" s="2">
        <v>6000</v>
      </c>
      <c r="AB179" s="2">
        <v>200</v>
      </c>
      <c r="AC179" s="2">
        <v>800</v>
      </c>
      <c r="AD179" s="2">
        <v>300</v>
      </c>
      <c r="AE179" s="2">
        <f t="shared" si="18"/>
        <v>6700</v>
      </c>
      <c r="AF179" s="2">
        <v>2500</v>
      </c>
      <c r="AG179" s="4">
        <v>45566</v>
      </c>
      <c r="AH179" s="2">
        <f t="shared" si="19"/>
        <v>4200</v>
      </c>
      <c r="AI179" s="2">
        <v>1000</v>
      </c>
      <c r="AJ179" s="4">
        <v>45597</v>
      </c>
      <c r="AK179" s="2">
        <f t="shared" si="20"/>
        <v>3200</v>
      </c>
      <c r="AL179" s="2">
        <v>1000</v>
      </c>
      <c r="AM179" s="4">
        <v>45627</v>
      </c>
      <c r="AN179" s="2">
        <f t="shared" si="21"/>
        <v>2200</v>
      </c>
      <c r="AO179" s="2" cm="1">
        <f t="array" ref="AO179">_xlfn.IFS(AN179&gt;=5000,3000,AN179&gt;=2000,1000,AN179&gt;=500,500,AN179&lt;500,AN179)</f>
        <v>1000</v>
      </c>
      <c r="AP179" s="4">
        <v>45658</v>
      </c>
      <c r="AQ179" s="2">
        <f t="shared" si="22"/>
        <v>1200</v>
      </c>
      <c r="AR179" s="2">
        <v>1000</v>
      </c>
      <c r="AS179" s="4">
        <v>45689</v>
      </c>
      <c r="AT179" s="2">
        <f t="shared" si="23"/>
        <v>200</v>
      </c>
      <c r="AU179" s="2">
        <v>200</v>
      </c>
      <c r="AV179" s="4">
        <v>45717</v>
      </c>
      <c r="AW179" s="2">
        <v>0</v>
      </c>
      <c r="AX179" s="2">
        <f t="shared" si="24"/>
        <v>6700</v>
      </c>
      <c r="AY179" s="2">
        <f t="shared" si="25"/>
        <v>0</v>
      </c>
      <c r="AZ179" s="2" t="str">
        <f t="shared" si="26"/>
        <v>Paid</v>
      </c>
      <c r="BA179" s="9" t="str" cm="1">
        <f t="array" ref="BA179">_xlfn.IFS(AZ179="Paid","R",AZ179="Unpaid","Q")</f>
        <v>R</v>
      </c>
      <c r="BB179" s="8" t="s">
        <v>2815</v>
      </c>
    </row>
    <row r="180" spans="1:54" x14ac:dyDescent="0.25">
      <c r="A180" s="2">
        <v>179</v>
      </c>
      <c r="B180" s="2">
        <v>179</v>
      </c>
      <c r="C180" s="2" t="s">
        <v>380</v>
      </c>
      <c r="D180" s="2" t="s">
        <v>1837</v>
      </c>
      <c r="E180" s="2" t="s">
        <v>381</v>
      </c>
      <c r="F180" s="4">
        <v>45557</v>
      </c>
      <c r="G180" s="8" t="s">
        <v>35</v>
      </c>
      <c r="H180" s="8" t="s">
        <v>1244</v>
      </c>
      <c r="I180" s="2" t="s">
        <v>14</v>
      </c>
      <c r="J180" s="2" t="s">
        <v>15</v>
      </c>
      <c r="K180" s="2" t="s">
        <v>791</v>
      </c>
      <c r="L180" s="2" t="s">
        <v>1257</v>
      </c>
      <c r="M180" s="2" t="s">
        <v>1261</v>
      </c>
      <c r="N180" s="2" t="s">
        <v>2194</v>
      </c>
      <c r="O180" s="4">
        <v>34447</v>
      </c>
      <c r="P180" s="2" t="s">
        <v>2431</v>
      </c>
      <c r="Q180" s="2" t="s">
        <v>2619</v>
      </c>
      <c r="R180" s="2" t="s">
        <v>2393</v>
      </c>
      <c r="S180" s="2" t="s">
        <v>788</v>
      </c>
      <c r="T180" s="2" t="s">
        <v>1466</v>
      </c>
      <c r="U180" s="2" t="s">
        <v>1267</v>
      </c>
      <c r="V180" s="2">
        <v>8490652863</v>
      </c>
      <c r="W180" s="2" t="s">
        <v>982</v>
      </c>
      <c r="X180" s="2" t="s">
        <v>809</v>
      </c>
      <c r="Y180" s="2" t="s">
        <v>1184</v>
      </c>
      <c r="Z180" s="2" t="s">
        <v>1185</v>
      </c>
      <c r="AA180" s="2">
        <v>3000</v>
      </c>
      <c r="AB180" s="2">
        <v>200</v>
      </c>
      <c r="AC180" s="2">
        <v>500</v>
      </c>
      <c r="AD180" s="2">
        <v>0</v>
      </c>
      <c r="AE180" s="2">
        <f t="shared" si="18"/>
        <v>3700</v>
      </c>
      <c r="AF180" s="2">
        <v>1000</v>
      </c>
      <c r="AG180" s="4">
        <v>45567</v>
      </c>
      <c r="AH180" s="2">
        <f t="shared" si="19"/>
        <v>2700</v>
      </c>
      <c r="AI180" s="2">
        <v>1000</v>
      </c>
      <c r="AJ180" s="4">
        <v>45598</v>
      </c>
      <c r="AK180" s="2">
        <f t="shared" si="20"/>
        <v>1700</v>
      </c>
      <c r="AL180" s="2">
        <v>500</v>
      </c>
      <c r="AM180" s="4">
        <v>45628</v>
      </c>
      <c r="AN180" s="2">
        <f t="shared" si="21"/>
        <v>1200</v>
      </c>
      <c r="AO180" s="2" cm="1">
        <f t="array" ref="AO180">_xlfn.IFS(AN180&gt;=5000,3000,AN180&gt;=2000,1000,AN180&gt;=500,500,AN180&lt;500,AN180)</f>
        <v>500</v>
      </c>
      <c r="AP180" s="4">
        <v>45659</v>
      </c>
      <c r="AQ180" s="2">
        <f t="shared" si="22"/>
        <v>700</v>
      </c>
      <c r="AR180" s="2">
        <v>500</v>
      </c>
      <c r="AS180" s="4">
        <v>45690</v>
      </c>
      <c r="AT180" s="2">
        <f t="shared" si="23"/>
        <v>200</v>
      </c>
      <c r="AU180" s="2">
        <v>200</v>
      </c>
      <c r="AV180" s="4">
        <v>45718</v>
      </c>
      <c r="AW180" s="2">
        <v>0</v>
      </c>
      <c r="AX180" s="2">
        <f t="shared" si="24"/>
        <v>3700</v>
      </c>
      <c r="AY180" s="2">
        <f t="shared" si="25"/>
        <v>0</v>
      </c>
      <c r="AZ180" s="2" t="str">
        <f t="shared" si="26"/>
        <v>Paid</v>
      </c>
      <c r="BA180" s="9" t="str" cm="1">
        <f t="array" ref="BA180">_xlfn.IFS(AZ180="Paid","R",AZ180="Unpaid","Q")</f>
        <v>R</v>
      </c>
      <c r="BB180" s="8" t="s">
        <v>2815</v>
      </c>
    </row>
    <row r="181" spans="1:54" x14ac:dyDescent="0.25">
      <c r="A181" s="2">
        <v>180</v>
      </c>
      <c r="B181" s="2">
        <v>180</v>
      </c>
      <c r="C181" s="2" t="s">
        <v>382</v>
      </c>
      <c r="D181" s="2" t="s">
        <v>1838</v>
      </c>
      <c r="E181" s="2" t="s">
        <v>383</v>
      </c>
      <c r="F181" s="4">
        <v>45557</v>
      </c>
      <c r="G181" s="8" t="s">
        <v>32</v>
      </c>
      <c r="H181" s="8" t="s">
        <v>1249</v>
      </c>
      <c r="I181" s="2" t="s">
        <v>14</v>
      </c>
      <c r="J181" s="2" t="s">
        <v>15</v>
      </c>
      <c r="K181" s="2" t="s">
        <v>791</v>
      </c>
      <c r="L181" s="2" t="s">
        <v>1258</v>
      </c>
      <c r="M181" s="2" t="s">
        <v>1264</v>
      </c>
      <c r="N181" s="2" t="s">
        <v>2195</v>
      </c>
      <c r="O181" s="4">
        <v>37248</v>
      </c>
      <c r="P181" s="2" t="s">
        <v>2620</v>
      </c>
      <c r="Q181" s="2" t="s">
        <v>2430</v>
      </c>
      <c r="R181" s="2" t="s">
        <v>2396</v>
      </c>
      <c r="S181" s="2" t="s">
        <v>788</v>
      </c>
      <c r="T181" s="2" t="s">
        <v>1467</v>
      </c>
      <c r="U181" s="2" t="s">
        <v>1286</v>
      </c>
      <c r="V181" s="2">
        <v>8060814671</v>
      </c>
      <c r="W181" s="2" t="s">
        <v>983</v>
      </c>
      <c r="X181" s="2" t="s">
        <v>837</v>
      </c>
      <c r="Y181" s="2" t="s">
        <v>1184</v>
      </c>
      <c r="Z181" s="2" t="s">
        <v>1185</v>
      </c>
      <c r="AA181" s="2">
        <v>2000</v>
      </c>
      <c r="AB181" s="2">
        <v>200</v>
      </c>
      <c r="AC181" s="2">
        <v>300</v>
      </c>
      <c r="AD181" s="2">
        <v>0</v>
      </c>
      <c r="AE181" s="2">
        <f t="shared" si="18"/>
        <v>2500</v>
      </c>
      <c r="AF181" s="2">
        <v>1000</v>
      </c>
      <c r="AG181" s="4">
        <v>45567</v>
      </c>
      <c r="AH181" s="2">
        <f t="shared" si="19"/>
        <v>1500</v>
      </c>
      <c r="AI181" s="2">
        <v>500</v>
      </c>
      <c r="AJ181" s="4">
        <v>45598</v>
      </c>
      <c r="AK181" s="2">
        <f t="shared" si="20"/>
        <v>1000</v>
      </c>
      <c r="AL181" s="2">
        <v>500</v>
      </c>
      <c r="AM181" s="4">
        <v>45628</v>
      </c>
      <c r="AN181" s="2">
        <f t="shared" si="21"/>
        <v>500</v>
      </c>
      <c r="AO181" s="2" cm="1">
        <f t="array" ref="AO181">_xlfn.IFS(AN181&gt;=5000,3000,AN181&gt;=2000,1000,AN181&gt;=500,500,AN181&lt;500,AN181)</f>
        <v>500</v>
      </c>
      <c r="AP181" s="4">
        <v>45659</v>
      </c>
      <c r="AQ181" s="2">
        <f t="shared" si="22"/>
        <v>0</v>
      </c>
      <c r="AR181" s="2" t="s">
        <v>1200</v>
      </c>
      <c r="AS181" s="4" t="s">
        <v>1200</v>
      </c>
      <c r="AT181" s="2" t="str">
        <f t="shared" si="23"/>
        <v/>
      </c>
      <c r="AU181" s="2" t="s">
        <v>1200</v>
      </c>
      <c r="AV181" s="4" t="s">
        <v>1200</v>
      </c>
      <c r="AW181" s="2" t="s">
        <v>1200</v>
      </c>
      <c r="AX181" s="2">
        <f t="shared" si="24"/>
        <v>2500</v>
      </c>
      <c r="AY181" s="2">
        <f t="shared" si="25"/>
        <v>0</v>
      </c>
      <c r="AZ181" s="2" t="str">
        <f t="shared" si="26"/>
        <v>Paid</v>
      </c>
      <c r="BA181" s="9" t="str" cm="1">
        <f t="array" ref="BA181">_xlfn.IFS(AZ181="Paid","R",AZ181="Unpaid","Q")</f>
        <v>R</v>
      </c>
      <c r="BB181" s="8" t="s">
        <v>2815</v>
      </c>
    </row>
    <row r="182" spans="1:54" x14ac:dyDescent="0.25">
      <c r="A182" s="2">
        <v>181</v>
      </c>
      <c r="B182" s="2">
        <v>181</v>
      </c>
      <c r="C182" s="2" t="s">
        <v>384</v>
      </c>
      <c r="D182" s="2" t="s">
        <v>1839</v>
      </c>
      <c r="E182" s="2" t="s">
        <v>385</v>
      </c>
      <c r="F182" s="4">
        <v>45560</v>
      </c>
      <c r="G182" s="8" t="s">
        <v>70</v>
      </c>
      <c r="H182" s="8" t="s">
        <v>1247</v>
      </c>
      <c r="I182" s="2" t="s">
        <v>9</v>
      </c>
      <c r="J182" s="2" t="s">
        <v>15</v>
      </c>
      <c r="K182" s="2" t="s">
        <v>795</v>
      </c>
      <c r="L182" s="2" t="s">
        <v>1257</v>
      </c>
      <c r="M182" s="2" t="s">
        <v>1261</v>
      </c>
      <c r="N182" s="2" t="s">
        <v>2196</v>
      </c>
      <c r="O182" s="4">
        <v>36336</v>
      </c>
      <c r="P182" s="2" t="s">
        <v>2621</v>
      </c>
      <c r="Q182" s="2" t="s">
        <v>2452</v>
      </c>
      <c r="R182" s="2" t="s">
        <v>2396</v>
      </c>
      <c r="S182" s="2" t="s">
        <v>820</v>
      </c>
      <c r="T182" s="2" t="s">
        <v>1468</v>
      </c>
      <c r="U182" s="2" t="s">
        <v>1274</v>
      </c>
      <c r="V182" s="2">
        <v>9599744278</v>
      </c>
      <c r="W182" s="2" t="s">
        <v>984</v>
      </c>
      <c r="X182" s="2" t="s">
        <v>790</v>
      </c>
      <c r="Y182" s="2" t="s">
        <v>1184</v>
      </c>
      <c r="Z182" s="2" t="s">
        <v>1185</v>
      </c>
      <c r="AA182" s="2">
        <v>8000</v>
      </c>
      <c r="AB182" s="2">
        <v>200</v>
      </c>
      <c r="AC182" s="2">
        <v>1000</v>
      </c>
      <c r="AD182" s="2">
        <v>300</v>
      </c>
      <c r="AE182" s="2">
        <f t="shared" si="18"/>
        <v>8900</v>
      </c>
      <c r="AF182" s="2">
        <v>2500</v>
      </c>
      <c r="AG182" s="4">
        <v>45570</v>
      </c>
      <c r="AH182" s="2">
        <f t="shared" si="19"/>
        <v>6400</v>
      </c>
      <c r="AI182" s="2">
        <v>3000</v>
      </c>
      <c r="AJ182" s="4">
        <v>45601</v>
      </c>
      <c r="AK182" s="2">
        <f t="shared" si="20"/>
        <v>3400</v>
      </c>
      <c r="AL182" s="2">
        <v>1000</v>
      </c>
      <c r="AM182" s="4">
        <v>45631</v>
      </c>
      <c r="AN182" s="2">
        <f t="shared" si="21"/>
        <v>2400</v>
      </c>
      <c r="AO182" s="2" cm="1">
        <f t="array" ref="AO182">_xlfn.IFS(AN182&gt;=5000,3000,AN182&gt;=2000,1000,AN182&gt;=500,500,AN182&lt;500,AN182)</f>
        <v>1000</v>
      </c>
      <c r="AP182" s="4">
        <v>45662</v>
      </c>
      <c r="AQ182" s="2">
        <f t="shared" si="22"/>
        <v>1400</v>
      </c>
      <c r="AR182" s="2">
        <v>1000</v>
      </c>
      <c r="AS182" s="4">
        <v>45693</v>
      </c>
      <c r="AT182" s="2">
        <f t="shared" si="23"/>
        <v>400</v>
      </c>
      <c r="AU182" s="2">
        <v>400</v>
      </c>
      <c r="AV182" s="4">
        <v>45721</v>
      </c>
      <c r="AW182" s="2">
        <v>0</v>
      </c>
      <c r="AX182" s="2">
        <f t="shared" si="24"/>
        <v>8900</v>
      </c>
      <c r="AY182" s="2">
        <f t="shared" si="25"/>
        <v>0</v>
      </c>
      <c r="AZ182" s="2" t="str">
        <f t="shared" si="26"/>
        <v>Paid</v>
      </c>
      <c r="BA182" s="9" t="str" cm="1">
        <f t="array" ref="BA182">_xlfn.IFS(AZ182="Paid","R",AZ182="Unpaid","Q")</f>
        <v>R</v>
      </c>
      <c r="BB182" s="8" t="s">
        <v>2815</v>
      </c>
    </row>
    <row r="183" spans="1:54" x14ac:dyDescent="0.25">
      <c r="A183" s="2">
        <v>182</v>
      </c>
      <c r="B183" s="2">
        <v>182</v>
      </c>
      <c r="C183" s="2" t="s">
        <v>386</v>
      </c>
      <c r="D183" s="2" t="s">
        <v>1840</v>
      </c>
      <c r="E183" s="2" t="s">
        <v>387</v>
      </c>
      <c r="F183" s="4">
        <v>45569</v>
      </c>
      <c r="G183" s="8" t="s">
        <v>65</v>
      </c>
      <c r="H183" s="8" t="s">
        <v>65</v>
      </c>
      <c r="I183" s="2" t="s">
        <v>14</v>
      </c>
      <c r="J183" s="2" t="s">
        <v>15</v>
      </c>
      <c r="K183" s="2" t="s">
        <v>791</v>
      </c>
      <c r="L183" s="2" t="s">
        <v>1256</v>
      </c>
      <c r="M183" s="2" t="s">
        <v>1263</v>
      </c>
      <c r="N183" s="2" t="s">
        <v>2197</v>
      </c>
      <c r="O183" s="4">
        <v>40289</v>
      </c>
      <c r="P183" s="2" t="s">
        <v>2622</v>
      </c>
      <c r="Q183" s="2" t="s">
        <v>2401</v>
      </c>
      <c r="R183" s="2" t="s">
        <v>2393</v>
      </c>
      <c r="S183" s="2" t="s">
        <v>792</v>
      </c>
      <c r="T183" s="2" t="s">
        <v>1469</v>
      </c>
      <c r="U183" s="2" t="s">
        <v>1276</v>
      </c>
      <c r="V183" s="2">
        <v>9883438683</v>
      </c>
      <c r="W183" s="2" t="s">
        <v>985</v>
      </c>
      <c r="X183" s="2" t="s">
        <v>809</v>
      </c>
      <c r="Y183" s="2" t="s">
        <v>1184</v>
      </c>
      <c r="Z183" s="2" t="s">
        <v>1185</v>
      </c>
      <c r="AA183" s="2">
        <v>2500</v>
      </c>
      <c r="AB183" s="2">
        <v>200</v>
      </c>
      <c r="AC183" s="2">
        <v>500</v>
      </c>
      <c r="AD183" s="2">
        <v>300</v>
      </c>
      <c r="AE183" s="2">
        <f t="shared" si="18"/>
        <v>2900</v>
      </c>
      <c r="AF183" s="2">
        <v>1000</v>
      </c>
      <c r="AG183" s="4">
        <v>45579</v>
      </c>
      <c r="AH183" s="2">
        <f t="shared" si="19"/>
        <v>1900</v>
      </c>
      <c r="AI183" s="2">
        <v>500</v>
      </c>
      <c r="AJ183" s="4">
        <v>45610</v>
      </c>
      <c r="AK183" s="2">
        <f t="shared" si="20"/>
        <v>1400</v>
      </c>
      <c r="AL183" s="2"/>
      <c r="AM183" s="4">
        <v>45640</v>
      </c>
      <c r="AN183" s="2">
        <f t="shared" si="21"/>
        <v>1400</v>
      </c>
      <c r="AO183" s="2"/>
      <c r="AP183" s="4">
        <v>45671</v>
      </c>
      <c r="AQ183" s="2">
        <f t="shared" si="22"/>
        <v>1400</v>
      </c>
      <c r="AR183" s="2"/>
      <c r="AS183" s="4">
        <v>45702</v>
      </c>
      <c r="AT183" s="2">
        <f t="shared" si="23"/>
        <v>1400</v>
      </c>
      <c r="AU183" s="2" t="s">
        <v>1200</v>
      </c>
      <c r="AV183" s="4" t="s">
        <v>1200</v>
      </c>
      <c r="AW183" s="2" t="s">
        <v>1200</v>
      </c>
      <c r="AX183" s="2">
        <f t="shared" si="24"/>
        <v>1500</v>
      </c>
      <c r="AY183" s="2">
        <f t="shared" si="25"/>
        <v>1400</v>
      </c>
      <c r="AZ183" s="2" t="str">
        <f t="shared" si="26"/>
        <v>Unpaid</v>
      </c>
      <c r="BA183" s="9" t="str" cm="1">
        <f t="array" ref="BA183">_xlfn.IFS(AZ183="Paid","R",AZ183="Unpaid","Q")</f>
        <v>Q</v>
      </c>
      <c r="BB183" s="8" t="s">
        <v>2816</v>
      </c>
    </row>
    <row r="184" spans="1:54" x14ac:dyDescent="0.25">
      <c r="A184" s="2">
        <v>183</v>
      </c>
      <c r="B184" s="2">
        <v>183</v>
      </c>
      <c r="C184" s="2" t="s">
        <v>388</v>
      </c>
      <c r="D184" s="2" t="s">
        <v>1841</v>
      </c>
      <c r="E184" s="2" t="s">
        <v>389</v>
      </c>
      <c r="F184" s="4">
        <v>45571</v>
      </c>
      <c r="G184" s="8" t="s">
        <v>26</v>
      </c>
      <c r="H184" s="8" t="s">
        <v>1243</v>
      </c>
      <c r="I184" s="2" t="s">
        <v>9</v>
      </c>
      <c r="J184" s="2" t="s">
        <v>10</v>
      </c>
      <c r="K184" s="2" t="s">
        <v>787</v>
      </c>
      <c r="L184" s="2" t="s">
        <v>1260</v>
      </c>
      <c r="M184" s="2" t="s">
        <v>1261</v>
      </c>
      <c r="N184" s="2" t="s">
        <v>2198</v>
      </c>
      <c r="O184" s="4">
        <v>33698</v>
      </c>
      <c r="P184" s="2" t="s">
        <v>2623</v>
      </c>
      <c r="Q184" s="2" t="s">
        <v>2414</v>
      </c>
      <c r="R184" s="2" t="s">
        <v>2393</v>
      </c>
      <c r="S184" s="2" t="s">
        <v>792</v>
      </c>
      <c r="T184" s="2" t="s">
        <v>1470</v>
      </c>
      <c r="U184" s="2" t="s">
        <v>1284</v>
      </c>
      <c r="V184" s="2">
        <v>6994799701</v>
      </c>
      <c r="W184" s="2" t="s">
        <v>986</v>
      </c>
      <c r="X184" s="2" t="s">
        <v>807</v>
      </c>
      <c r="Y184" s="2" t="s">
        <v>1184</v>
      </c>
      <c r="Z184" s="2" t="s">
        <v>1185</v>
      </c>
      <c r="AA184" s="2">
        <v>15000</v>
      </c>
      <c r="AB184" s="2">
        <v>200</v>
      </c>
      <c r="AC184" s="2">
        <v>1200</v>
      </c>
      <c r="AD184" s="2">
        <v>200</v>
      </c>
      <c r="AE184" s="2">
        <f t="shared" si="18"/>
        <v>16200</v>
      </c>
      <c r="AF184" s="2">
        <v>5000</v>
      </c>
      <c r="AG184" s="4">
        <v>45581</v>
      </c>
      <c r="AH184" s="2">
        <f t="shared" si="19"/>
        <v>11200</v>
      </c>
      <c r="AI184" s="2">
        <v>3000</v>
      </c>
      <c r="AJ184" s="4">
        <v>45612</v>
      </c>
      <c r="AK184" s="2">
        <f t="shared" si="20"/>
        <v>8200</v>
      </c>
      <c r="AL184" s="2">
        <v>3000</v>
      </c>
      <c r="AM184" s="4">
        <v>45642</v>
      </c>
      <c r="AN184" s="2">
        <f t="shared" si="21"/>
        <v>5200</v>
      </c>
      <c r="AO184" s="2" cm="1">
        <f t="array" ref="AO184">_xlfn.IFS(AN184&gt;=5000,3000,AN184&gt;=2000,1000,AN184&gt;=500,500,AN184&lt;500,AN184)</f>
        <v>3000</v>
      </c>
      <c r="AP184" s="4">
        <v>45673</v>
      </c>
      <c r="AQ184" s="2">
        <f t="shared" si="22"/>
        <v>2200</v>
      </c>
      <c r="AR184" s="2">
        <v>2000</v>
      </c>
      <c r="AS184" s="4">
        <v>45704</v>
      </c>
      <c r="AT184" s="2">
        <f t="shared" si="23"/>
        <v>200</v>
      </c>
      <c r="AU184" s="2">
        <v>200</v>
      </c>
      <c r="AV184" s="4">
        <v>45732</v>
      </c>
      <c r="AW184" s="2">
        <v>0</v>
      </c>
      <c r="AX184" s="2">
        <f t="shared" si="24"/>
        <v>16200</v>
      </c>
      <c r="AY184" s="2">
        <f t="shared" si="25"/>
        <v>0</v>
      </c>
      <c r="AZ184" s="2" t="str">
        <f t="shared" si="26"/>
        <v>Paid</v>
      </c>
      <c r="BA184" s="9" t="str" cm="1">
        <f t="array" ref="BA184">_xlfn.IFS(AZ184="Paid","R",AZ184="Unpaid","Q")</f>
        <v>R</v>
      </c>
      <c r="BB184" s="8" t="s">
        <v>2815</v>
      </c>
    </row>
    <row r="185" spans="1:54" x14ac:dyDescent="0.25">
      <c r="A185" s="2">
        <v>184</v>
      </c>
      <c r="B185" s="2">
        <v>184</v>
      </c>
      <c r="C185" s="2" t="s">
        <v>390</v>
      </c>
      <c r="D185" s="2" t="s">
        <v>1842</v>
      </c>
      <c r="E185" s="2" t="s">
        <v>391</v>
      </c>
      <c r="F185" s="4">
        <v>45572</v>
      </c>
      <c r="G185" s="8" t="s">
        <v>65</v>
      </c>
      <c r="H185" s="8" t="s">
        <v>65</v>
      </c>
      <c r="I185" s="2" t="s">
        <v>14</v>
      </c>
      <c r="J185" s="2" t="s">
        <v>15</v>
      </c>
      <c r="K185" s="2" t="s">
        <v>791</v>
      </c>
      <c r="L185" s="2" t="s">
        <v>1256</v>
      </c>
      <c r="M185" s="2" t="s">
        <v>1263</v>
      </c>
      <c r="N185" s="2" t="s">
        <v>2199</v>
      </c>
      <c r="O185" s="4">
        <v>39512</v>
      </c>
      <c r="P185" s="2" t="s">
        <v>2624</v>
      </c>
      <c r="Q185" s="2" t="s">
        <v>2407</v>
      </c>
      <c r="R185" s="2" t="s">
        <v>2393</v>
      </c>
      <c r="S185" s="2" t="s">
        <v>788</v>
      </c>
      <c r="T185" s="2" t="s">
        <v>1471</v>
      </c>
      <c r="U185" s="2" t="s">
        <v>1279</v>
      </c>
      <c r="V185" s="2">
        <v>6812403937</v>
      </c>
      <c r="W185" s="2" t="s">
        <v>987</v>
      </c>
      <c r="X185" s="2" t="s">
        <v>1183</v>
      </c>
      <c r="Y185" s="2" t="s">
        <v>1184</v>
      </c>
      <c r="Z185" s="2" t="s">
        <v>1185</v>
      </c>
      <c r="AA185" s="2">
        <v>2500</v>
      </c>
      <c r="AB185" s="2">
        <v>200</v>
      </c>
      <c r="AC185" s="2">
        <v>500</v>
      </c>
      <c r="AD185" s="2">
        <v>300</v>
      </c>
      <c r="AE185" s="2">
        <f t="shared" si="18"/>
        <v>2900</v>
      </c>
      <c r="AF185" s="2">
        <v>1000</v>
      </c>
      <c r="AG185" s="4">
        <v>45582</v>
      </c>
      <c r="AH185" s="2">
        <f t="shared" si="19"/>
        <v>1900</v>
      </c>
      <c r="AI185" s="2">
        <v>500</v>
      </c>
      <c r="AJ185" s="4">
        <v>45613</v>
      </c>
      <c r="AK185" s="2">
        <f t="shared" si="20"/>
        <v>1400</v>
      </c>
      <c r="AL185" s="2">
        <v>500</v>
      </c>
      <c r="AM185" s="4">
        <v>45643</v>
      </c>
      <c r="AN185" s="2">
        <f t="shared" si="21"/>
        <v>900</v>
      </c>
      <c r="AO185" s="2" cm="1">
        <f t="array" ref="AO185">_xlfn.IFS(AN185&gt;=5000,3000,AN185&gt;=2000,1000,AN185&gt;=500,500,AN185&lt;500,AN185)</f>
        <v>500</v>
      </c>
      <c r="AP185" s="4">
        <v>45674</v>
      </c>
      <c r="AQ185" s="2">
        <f t="shared" si="22"/>
        <v>400</v>
      </c>
      <c r="AR185" s="2">
        <v>400</v>
      </c>
      <c r="AS185" s="4">
        <v>45705</v>
      </c>
      <c r="AT185" s="2">
        <f t="shared" si="23"/>
        <v>0</v>
      </c>
      <c r="AU185" s="2" t="s">
        <v>1200</v>
      </c>
      <c r="AV185" s="4" t="s">
        <v>1200</v>
      </c>
      <c r="AW185" s="2" t="s">
        <v>1200</v>
      </c>
      <c r="AX185" s="2">
        <f t="shared" si="24"/>
        <v>2900</v>
      </c>
      <c r="AY185" s="2">
        <f t="shared" si="25"/>
        <v>0</v>
      </c>
      <c r="AZ185" s="2" t="str">
        <f t="shared" si="26"/>
        <v>Paid</v>
      </c>
      <c r="BA185" s="9" t="str" cm="1">
        <f t="array" ref="BA185">_xlfn.IFS(AZ185="Paid","R",AZ185="Unpaid","Q")</f>
        <v>R</v>
      </c>
      <c r="BB185" s="8" t="s">
        <v>2815</v>
      </c>
    </row>
    <row r="186" spans="1:54" x14ac:dyDescent="0.25">
      <c r="A186" s="2">
        <v>185</v>
      </c>
      <c r="B186" s="2">
        <v>185</v>
      </c>
      <c r="C186" s="2" t="s">
        <v>392</v>
      </c>
      <c r="D186" s="2" t="s">
        <v>1843</v>
      </c>
      <c r="E186" s="2" t="s">
        <v>393</v>
      </c>
      <c r="F186" s="4">
        <v>45573</v>
      </c>
      <c r="G186" s="8" t="s">
        <v>35</v>
      </c>
      <c r="H186" s="8" t="s">
        <v>1244</v>
      </c>
      <c r="I186" s="2" t="s">
        <v>14</v>
      </c>
      <c r="J186" s="2" t="s">
        <v>15</v>
      </c>
      <c r="K186" s="2" t="s">
        <v>791</v>
      </c>
      <c r="L186" s="2" t="s">
        <v>1260</v>
      </c>
      <c r="M186" s="2" t="s">
        <v>1261</v>
      </c>
      <c r="N186" s="2" t="s">
        <v>2200</v>
      </c>
      <c r="O186" s="4">
        <v>38679</v>
      </c>
      <c r="P186" s="2" t="s">
        <v>2625</v>
      </c>
      <c r="Q186" s="2" t="s">
        <v>2539</v>
      </c>
      <c r="R186" s="2" t="s">
        <v>2393</v>
      </c>
      <c r="S186" s="2" t="s">
        <v>788</v>
      </c>
      <c r="T186" s="2" t="s">
        <v>1472</v>
      </c>
      <c r="U186" s="2" t="s">
        <v>1267</v>
      </c>
      <c r="V186" s="2">
        <v>7400396572</v>
      </c>
      <c r="W186" s="2" t="s">
        <v>988</v>
      </c>
      <c r="X186" s="2" t="s">
        <v>1183</v>
      </c>
      <c r="Y186" s="2" t="s">
        <v>1184</v>
      </c>
      <c r="Z186" s="2" t="s">
        <v>1185</v>
      </c>
      <c r="AA186" s="2">
        <v>3000</v>
      </c>
      <c r="AB186" s="2">
        <v>200</v>
      </c>
      <c r="AC186" s="2">
        <v>500</v>
      </c>
      <c r="AD186" s="2">
        <v>500</v>
      </c>
      <c r="AE186" s="2">
        <f t="shared" si="18"/>
        <v>3200</v>
      </c>
      <c r="AF186" s="2">
        <v>1000</v>
      </c>
      <c r="AG186" s="4">
        <v>45583</v>
      </c>
      <c r="AH186" s="2">
        <f t="shared" si="19"/>
        <v>2200</v>
      </c>
      <c r="AI186" s="2">
        <v>1000</v>
      </c>
      <c r="AJ186" s="4">
        <v>45614</v>
      </c>
      <c r="AK186" s="2">
        <f t="shared" si="20"/>
        <v>1200</v>
      </c>
      <c r="AL186" s="2">
        <v>500</v>
      </c>
      <c r="AM186" s="4">
        <v>45644</v>
      </c>
      <c r="AN186" s="2">
        <f t="shared" si="21"/>
        <v>700</v>
      </c>
      <c r="AO186" s="2" cm="1">
        <f t="array" ref="AO186">_xlfn.IFS(AN186&gt;=5000,3000,AN186&gt;=2000,1000,AN186&gt;=500,500,AN186&lt;500,AN186)</f>
        <v>500</v>
      </c>
      <c r="AP186" s="4">
        <v>45675</v>
      </c>
      <c r="AQ186" s="2">
        <f t="shared" si="22"/>
        <v>200</v>
      </c>
      <c r="AR186" s="2">
        <v>200</v>
      </c>
      <c r="AS186" s="4">
        <v>45706</v>
      </c>
      <c r="AT186" s="2">
        <f t="shared" si="23"/>
        <v>0</v>
      </c>
      <c r="AU186" s="2" t="s">
        <v>1200</v>
      </c>
      <c r="AV186" s="4" t="s">
        <v>1200</v>
      </c>
      <c r="AW186" s="2" t="s">
        <v>1200</v>
      </c>
      <c r="AX186" s="2">
        <f t="shared" si="24"/>
        <v>3200</v>
      </c>
      <c r="AY186" s="2">
        <f t="shared" si="25"/>
        <v>0</v>
      </c>
      <c r="AZ186" s="2" t="str">
        <f t="shared" si="26"/>
        <v>Paid</v>
      </c>
      <c r="BA186" s="9" t="str" cm="1">
        <f t="array" ref="BA186">_xlfn.IFS(AZ186="Paid","R",AZ186="Unpaid","Q")</f>
        <v>R</v>
      </c>
      <c r="BB186" s="8" t="s">
        <v>2815</v>
      </c>
    </row>
    <row r="187" spans="1:54" x14ac:dyDescent="0.25">
      <c r="A187" s="2">
        <v>186</v>
      </c>
      <c r="B187" s="2">
        <v>186</v>
      </c>
      <c r="C187" s="2" t="s">
        <v>394</v>
      </c>
      <c r="D187" s="2" t="s">
        <v>1844</v>
      </c>
      <c r="E187" s="2" t="s">
        <v>395</v>
      </c>
      <c r="F187" s="4">
        <v>45573</v>
      </c>
      <c r="G187" s="8" t="s">
        <v>29</v>
      </c>
      <c r="H187" s="8" t="s">
        <v>1248</v>
      </c>
      <c r="I187" s="2" t="s">
        <v>14</v>
      </c>
      <c r="J187" s="2" t="s">
        <v>15</v>
      </c>
      <c r="K187" s="2" t="s">
        <v>791</v>
      </c>
      <c r="L187" s="2" t="s">
        <v>1259</v>
      </c>
      <c r="M187" s="2" t="s">
        <v>1262</v>
      </c>
      <c r="N187" s="2" t="s">
        <v>2201</v>
      </c>
      <c r="O187" s="4">
        <v>39067</v>
      </c>
      <c r="P187" s="2" t="s">
        <v>2626</v>
      </c>
      <c r="Q187" s="2" t="s">
        <v>2430</v>
      </c>
      <c r="R187" s="2" t="s">
        <v>2393</v>
      </c>
      <c r="S187" s="2" t="s">
        <v>788</v>
      </c>
      <c r="T187" s="2" t="s">
        <v>1473</v>
      </c>
      <c r="U187" s="2" t="s">
        <v>1268</v>
      </c>
      <c r="V187" s="2">
        <v>9677418522</v>
      </c>
      <c r="W187" s="2" t="s">
        <v>989</v>
      </c>
      <c r="X187" s="2" t="s">
        <v>809</v>
      </c>
      <c r="Y187" s="2" t="s">
        <v>1184</v>
      </c>
      <c r="Z187" s="2" t="s">
        <v>1185</v>
      </c>
      <c r="AA187" s="2">
        <v>2500</v>
      </c>
      <c r="AB187" s="2">
        <v>200</v>
      </c>
      <c r="AC187" s="2">
        <v>400</v>
      </c>
      <c r="AD187" s="2">
        <v>0</v>
      </c>
      <c r="AE187" s="2">
        <f t="shared" si="18"/>
        <v>3100</v>
      </c>
      <c r="AF187" s="2">
        <v>1000</v>
      </c>
      <c r="AG187" s="4">
        <v>45583</v>
      </c>
      <c r="AH187" s="2">
        <f t="shared" si="19"/>
        <v>2100</v>
      </c>
      <c r="AI187" s="2">
        <v>1000</v>
      </c>
      <c r="AJ187" s="4">
        <v>45614</v>
      </c>
      <c r="AK187" s="2">
        <f t="shared" si="20"/>
        <v>1100</v>
      </c>
      <c r="AL187" s="2">
        <v>500</v>
      </c>
      <c r="AM187" s="4">
        <v>45644</v>
      </c>
      <c r="AN187" s="2">
        <f t="shared" si="21"/>
        <v>600</v>
      </c>
      <c r="AO187" s="2" cm="1">
        <f t="array" ref="AO187">_xlfn.IFS(AN187&gt;=5000,3000,AN187&gt;=2000,1000,AN187&gt;=500,500,AN187&lt;500,AN187)</f>
        <v>500</v>
      </c>
      <c r="AP187" s="4">
        <v>45675</v>
      </c>
      <c r="AQ187" s="2">
        <f t="shared" si="22"/>
        <v>100</v>
      </c>
      <c r="AR187" s="2">
        <v>100</v>
      </c>
      <c r="AS187" s="4">
        <v>45706</v>
      </c>
      <c r="AT187" s="2">
        <f t="shared" si="23"/>
        <v>0</v>
      </c>
      <c r="AU187" s="2" t="s">
        <v>1200</v>
      </c>
      <c r="AV187" s="4" t="s">
        <v>1200</v>
      </c>
      <c r="AW187" s="2" t="s">
        <v>1200</v>
      </c>
      <c r="AX187" s="2">
        <f t="shared" si="24"/>
        <v>3100</v>
      </c>
      <c r="AY187" s="2">
        <f t="shared" si="25"/>
        <v>0</v>
      </c>
      <c r="AZ187" s="2" t="str">
        <f t="shared" si="26"/>
        <v>Paid</v>
      </c>
      <c r="BA187" s="9" t="str" cm="1">
        <f t="array" ref="BA187">_xlfn.IFS(AZ187="Paid","R",AZ187="Unpaid","Q")</f>
        <v>R</v>
      </c>
      <c r="BB187" s="8" t="s">
        <v>2815</v>
      </c>
    </row>
    <row r="188" spans="1:54" x14ac:dyDescent="0.25">
      <c r="A188" s="2">
        <v>187</v>
      </c>
      <c r="B188" s="2">
        <v>187</v>
      </c>
      <c r="C188" s="2" t="s">
        <v>396</v>
      </c>
      <c r="D188" s="2" t="s">
        <v>1845</v>
      </c>
      <c r="E188" s="2" t="s">
        <v>397</v>
      </c>
      <c r="F188" s="4">
        <v>45574</v>
      </c>
      <c r="G188" s="8" t="s">
        <v>26</v>
      </c>
      <c r="H188" s="8" t="s">
        <v>1243</v>
      </c>
      <c r="I188" s="2" t="s">
        <v>9</v>
      </c>
      <c r="J188" s="2" t="s">
        <v>10</v>
      </c>
      <c r="K188" s="2" t="s">
        <v>787</v>
      </c>
      <c r="L188" s="2" t="s">
        <v>1260</v>
      </c>
      <c r="M188" s="2" t="s">
        <v>1261</v>
      </c>
      <c r="N188" s="2" t="s">
        <v>2202</v>
      </c>
      <c r="O188" s="4">
        <v>32712</v>
      </c>
      <c r="P188" s="2" t="s">
        <v>2627</v>
      </c>
      <c r="Q188" s="2" t="s">
        <v>2426</v>
      </c>
      <c r="R188" s="2" t="s">
        <v>2393</v>
      </c>
      <c r="S188" s="2" t="s">
        <v>788</v>
      </c>
      <c r="T188" s="2" t="s">
        <v>1474</v>
      </c>
      <c r="U188" s="2" t="s">
        <v>1283</v>
      </c>
      <c r="V188" s="2">
        <v>8622266330</v>
      </c>
      <c r="W188" s="2" t="s">
        <v>990</v>
      </c>
      <c r="X188" s="2" t="s">
        <v>801</v>
      </c>
      <c r="Y188" s="2" t="s">
        <v>1184</v>
      </c>
      <c r="Z188" s="2" t="s">
        <v>1185</v>
      </c>
      <c r="AA188" s="2">
        <v>15000</v>
      </c>
      <c r="AB188" s="2">
        <v>200</v>
      </c>
      <c r="AC188" s="2">
        <v>1200</v>
      </c>
      <c r="AD188" s="2">
        <v>300</v>
      </c>
      <c r="AE188" s="2">
        <f t="shared" si="18"/>
        <v>16100</v>
      </c>
      <c r="AF188" s="2">
        <v>5000</v>
      </c>
      <c r="AG188" s="4">
        <v>45584</v>
      </c>
      <c r="AH188" s="2">
        <f t="shared" si="19"/>
        <v>11100</v>
      </c>
      <c r="AI188" s="2">
        <v>3000</v>
      </c>
      <c r="AJ188" s="4">
        <v>45615</v>
      </c>
      <c r="AK188" s="2">
        <f t="shared" si="20"/>
        <v>8100</v>
      </c>
      <c r="AL188" s="2">
        <v>3000</v>
      </c>
      <c r="AM188" s="4">
        <v>45645</v>
      </c>
      <c r="AN188" s="2">
        <f t="shared" si="21"/>
        <v>5100</v>
      </c>
      <c r="AO188" s="2" cm="1">
        <f t="array" ref="AO188">_xlfn.IFS(AN188&gt;=5000,3000,AN188&gt;=2000,1000,AN188&gt;=500,500,AN188&lt;500,AN188)</f>
        <v>3000</v>
      </c>
      <c r="AP188" s="4">
        <v>45676</v>
      </c>
      <c r="AQ188" s="2">
        <f t="shared" si="22"/>
        <v>2100</v>
      </c>
      <c r="AR188" s="2">
        <v>2000</v>
      </c>
      <c r="AS188" s="4">
        <v>45707</v>
      </c>
      <c r="AT188" s="2">
        <f t="shared" si="23"/>
        <v>100</v>
      </c>
      <c r="AU188" s="2">
        <v>100</v>
      </c>
      <c r="AV188" s="4">
        <v>45735</v>
      </c>
      <c r="AW188" s="2">
        <v>0</v>
      </c>
      <c r="AX188" s="2">
        <f t="shared" si="24"/>
        <v>16100</v>
      </c>
      <c r="AY188" s="2">
        <f t="shared" si="25"/>
        <v>0</v>
      </c>
      <c r="AZ188" s="2" t="str">
        <f t="shared" si="26"/>
        <v>Paid</v>
      </c>
      <c r="BA188" s="9" t="str" cm="1">
        <f t="array" ref="BA188">_xlfn.IFS(AZ188="Paid","R",AZ188="Unpaid","Q")</f>
        <v>R</v>
      </c>
      <c r="BB188" s="8" t="s">
        <v>2815</v>
      </c>
    </row>
    <row r="189" spans="1:54" x14ac:dyDescent="0.25">
      <c r="A189" s="2">
        <v>188</v>
      </c>
      <c r="B189" s="2">
        <v>188</v>
      </c>
      <c r="C189" s="2" t="s">
        <v>398</v>
      </c>
      <c r="D189" s="2" t="s">
        <v>1846</v>
      </c>
      <c r="E189" s="2" t="s">
        <v>399</v>
      </c>
      <c r="F189" s="4">
        <v>45575</v>
      </c>
      <c r="G189" s="8" t="s">
        <v>48</v>
      </c>
      <c r="H189" s="8" t="s">
        <v>1251</v>
      </c>
      <c r="I189" s="2" t="s">
        <v>14</v>
      </c>
      <c r="J189" s="2" t="s">
        <v>15</v>
      </c>
      <c r="K189" s="2" t="s">
        <v>791</v>
      </c>
      <c r="L189" s="2" t="s">
        <v>1260</v>
      </c>
      <c r="M189" s="2" t="s">
        <v>1261</v>
      </c>
      <c r="N189" s="2" t="s">
        <v>2203</v>
      </c>
      <c r="O189" s="4">
        <v>33681</v>
      </c>
      <c r="P189" s="2" t="s">
        <v>2628</v>
      </c>
      <c r="Q189" s="2" t="s">
        <v>2457</v>
      </c>
      <c r="R189" s="2" t="s">
        <v>2393</v>
      </c>
      <c r="S189" s="2" t="s">
        <v>788</v>
      </c>
      <c r="T189" s="2" t="s">
        <v>1475</v>
      </c>
      <c r="U189" s="2" t="s">
        <v>1281</v>
      </c>
      <c r="V189" s="2">
        <v>9128991483</v>
      </c>
      <c r="W189" s="2" t="s">
        <v>991</v>
      </c>
      <c r="X189" s="2" t="s">
        <v>807</v>
      </c>
      <c r="Y189" s="2" t="s">
        <v>1184</v>
      </c>
      <c r="Z189" s="2" t="s">
        <v>1185</v>
      </c>
      <c r="AA189" s="2">
        <v>3000</v>
      </c>
      <c r="AB189" s="2">
        <v>200</v>
      </c>
      <c r="AC189" s="2">
        <v>500</v>
      </c>
      <c r="AD189" s="2">
        <v>0</v>
      </c>
      <c r="AE189" s="2">
        <f t="shared" si="18"/>
        <v>3700</v>
      </c>
      <c r="AF189" s="2">
        <v>1000</v>
      </c>
      <c r="AG189" s="4">
        <v>45585</v>
      </c>
      <c r="AH189" s="2">
        <f t="shared" si="19"/>
        <v>2700</v>
      </c>
      <c r="AI189" s="2">
        <v>1000</v>
      </c>
      <c r="AJ189" s="4">
        <v>45616</v>
      </c>
      <c r="AK189" s="2">
        <f t="shared" si="20"/>
        <v>1700</v>
      </c>
      <c r="AL189" s="2">
        <v>500</v>
      </c>
      <c r="AM189" s="4">
        <v>45646</v>
      </c>
      <c r="AN189" s="2">
        <f t="shared" si="21"/>
        <v>1200</v>
      </c>
      <c r="AO189" s="2" cm="1">
        <f t="array" ref="AO189">_xlfn.IFS(AN189&gt;=5000,3000,AN189&gt;=2000,1000,AN189&gt;=500,500,AN189&lt;500,AN189)</f>
        <v>500</v>
      </c>
      <c r="AP189" s="4">
        <v>45677</v>
      </c>
      <c r="AQ189" s="2">
        <f t="shared" si="22"/>
        <v>700</v>
      </c>
      <c r="AR189" s="2">
        <v>500</v>
      </c>
      <c r="AS189" s="4">
        <v>45708</v>
      </c>
      <c r="AT189" s="2">
        <f t="shared" si="23"/>
        <v>200</v>
      </c>
      <c r="AU189" s="2">
        <v>200</v>
      </c>
      <c r="AV189" s="4">
        <v>45736</v>
      </c>
      <c r="AW189" s="2">
        <v>0</v>
      </c>
      <c r="AX189" s="2">
        <f t="shared" si="24"/>
        <v>3700</v>
      </c>
      <c r="AY189" s="2">
        <f t="shared" si="25"/>
        <v>0</v>
      </c>
      <c r="AZ189" s="2" t="str">
        <f t="shared" si="26"/>
        <v>Paid</v>
      </c>
      <c r="BA189" s="9" t="str" cm="1">
        <f t="array" ref="BA189">_xlfn.IFS(AZ189="Paid","R",AZ189="Unpaid","Q")</f>
        <v>R</v>
      </c>
      <c r="BB189" s="8" t="s">
        <v>2815</v>
      </c>
    </row>
    <row r="190" spans="1:54" x14ac:dyDescent="0.25">
      <c r="A190" s="2">
        <v>189</v>
      </c>
      <c r="B190" s="2">
        <v>189</v>
      </c>
      <c r="C190" s="2" t="s">
        <v>400</v>
      </c>
      <c r="D190" s="2" t="s">
        <v>1718</v>
      </c>
      <c r="E190" s="2" t="s">
        <v>401</v>
      </c>
      <c r="F190" s="4">
        <v>45575</v>
      </c>
      <c r="G190" s="8" t="s">
        <v>18</v>
      </c>
      <c r="H190" s="8" t="s">
        <v>1253</v>
      </c>
      <c r="I190" s="2" t="s">
        <v>9</v>
      </c>
      <c r="J190" s="2" t="s">
        <v>15</v>
      </c>
      <c r="K190" s="2" t="s">
        <v>795</v>
      </c>
      <c r="L190" s="2" t="s">
        <v>1260</v>
      </c>
      <c r="M190" s="2" t="s">
        <v>1261</v>
      </c>
      <c r="N190" s="2" t="s">
        <v>2204</v>
      </c>
      <c r="O190" s="4">
        <v>38135</v>
      </c>
      <c r="P190" s="2" t="s">
        <v>2629</v>
      </c>
      <c r="Q190" s="2" t="s">
        <v>2485</v>
      </c>
      <c r="R190" s="2" t="s">
        <v>2396</v>
      </c>
      <c r="S190" s="2" t="s">
        <v>820</v>
      </c>
      <c r="T190" s="2" t="s">
        <v>1476</v>
      </c>
      <c r="U190" s="2" t="s">
        <v>1268</v>
      </c>
      <c r="V190" s="2">
        <v>6516622218</v>
      </c>
      <c r="W190" s="2" t="s">
        <v>992</v>
      </c>
      <c r="X190" s="2" t="s">
        <v>794</v>
      </c>
      <c r="Y190" s="2" t="s">
        <v>1184</v>
      </c>
      <c r="Z190" s="2" t="s">
        <v>1185</v>
      </c>
      <c r="AA190" s="2">
        <v>7000</v>
      </c>
      <c r="AB190" s="2">
        <v>200</v>
      </c>
      <c r="AC190" s="2">
        <v>800</v>
      </c>
      <c r="AD190" s="2">
        <v>200</v>
      </c>
      <c r="AE190" s="2">
        <f t="shared" si="18"/>
        <v>7800</v>
      </c>
      <c r="AF190" s="2">
        <v>2500</v>
      </c>
      <c r="AG190" s="4">
        <v>45585</v>
      </c>
      <c r="AH190" s="2">
        <f t="shared" si="19"/>
        <v>5300</v>
      </c>
      <c r="AI190" s="2">
        <v>3000</v>
      </c>
      <c r="AJ190" s="4">
        <v>45616</v>
      </c>
      <c r="AK190" s="2">
        <f t="shared" si="20"/>
        <v>2300</v>
      </c>
      <c r="AL190" s="2">
        <v>1000</v>
      </c>
      <c r="AM190" s="4">
        <v>45646</v>
      </c>
      <c r="AN190" s="2">
        <f t="shared" si="21"/>
        <v>1300</v>
      </c>
      <c r="AO190" s="2" cm="1">
        <f t="array" ref="AO190">_xlfn.IFS(AN190&gt;=5000,3000,AN190&gt;=2000,1000,AN190&gt;=500,500,AN190&lt;500,AN190)</f>
        <v>500</v>
      </c>
      <c r="AP190" s="4">
        <v>45677</v>
      </c>
      <c r="AQ190" s="2">
        <f t="shared" si="22"/>
        <v>800</v>
      </c>
      <c r="AR190" s="2">
        <v>500</v>
      </c>
      <c r="AS190" s="4">
        <v>45708</v>
      </c>
      <c r="AT190" s="2">
        <f t="shared" si="23"/>
        <v>300</v>
      </c>
      <c r="AU190" s="2">
        <v>300</v>
      </c>
      <c r="AV190" s="4">
        <v>45736</v>
      </c>
      <c r="AW190" s="2">
        <v>0</v>
      </c>
      <c r="AX190" s="2">
        <f t="shared" si="24"/>
        <v>7800</v>
      </c>
      <c r="AY190" s="2">
        <f t="shared" si="25"/>
        <v>0</v>
      </c>
      <c r="AZ190" s="2" t="str">
        <f t="shared" si="26"/>
        <v>Paid</v>
      </c>
      <c r="BA190" s="9" t="str" cm="1">
        <f t="array" ref="BA190">_xlfn.IFS(AZ190="Paid","R",AZ190="Unpaid","Q")</f>
        <v>R</v>
      </c>
      <c r="BB190" s="8" t="s">
        <v>2815</v>
      </c>
    </row>
    <row r="191" spans="1:54" x14ac:dyDescent="0.25">
      <c r="A191" s="2">
        <v>190</v>
      </c>
      <c r="B191" s="2">
        <v>190</v>
      </c>
      <c r="C191" s="2" t="s">
        <v>402</v>
      </c>
      <c r="D191" s="2" t="s">
        <v>1847</v>
      </c>
      <c r="E191" s="2" t="s">
        <v>403</v>
      </c>
      <c r="F191" s="4">
        <v>45579</v>
      </c>
      <c r="G191" s="8" t="s">
        <v>38</v>
      </c>
      <c r="H191" s="8" t="s">
        <v>1246</v>
      </c>
      <c r="I191" s="2" t="s">
        <v>9</v>
      </c>
      <c r="J191" s="2" t="s">
        <v>15</v>
      </c>
      <c r="K191" s="2" t="s">
        <v>795</v>
      </c>
      <c r="L191" s="2" t="s">
        <v>1257</v>
      </c>
      <c r="M191" s="2" t="s">
        <v>1261</v>
      </c>
      <c r="N191" s="2" t="s">
        <v>2205</v>
      </c>
      <c r="O191" s="4">
        <v>39286</v>
      </c>
      <c r="P191" s="2" t="s">
        <v>2630</v>
      </c>
      <c r="Q191" s="2" t="s">
        <v>2401</v>
      </c>
      <c r="R191" s="2" t="s">
        <v>2393</v>
      </c>
      <c r="S191" s="2" t="s">
        <v>788</v>
      </c>
      <c r="T191" s="2" t="s">
        <v>1477</v>
      </c>
      <c r="U191" s="2" t="s">
        <v>1273</v>
      </c>
      <c r="V191" s="2">
        <v>6384738596</v>
      </c>
      <c r="W191" s="2" t="s">
        <v>993</v>
      </c>
      <c r="X191" s="2" t="s">
        <v>809</v>
      </c>
      <c r="Y191" s="2" t="s">
        <v>1184</v>
      </c>
      <c r="Z191" s="2" t="s">
        <v>1185</v>
      </c>
      <c r="AA191" s="2">
        <v>6000</v>
      </c>
      <c r="AB191" s="2">
        <v>200</v>
      </c>
      <c r="AC191" s="2">
        <v>800</v>
      </c>
      <c r="AD191" s="2">
        <v>500</v>
      </c>
      <c r="AE191" s="2">
        <f t="shared" si="18"/>
        <v>6500</v>
      </c>
      <c r="AF191" s="2">
        <v>2500</v>
      </c>
      <c r="AG191" s="4">
        <v>45589</v>
      </c>
      <c r="AH191" s="2">
        <f t="shared" si="19"/>
        <v>4000</v>
      </c>
      <c r="AI191" s="2">
        <v>1000</v>
      </c>
      <c r="AJ191" s="4">
        <v>45620</v>
      </c>
      <c r="AK191" s="2">
        <f t="shared" si="20"/>
        <v>3000</v>
      </c>
      <c r="AL191" s="2">
        <v>1000</v>
      </c>
      <c r="AM191" s="4">
        <v>45650</v>
      </c>
      <c r="AN191" s="2">
        <f t="shared" si="21"/>
        <v>2000</v>
      </c>
      <c r="AO191" s="2" cm="1">
        <f t="array" ref="AO191">_xlfn.IFS(AN191&gt;=5000,3000,AN191&gt;=2000,1000,AN191&gt;=500,500,AN191&lt;500,AN191)</f>
        <v>1000</v>
      </c>
      <c r="AP191" s="4">
        <v>45681</v>
      </c>
      <c r="AQ191" s="2">
        <f t="shared" si="22"/>
        <v>1000</v>
      </c>
      <c r="AR191" s="2">
        <v>1000</v>
      </c>
      <c r="AS191" s="4">
        <v>45712</v>
      </c>
      <c r="AT191" s="2">
        <f t="shared" si="23"/>
        <v>0</v>
      </c>
      <c r="AU191" s="2" t="s">
        <v>1200</v>
      </c>
      <c r="AV191" s="4" t="s">
        <v>1200</v>
      </c>
      <c r="AW191" s="2" t="s">
        <v>1200</v>
      </c>
      <c r="AX191" s="2">
        <f t="shared" si="24"/>
        <v>6500</v>
      </c>
      <c r="AY191" s="2">
        <f t="shared" si="25"/>
        <v>0</v>
      </c>
      <c r="AZ191" s="2" t="str">
        <f t="shared" si="26"/>
        <v>Paid</v>
      </c>
      <c r="BA191" s="9" t="str" cm="1">
        <f t="array" ref="BA191">_xlfn.IFS(AZ191="Paid","R",AZ191="Unpaid","Q")</f>
        <v>R</v>
      </c>
      <c r="BB191" s="8" t="s">
        <v>2815</v>
      </c>
    </row>
    <row r="192" spans="1:54" x14ac:dyDescent="0.25">
      <c r="A192" s="2">
        <v>191</v>
      </c>
      <c r="B192" s="2">
        <v>191</v>
      </c>
      <c r="C192" s="2" t="s">
        <v>404</v>
      </c>
      <c r="D192" s="2" t="s">
        <v>1848</v>
      </c>
      <c r="E192" s="2" t="s">
        <v>405</v>
      </c>
      <c r="F192" s="4">
        <v>45580</v>
      </c>
      <c r="G192" s="8" t="s">
        <v>21</v>
      </c>
      <c r="H192" s="8" t="s">
        <v>1252</v>
      </c>
      <c r="I192" s="2" t="s">
        <v>14</v>
      </c>
      <c r="J192" s="2" t="s">
        <v>15</v>
      </c>
      <c r="K192" s="2" t="s">
        <v>791</v>
      </c>
      <c r="L192" s="2" t="s">
        <v>1258</v>
      </c>
      <c r="M192" s="2" t="s">
        <v>1264</v>
      </c>
      <c r="N192" s="2" t="s">
        <v>2206</v>
      </c>
      <c r="O192" s="4">
        <v>38891</v>
      </c>
      <c r="P192" s="2" t="s">
        <v>2631</v>
      </c>
      <c r="Q192" s="2" t="s">
        <v>2444</v>
      </c>
      <c r="R192" s="2" t="s">
        <v>2393</v>
      </c>
      <c r="S192" s="2" t="s">
        <v>792</v>
      </c>
      <c r="T192" s="2" t="s">
        <v>1478</v>
      </c>
      <c r="U192" s="2" t="s">
        <v>1283</v>
      </c>
      <c r="V192" s="2">
        <v>9962679887</v>
      </c>
      <c r="W192" s="2" t="s">
        <v>994</v>
      </c>
      <c r="X192" s="2" t="s">
        <v>813</v>
      </c>
      <c r="Y192" s="2" t="s">
        <v>1184</v>
      </c>
      <c r="Z192" s="2" t="s">
        <v>1185</v>
      </c>
      <c r="AA192" s="2">
        <v>3000</v>
      </c>
      <c r="AB192" s="2">
        <v>200</v>
      </c>
      <c r="AC192" s="2">
        <v>300</v>
      </c>
      <c r="AD192" s="2">
        <v>200</v>
      </c>
      <c r="AE192" s="2">
        <f t="shared" si="18"/>
        <v>3300</v>
      </c>
      <c r="AF192" s="2">
        <v>1000</v>
      </c>
      <c r="AG192" s="4">
        <v>45590</v>
      </c>
      <c r="AH192" s="2">
        <f t="shared" si="19"/>
        <v>2300</v>
      </c>
      <c r="AI192" s="2">
        <v>1000</v>
      </c>
      <c r="AJ192" s="4">
        <v>45621</v>
      </c>
      <c r="AK192" s="2">
        <f t="shared" si="20"/>
        <v>1300</v>
      </c>
      <c r="AL192" s="2">
        <v>500</v>
      </c>
      <c r="AM192" s="4">
        <v>45651</v>
      </c>
      <c r="AN192" s="2">
        <f t="shared" si="21"/>
        <v>800</v>
      </c>
      <c r="AO192" s="2" cm="1">
        <f t="array" ref="AO192">_xlfn.IFS(AN192&gt;=5000,3000,AN192&gt;=2000,1000,AN192&gt;=500,500,AN192&lt;500,AN192)</f>
        <v>500</v>
      </c>
      <c r="AP192" s="4">
        <v>45682</v>
      </c>
      <c r="AQ192" s="2">
        <f t="shared" si="22"/>
        <v>300</v>
      </c>
      <c r="AR192" s="2">
        <v>300</v>
      </c>
      <c r="AS192" s="4">
        <v>45713</v>
      </c>
      <c r="AT192" s="2">
        <f t="shared" si="23"/>
        <v>0</v>
      </c>
      <c r="AU192" s="2" t="s">
        <v>1200</v>
      </c>
      <c r="AV192" s="4" t="s">
        <v>1200</v>
      </c>
      <c r="AW192" s="2" t="s">
        <v>1200</v>
      </c>
      <c r="AX192" s="2">
        <f t="shared" si="24"/>
        <v>3300</v>
      </c>
      <c r="AY192" s="2">
        <f t="shared" si="25"/>
        <v>0</v>
      </c>
      <c r="AZ192" s="2" t="str">
        <f t="shared" si="26"/>
        <v>Paid</v>
      </c>
      <c r="BA192" s="9" t="str" cm="1">
        <f t="array" ref="BA192">_xlfn.IFS(AZ192="Paid","R",AZ192="Unpaid","Q")</f>
        <v>R</v>
      </c>
      <c r="BB192" s="8" t="s">
        <v>2815</v>
      </c>
    </row>
    <row r="193" spans="1:54" x14ac:dyDescent="0.25">
      <c r="A193" s="2">
        <v>192</v>
      </c>
      <c r="B193" s="2">
        <v>192</v>
      </c>
      <c r="C193" s="2" t="s">
        <v>406</v>
      </c>
      <c r="D193" s="2" t="s">
        <v>1849</v>
      </c>
      <c r="E193" s="2" t="s">
        <v>407</v>
      </c>
      <c r="F193" s="4">
        <v>45581</v>
      </c>
      <c r="G193" s="8" t="s">
        <v>21</v>
      </c>
      <c r="H193" s="8" t="s">
        <v>1252</v>
      </c>
      <c r="I193" s="2" t="s">
        <v>14</v>
      </c>
      <c r="J193" s="2" t="s">
        <v>15</v>
      </c>
      <c r="K193" s="2" t="s">
        <v>791</v>
      </c>
      <c r="L193" s="2" t="s">
        <v>1260</v>
      </c>
      <c r="M193" s="2" t="s">
        <v>1261</v>
      </c>
      <c r="N193" s="2" t="s">
        <v>2207</v>
      </c>
      <c r="O193" s="4">
        <v>34344</v>
      </c>
      <c r="P193" s="2" t="s">
        <v>2632</v>
      </c>
      <c r="Q193" s="2" t="s">
        <v>2444</v>
      </c>
      <c r="R193" s="2" t="s">
        <v>2393</v>
      </c>
      <c r="S193" s="2" t="s">
        <v>796</v>
      </c>
      <c r="T193" s="2" t="s">
        <v>1479</v>
      </c>
      <c r="U193" s="2" t="s">
        <v>1282</v>
      </c>
      <c r="V193" s="2">
        <v>7642502583</v>
      </c>
      <c r="W193" s="2" t="s">
        <v>995</v>
      </c>
      <c r="X193" s="2" t="s">
        <v>798</v>
      </c>
      <c r="Y193" s="2" t="s">
        <v>1184</v>
      </c>
      <c r="Z193" s="2" t="s">
        <v>1185</v>
      </c>
      <c r="AA193" s="2">
        <v>3000</v>
      </c>
      <c r="AB193" s="2">
        <v>200</v>
      </c>
      <c r="AC193" s="2">
        <v>300</v>
      </c>
      <c r="AD193" s="2">
        <v>0</v>
      </c>
      <c r="AE193" s="2">
        <f t="shared" si="18"/>
        <v>3500</v>
      </c>
      <c r="AF193" s="2">
        <v>1000</v>
      </c>
      <c r="AG193" s="4">
        <v>45591</v>
      </c>
      <c r="AH193" s="2">
        <f t="shared" si="19"/>
        <v>2500</v>
      </c>
      <c r="AI193" s="2">
        <v>1000</v>
      </c>
      <c r="AJ193" s="4">
        <v>45622</v>
      </c>
      <c r="AK193" s="2">
        <f t="shared" si="20"/>
        <v>1500</v>
      </c>
      <c r="AL193" s="2">
        <v>500</v>
      </c>
      <c r="AM193" s="4">
        <v>45652</v>
      </c>
      <c r="AN193" s="2">
        <f t="shared" si="21"/>
        <v>1000</v>
      </c>
      <c r="AO193" s="2" cm="1">
        <f t="array" ref="AO193">_xlfn.IFS(AN193&gt;=5000,3000,AN193&gt;=2000,1000,AN193&gt;=500,500,AN193&lt;500,AN193)</f>
        <v>500</v>
      </c>
      <c r="AP193" s="4">
        <v>45683</v>
      </c>
      <c r="AQ193" s="2">
        <f t="shared" si="22"/>
        <v>500</v>
      </c>
      <c r="AR193" s="2">
        <v>500</v>
      </c>
      <c r="AS193" s="4">
        <v>45714</v>
      </c>
      <c r="AT193" s="2">
        <f t="shared" si="23"/>
        <v>0</v>
      </c>
      <c r="AU193" s="2" t="s">
        <v>1200</v>
      </c>
      <c r="AV193" s="4" t="s">
        <v>1200</v>
      </c>
      <c r="AW193" s="2" t="s">
        <v>1200</v>
      </c>
      <c r="AX193" s="2">
        <f t="shared" si="24"/>
        <v>3500</v>
      </c>
      <c r="AY193" s="2">
        <f t="shared" si="25"/>
        <v>0</v>
      </c>
      <c r="AZ193" s="2" t="str">
        <f t="shared" si="26"/>
        <v>Paid</v>
      </c>
      <c r="BA193" s="9" t="str" cm="1">
        <f t="array" ref="BA193">_xlfn.IFS(AZ193="Paid","R",AZ193="Unpaid","Q")</f>
        <v>R</v>
      </c>
      <c r="BB193" s="8" t="s">
        <v>2815</v>
      </c>
    </row>
    <row r="194" spans="1:54" x14ac:dyDescent="0.25">
      <c r="A194" s="2">
        <v>193</v>
      </c>
      <c r="B194" s="2">
        <v>193</v>
      </c>
      <c r="C194" s="2" t="s">
        <v>408</v>
      </c>
      <c r="D194" s="2" t="s">
        <v>1850</v>
      </c>
      <c r="E194" s="2" t="s">
        <v>409</v>
      </c>
      <c r="F194" s="4">
        <v>45582</v>
      </c>
      <c r="G194" s="8" t="s">
        <v>32</v>
      </c>
      <c r="H194" s="8" t="s">
        <v>1249</v>
      </c>
      <c r="I194" s="2" t="s">
        <v>14</v>
      </c>
      <c r="J194" s="2" t="s">
        <v>15</v>
      </c>
      <c r="K194" s="2" t="s">
        <v>791</v>
      </c>
      <c r="L194" s="2" t="s">
        <v>1257</v>
      </c>
      <c r="M194" s="2" t="s">
        <v>1261</v>
      </c>
      <c r="N194" s="2" t="s">
        <v>2208</v>
      </c>
      <c r="O194" s="4">
        <v>35542</v>
      </c>
      <c r="P194" s="2" t="s">
        <v>2633</v>
      </c>
      <c r="Q194" s="2" t="s">
        <v>2609</v>
      </c>
      <c r="R194" s="2" t="s">
        <v>2393</v>
      </c>
      <c r="S194" s="2" t="s">
        <v>820</v>
      </c>
      <c r="T194" s="2" t="s">
        <v>1480</v>
      </c>
      <c r="U194" s="2" t="s">
        <v>1268</v>
      </c>
      <c r="V194" s="2">
        <v>8394087405</v>
      </c>
      <c r="W194" s="2" t="s">
        <v>996</v>
      </c>
      <c r="X194" s="2" t="s">
        <v>822</v>
      </c>
      <c r="Y194" s="2" t="s">
        <v>1184</v>
      </c>
      <c r="Z194" s="2" t="s">
        <v>1185</v>
      </c>
      <c r="AA194" s="2">
        <v>2000</v>
      </c>
      <c r="AB194" s="2">
        <v>200</v>
      </c>
      <c r="AC194" s="2">
        <v>300</v>
      </c>
      <c r="AD194" s="2">
        <v>300</v>
      </c>
      <c r="AE194" s="2">
        <f t="shared" si="18"/>
        <v>2200</v>
      </c>
      <c r="AF194" s="2">
        <v>500</v>
      </c>
      <c r="AG194" s="4">
        <v>45592</v>
      </c>
      <c r="AH194" s="2">
        <f t="shared" si="19"/>
        <v>1700</v>
      </c>
      <c r="AI194" s="2">
        <v>500</v>
      </c>
      <c r="AJ194" s="4">
        <v>45623</v>
      </c>
      <c r="AK194" s="2">
        <f t="shared" si="20"/>
        <v>1200</v>
      </c>
      <c r="AL194" s="2">
        <v>500</v>
      </c>
      <c r="AM194" s="4">
        <v>45653</v>
      </c>
      <c r="AN194" s="2">
        <f t="shared" si="21"/>
        <v>700</v>
      </c>
      <c r="AO194" s="2" cm="1">
        <f t="array" ref="AO194">_xlfn.IFS(AN194&gt;=5000,3000,AN194&gt;=2000,1000,AN194&gt;=500,500,AN194&lt;500,AN194)</f>
        <v>500</v>
      </c>
      <c r="AP194" s="4">
        <v>45684</v>
      </c>
      <c r="AQ194" s="2">
        <f t="shared" si="22"/>
        <v>200</v>
      </c>
      <c r="AR194" s="2">
        <v>200</v>
      </c>
      <c r="AS194" s="4">
        <v>45715</v>
      </c>
      <c r="AT194" s="2">
        <f t="shared" si="23"/>
        <v>0</v>
      </c>
      <c r="AU194" s="2" t="s">
        <v>1200</v>
      </c>
      <c r="AV194" s="4" t="s">
        <v>1200</v>
      </c>
      <c r="AW194" s="2" t="s">
        <v>1200</v>
      </c>
      <c r="AX194" s="2">
        <f t="shared" si="24"/>
        <v>2200</v>
      </c>
      <c r="AY194" s="2">
        <f t="shared" si="25"/>
        <v>0</v>
      </c>
      <c r="AZ194" s="2" t="str">
        <f t="shared" si="26"/>
        <v>Paid</v>
      </c>
      <c r="BA194" s="9" t="str" cm="1">
        <f t="array" ref="BA194">_xlfn.IFS(AZ194="Paid","R",AZ194="Unpaid","Q")</f>
        <v>R</v>
      </c>
      <c r="BB194" s="8" t="s">
        <v>2815</v>
      </c>
    </row>
    <row r="195" spans="1:54" x14ac:dyDescent="0.25">
      <c r="A195" s="2">
        <v>194</v>
      </c>
      <c r="B195" s="2">
        <v>194</v>
      </c>
      <c r="C195" s="2" t="s">
        <v>410</v>
      </c>
      <c r="D195" s="2" t="s">
        <v>1851</v>
      </c>
      <c r="E195" s="2" t="s">
        <v>411</v>
      </c>
      <c r="F195" s="4">
        <v>45582</v>
      </c>
      <c r="G195" s="8" t="s">
        <v>21</v>
      </c>
      <c r="H195" s="8" t="s">
        <v>1252</v>
      </c>
      <c r="I195" s="2" t="s">
        <v>14</v>
      </c>
      <c r="J195" s="2" t="s">
        <v>15</v>
      </c>
      <c r="K195" s="2" t="s">
        <v>791</v>
      </c>
      <c r="L195" s="2" t="s">
        <v>1260</v>
      </c>
      <c r="M195" s="2" t="s">
        <v>1261</v>
      </c>
      <c r="N195" s="2" t="s">
        <v>2209</v>
      </c>
      <c r="O195" s="4">
        <v>33277</v>
      </c>
      <c r="P195" s="2" t="s">
        <v>2634</v>
      </c>
      <c r="Q195" s="2" t="s">
        <v>2635</v>
      </c>
      <c r="R195" s="2" t="s">
        <v>2393</v>
      </c>
      <c r="S195" s="2" t="s">
        <v>820</v>
      </c>
      <c r="T195" s="2" t="s">
        <v>1481</v>
      </c>
      <c r="U195" s="2" t="s">
        <v>1286</v>
      </c>
      <c r="V195" s="2">
        <v>6386387127</v>
      </c>
      <c r="W195" s="2" t="s">
        <v>997</v>
      </c>
      <c r="X195" s="2" t="s">
        <v>798</v>
      </c>
      <c r="Y195" s="2" t="s">
        <v>1184</v>
      </c>
      <c r="Z195" s="2" t="s">
        <v>1185</v>
      </c>
      <c r="AA195" s="2">
        <v>3000</v>
      </c>
      <c r="AB195" s="2">
        <v>200</v>
      </c>
      <c r="AC195" s="2">
        <v>300</v>
      </c>
      <c r="AD195" s="2">
        <v>200</v>
      </c>
      <c r="AE195" s="2">
        <f t="shared" ref="AE195:AE258" si="27">SUM(AA195:AC195) -AD195</f>
        <v>3300</v>
      </c>
      <c r="AF195" s="2">
        <v>1000</v>
      </c>
      <c r="AG195" s="4">
        <v>45592</v>
      </c>
      <c r="AH195" s="2">
        <f t="shared" ref="AH195:AH258" si="28">AE195-AF195</f>
        <v>2300</v>
      </c>
      <c r="AI195" s="2">
        <v>1000</v>
      </c>
      <c r="AJ195" s="4">
        <v>45623</v>
      </c>
      <c r="AK195" s="2">
        <f t="shared" ref="AK195:AK258" si="29">AH195-AI195</f>
        <v>1300</v>
      </c>
      <c r="AL195" s="2">
        <v>500</v>
      </c>
      <c r="AM195" s="4">
        <v>45653</v>
      </c>
      <c r="AN195" s="2">
        <f t="shared" ref="AN195:AN258" si="30">AK195-AL195</f>
        <v>800</v>
      </c>
      <c r="AO195" s="2" cm="1">
        <f t="array" ref="AO195">_xlfn.IFS(AN195&gt;=5000,3000,AN195&gt;=2000,1000,AN195&gt;=500,500,AN195&lt;500,AN195)</f>
        <v>500</v>
      </c>
      <c r="AP195" s="4">
        <v>45684</v>
      </c>
      <c r="AQ195" s="2">
        <f t="shared" ref="AQ195:AQ258" si="31">AN195-AO195</f>
        <v>300</v>
      </c>
      <c r="AR195" s="2">
        <v>300</v>
      </c>
      <c r="AS195" s="4">
        <v>45715</v>
      </c>
      <c r="AT195" s="2">
        <f t="shared" ref="AT195:AT258" si="32">IFERROR(AQ195-AR195,"")</f>
        <v>0</v>
      </c>
      <c r="AU195" s="2" t="s">
        <v>1200</v>
      </c>
      <c r="AV195" s="4" t="s">
        <v>1200</v>
      </c>
      <c r="AW195" s="2" t="s">
        <v>1200</v>
      </c>
      <c r="AX195" s="2">
        <f t="shared" ref="AX195:AX258" si="33">SUM(AF195,AI195,AL195,AO195,AR195,AU195)</f>
        <v>3300</v>
      </c>
      <c r="AY195" s="2">
        <f t="shared" ref="AY195:AY258" si="34">AE195-AX195</f>
        <v>0</v>
      </c>
      <c r="AZ195" s="2" t="str">
        <f t="shared" ref="AZ195:AZ258" si="35">IF(AY195=0,"Paid","Unpaid")</f>
        <v>Paid</v>
      </c>
      <c r="BA195" s="9" t="str" cm="1">
        <f t="array" ref="BA195">_xlfn.IFS(AZ195="Paid","R",AZ195="Unpaid","Q")</f>
        <v>R</v>
      </c>
      <c r="BB195" s="8" t="s">
        <v>2815</v>
      </c>
    </row>
    <row r="196" spans="1:54" x14ac:dyDescent="0.25">
      <c r="A196" s="2">
        <v>195</v>
      </c>
      <c r="B196" s="2">
        <v>195</v>
      </c>
      <c r="C196" s="2" t="s">
        <v>412</v>
      </c>
      <c r="D196" s="2" t="s">
        <v>1852</v>
      </c>
      <c r="E196" s="2" t="s">
        <v>413</v>
      </c>
      <c r="F196" s="4">
        <v>45582</v>
      </c>
      <c r="G196" s="8" t="s">
        <v>18</v>
      </c>
      <c r="H196" s="8" t="s">
        <v>1253</v>
      </c>
      <c r="I196" s="2" t="s">
        <v>9</v>
      </c>
      <c r="J196" s="2" t="s">
        <v>15</v>
      </c>
      <c r="K196" s="2" t="s">
        <v>795</v>
      </c>
      <c r="L196" s="2" t="s">
        <v>1260</v>
      </c>
      <c r="M196" s="2" t="s">
        <v>1261</v>
      </c>
      <c r="N196" s="2" t="s">
        <v>2210</v>
      </c>
      <c r="O196" s="4">
        <v>39686</v>
      </c>
      <c r="P196" s="2" t="s">
        <v>2636</v>
      </c>
      <c r="Q196" s="2" t="s">
        <v>2446</v>
      </c>
      <c r="R196" s="2" t="s">
        <v>2396</v>
      </c>
      <c r="S196" s="2" t="s">
        <v>792</v>
      </c>
      <c r="T196" s="2" t="s">
        <v>1482</v>
      </c>
      <c r="U196" s="2" t="s">
        <v>1267</v>
      </c>
      <c r="V196" s="2">
        <v>6852631516</v>
      </c>
      <c r="W196" s="2" t="s">
        <v>998</v>
      </c>
      <c r="X196" s="2" t="s">
        <v>790</v>
      </c>
      <c r="Y196" s="2" t="s">
        <v>1184</v>
      </c>
      <c r="Z196" s="2" t="s">
        <v>1185</v>
      </c>
      <c r="AA196" s="2">
        <v>7000</v>
      </c>
      <c r="AB196" s="2">
        <v>200</v>
      </c>
      <c r="AC196" s="2">
        <v>800</v>
      </c>
      <c r="AD196" s="2">
        <v>300</v>
      </c>
      <c r="AE196" s="2">
        <f t="shared" si="27"/>
        <v>7700</v>
      </c>
      <c r="AF196" s="2">
        <v>2500</v>
      </c>
      <c r="AG196" s="4">
        <v>45592</v>
      </c>
      <c r="AH196" s="2">
        <f t="shared" si="28"/>
        <v>5200</v>
      </c>
      <c r="AI196" s="2">
        <v>3000</v>
      </c>
      <c r="AJ196" s="4">
        <v>45623</v>
      </c>
      <c r="AK196" s="2">
        <f t="shared" si="29"/>
        <v>2200</v>
      </c>
      <c r="AL196" s="2">
        <v>1000</v>
      </c>
      <c r="AM196" s="4">
        <v>45653</v>
      </c>
      <c r="AN196" s="2">
        <f t="shared" si="30"/>
        <v>1200</v>
      </c>
      <c r="AO196" s="2" cm="1">
        <f t="array" ref="AO196">_xlfn.IFS(AN196&gt;=5000,3000,AN196&gt;=2000,1000,AN196&gt;=500,500,AN196&lt;500,AN196)</f>
        <v>500</v>
      </c>
      <c r="AP196" s="4">
        <v>45684</v>
      </c>
      <c r="AQ196" s="2">
        <f t="shared" si="31"/>
        <v>700</v>
      </c>
      <c r="AR196" s="2">
        <v>500</v>
      </c>
      <c r="AS196" s="4">
        <v>45715</v>
      </c>
      <c r="AT196" s="2">
        <f t="shared" si="32"/>
        <v>200</v>
      </c>
      <c r="AU196" s="2">
        <v>200</v>
      </c>
      <c r="AV196" s="4">
        <v>45743</v>
      </c>
      <c r="AW196" s="2">
        <v>0</v>
      </c>
      <c r="AX196" s="2">
        <f t="shared" si="33"/>
        <v>7700</v>
      </c>
      <c r="AY196" s="2">
        <f t="shared" si="34"/>
        <v>0</v>
      </c>
      <c r="AZ196" s="2" t="str">
        <f t="shared" si="35"/>
        <v>Paid</v>
      </c>
      <c r="BA196" s="9" t="str" cm="1">
        <f t="array" ref="BA196">_xlfn.IFS(AZ196="Paid","R",AZ196="Unpaid","Q")</f>
        <v>R</v>
      </c>
      <c r="BB196" s="8" t="s">
        <v>2815</v>
      </c>
    </row>
    <row r="197" spans="1:54" x14ac:dyDescent="0.25">
      <c r="A197" s="2">
        <v>196</v>
      </c>
      <c r="B197" s="2">
        <v>196</v>
      </c>
      <c r="C197" s="2" t="s">
        <v>414</v>
      </c>
      <c r="D197" s="2" t="s">
        <v>1853</v>
      </c>
      <c r="E197" s="2" t="s">
        <v>415</v>
      </c>
      <c r="F197" s="4">
        <v>45584</v>
      </c>
      <c r="G197" s="8" t="s">
        <v>35</v>
      </c>
      <c r="H197" s="8" t="s">
        <v>1244</v>
      </c>
      <c r="I197" s="2" t="s">
        <v>14</v>
      </c>
      <c r="J197" s="2" t="s">
        <v>15</v>
      </c>
      <c r="K197" s="2" t="s">
        <v>791</v>
      </c>
      <c r="L197" s="2" t="s">
        <v>1259</v>
      </c>
      <c r="M197" s="2" t="s">
        <v>1262</v>
      </c>
      <c r="N197" s="2" t="s">
        <v>2211</v>
      </c>
      <c r="O197" s="4">
        <v>34144</v>
      </c>
      <c r="P197" s="2" t="s">
        <v>2637</v>
      </c>
      <c r="Q197" s="2" t="s">
        <v>2457</v>
      </c>
      <c r="R197" s="2" t="s">
        <v>2393</v>
      </c>
      <c r="S197" s="2" t="s">
        <v>820</v>
      </c>
      <c r="T197" s="2" t="s">
        <v>1483</v>
      </c>
      <c r="U197" s="2" t="s">
        <v>1268</v>
      </c>
      <c r="V197" s="2">
        <v>9417062095</v>
      </c>
      <c r="W197" s="2" t="s">
        <v>999</v>
      </c>
      <c r="X197" s="2" t="s">
        <v>1183</v>
      </c>
      <c r="Y197" s="2" t="s">
        <v>1184</v>
      </c>
      <c r="Z197" s="2" t="s">
        <v>1185</v>
      </c>
      <c r="AA197" s="2">
        <v>3000</v>
      </c>
      <c r="AB197" s="2">
        <v>200</v>
      </c>
      <c r="AC197" s="2">
        <v>500</v>
      </c>
      <c r="AD197" s="2">
        <v>0</v>
      </c>
      <c r="AE197" s="2">
        <f t="shared" si="27"/>
        <v>3700</v>
      </c>
      <c r="AF197" s="2">
        <v>1000</v>
      </c>
      <c r="AG197" s="4">
        <v>45594</v>
      </c>
      <c r="AH197" s="2">
        <f t="shared" si="28"/>
        <v>2700</v>
      </c>
      <c r="AI197" s="2">
        <v>1000</v>
      </c>
      <c r="AJ197" s="4">
        <v>45625</v>
      </c>
      <c r="AK197" s="2">
        <f t="shared" si="29"/>
        <v>1700</v>
      </c>
      <c r="AL197" s="2">
        <v>500</v>
      </c>
      <c r="AM197" s="4">
        <v>45655</v>
      </c>
      <c r="AN197" s="2">
        <f t="shared" si="30"/>
        <v>1200</v>
      </c>
      <c r="AO197" s="2" cm="1">
        <f t="array" ref="AO197">_xlfn.IFS(AN197&gt;=5000,3000,AN197&gt;=2000,1000,AN197&gt;=500,500,AN197&lt;500,AN197)</f>
        <v>500</v>
      </c>
      <c r="AP197" s="4">
        <v>45686</v>
      </c>
      <c r="AQ197" s="2">
        <f t="shared" si="31"/>
        <v>700</v>
      </c>
      <c r="AR197" s="2">
        <v>500</v>
      </c>
      <c r="AS197" s="4">
        <v>45716</v>
      </c>
      <c r="AT197" s="2">
        <f t="shared" si="32"/>
        <v>200</v>
      </c>
      <c r="AU197" s="2">
        <v>200</v>
      </c>
      <c r="AV197" s="4">
        <v>45744</v>
      </c>
      <c r="AW197" s="2">
        <v>0</v>
      </c>
      <c r="AX197" s="2">
        <f t="shared" si="33"/>
        <v>3700</v>
      </c>
      <c r="AY197" s="2">
        <f t="shared" si="34"/>
        <v>0</v>
      </c>
      <c r="AZ197" s="2" t="str">
        <f t="shared" si="35"/>
        <v>Paid</v>
      </c>
      <c r="BA197" s="9" t="str" cm="1">
        <f t="array" ref="BA197">_xlfn.IFS(AZ197="Paid","R",AZ197="Unpaid","Q")</f>
        <v>R</v>
      </c>
      <c r="BB197" s="8" t="s">
        <v>2815</v>
      </c>
    </row>
    <row r="198" spans="1:54" x14ac:dyDescent="0.25">
      <c r="A198" s="2">
        <v>197</v>
      </c>
      <c r="B198" s="2">
        <v>197</v>
      </c>
      <c r="C198" s="2" t="s">
        <v>416</v>
      </c>
      <c r="D198" s="2" t="s">
        <v>1854</v>
      </c>
      <c r="E198" s="2" t="s">
        <v>417</v>
      </c>
      <c r="F198" s="4">
        <v>45586</v>
      </c>
      <c r="G198" s="8" t="s">
        <v>8</v>
      </c>
      <c r="H198" s="8" t="s">
        <v>1242</v>
      </c>
      <c r="I198" s="2" t="s">
        <v>9</v>
      </c>
      <c r="J198" s="2" t="s">
        <v>10</v>
      </c>
      <c r="K198" s="2" t="s">
        <v>787</v>
      </c>
      <c r="L198" s="2" t="s">
        <v>1260</v>
      </c>
      <c r="M198" s="2" t="s">
        <v>1261</v>
      </c>
      <c r="N198" s="2" t="s">
        <v>2212</v>
      </c>
      <c r="O198" s="4">
        <v>36397</v>
      </c>
      <c r="P198" s="2" t="s">
        <v>2638</v>
      </c>
      <c r="Q198" s="2" t="s">
        <v>2416</v>
      </c>
      <c r="R198" s="2" t="s">
        <v>2393</v>
      </c>
      <c r="S198" s="2" t="s">
        <v>788</v>
      </c>
      <c r="T198" s="2" t="s">
        <v>1484</v>
      </c>
      <c r="U198" s="2" t="s">
        <v>1285</v>
      </c>
      <c r="V198" s="2">
        <v>6989754628</v>
      </c>
      <c r="W198" s="2" t="s">
        <v>1000</v>
      </c>
      <c r="X198" s="2" t="s">
        <v>807</v>
      </c>
      <c r="Y198" s="2" t="s">
        <v>1184</v>
      </c>
      <c r="Z198" s="2" t="s">
        <v>1185</v>
      </c>
      <c r="AA198" s="2">
        <v>12500</v>
      </c>
      <c r="AB198" s="2">
        <v>200</v>
      </c>
      <c r="AC198" s="2">
        <v>1200</v>
      </c>
      <c r="AD198" s="2">
        <v>0</v>
      </c>
      <c r="AE198" s="2">
        <f t="shared" si="27"/>
        <v>13900</v>
      </c>
      <c r="AF198" s="2">
        <v>5000</v>
      </c>
      <c r="AG198" s="4">
        <v>45596</v>
      </c>
      <c r="AH198" s="2">
        <f t="shared" si="28"/>
        <v>8900</v>
      </c>
      <c r="AI198" s="2">
        <v>3000</v>
      </c>
      <c r="AJ198" s="4">
        <v>45626</v>
      </c>
      <c r="AK198" s="2">
        <f t="shared" si="29"/>
        <v>5900</v>
      </c>
      <c r="AL198" s="2">
        <v>3000</v>
      </c>
      <c r="AM198" s="4">
        <v>45656</v>
      </c>
      <c r="AN198" s="2">
        <f t="shared" si="30"/>
        <v>2900</v>
      </c>
      <c r="AO198" s="2" cm="1">
        <f t="array" ref="AO198">_xlfn.IFS(AN198&gt;=5000,3000,AN198&gt;=2000,1000,AN198&gt;=500,500,AN198&lt;500,AN198)</f>
        <v>1000</v>
      </c>
      <c r="AP198" s="4">
        <v>45687</v>
      </c>
      <c r="AQ198" s="2">
        <f t="shared" si="31"/>
        <v>1900</v>
      </c>
      <c r="AR198" s="2">
        <v>1000</v>
      </c>
      <c r="AS198" s="4">
        <v>45716</v>
      </c>
      <c r="AT198" s="2">
        <f t="shared" si="32"/>
        <v>900</v>
      </c>
      <c r="AU198" s="2">
        <v>900</v>
      </c>
      <c r="AV198" s="4">
        <v>45744</v>
      </c>
      <c r="AW198" s="2">
        <v>0</v>
      </c>
      <c r="AX198" s="2">
        <f t="shared" si="33"/>
        <v>13900</v>
      </c>
      <c r="AY198" s="2">
        <f t="shared" si="34"/>
        <v>0</v>
      </c>
      <c r="AZ198" s="2" t="str">
        <f t="shared" si="35"/>
        <v>Paid</v>
      </c>
      <c r="BA198" s="9" t="str" cm="1">
        <f t="array" ref="BA198">_xlfn.IFS(AZ198="Paid","R",AZ198="Unpaid","Q")</f>
        <v>R</v>
      </c>
      <c r="BB198" s="8" t="s">
        <v>2815</v>
      </c>
    </row>
    <row r="199" spans="1:54" x14ac:dyDescent="0.25">
      <c r="A199" s="2">
        <v>198</v>
      </c>
      <c r="B199" s="2">
        <v>198</v>
      </c>
      <c r="C199" s="2" t="s">
        <v>418</v>
      </c>
      <c r="D199" s="2" t="s">
        <v>1855</v>
      </c>
      <c r="E199" s="2" t="s">
        <v>419</v>
      </c>
      <c r="F199" s="4">
        <v>45587</v>
      </c>
      <c r="G199" s="8" t="s">
        <v>18</v>
      </c>
      <c r="H199" s="8" t="s">
        <v>1253</v>
      </c>
      <c r="I199" s="2" t="s">
        <v>9</v>
      </c>
      <c r="J199" s="2" t="s">
        <v>15</v>
      </c>
      <c r="K199" s="2" t="s">
        <v>795</v>
      </c>
      <c r="L199" s="2" t="s">
        <v>1259</v>
      </c>
      <c r="M199" s="2" t="s">
        <v>1262</v>
      </c>
      <c r="N199" s="2" t="s">
        <v>2213</v>
      </c>
      <c r="O199" s="4">
        <v>39711</v>
      </c>
      <c r="P199" s="2" t="s">
        <v>2639</v>
      </c>
      <c r="Q199" s="2" t="s">
        <v>2640</v>
      </c>
      <c r="R199" s="2" t="s">
        <v>2393</v>
      </c>
      <c r="S199" s="2" t="s">
        <v>788</v>
      </c>
      <c r="T199" s="2" t="s">
        <v>1485</v>
      </c>
      <c r="U199" s="2" t="s">
        <v>1273</v>
      </c>
      <c r="V199" s="2">
        <v>6955216111</v>
      </c>
      <c r="W199" s="2" t="s">
        <v>1001</v>
      </c>
      <c r="X199" s="2" t="s">
        <v>837</v>
      </c>
      <c r="Y199" s="2" t="s">
        <v>1184</v>
      </c>
      <c r="Z199" s="2" t="s">
        <v>1185</v>
      </c>
      <c r="AA199" s="2">
        <v>7000</v>
      </c>
      <c r="AB199" s="2">
        <v>200</v>
      </c>
      <c r="AC199" s="2">
        <v>800</v>
      </c>
      <c r="AD199" s="2">
        <v>300</v>
      </c>
      <c r="AE199" s="2">
        <f t="shared" si="27"/>
        <v>7700</v>
      </c>
      <c r="AF199" s="2">
        <v>2500</v>
      </c>
      <c r="AG199" s="4">
        <v>45597</v>
      </c>
      <c r="AH199" s="2">
        <f t="shared" si="28"/>
        <v>5200</v>
      </c>
      <c r="AI199" s="2">
        <v>3000</v>
      </c>
      <c r="AJ199" s="4">
        <v>45627</v>
      </c>
      <c r="AK199" s="2">
        <f t="shared" si="29"/>
        <v>2200</v>
      </c>
      <c r="AL199" s="2">
        <v>1000</v>
      </c>
      <c r="AM199" s="4">
        <v>45658</v>
      </c>
      <c r="AN199" s="2">
        <f t="shared" si="30"/>
        <v>1200</v>
      </c>
      <c r="AO199" s="2" cm="1">
        <f t="array" ref="AO199">_xlfn.IFS(AN199&gt;=5000,3000,AN199&gt;=2000,1000,AN199&gt;=500,500,AN199&lt;500,AN199)</f>
        <v>500</v>
      </c>
      <c r="AP199" s="4">
        <v>45689</v>
      </c>
      <c r="AQ199" s="2">
        <f t="shared" si="31"/>
        <v>700</v>
      </c>
      <c r="AR199" s="2">
        <v>500</v>
      </c>
      <c r="AS199" s="4">
        <v>45717</v>
      </c>
      <c r="AT199" s="2">
        <f t="shared" si="32"/>
        <v>200</v>
      </c>
      <c r="AU199" s="2">
        <v>200</v>
      </c>
      <c r="AV199" s="4">
        <v>45748</v>
      </c>
      <c r="AW199" s="2">
        <v>0</v>
      </c>
      <c r="AX199" s="2">
        <f t="shared" si="33"/>
        <v>7700</v>
      </c>
      <c r="AY199" s="2">
        <f t="shared" si="34"/>
        <v>0</v>
      </c>
      <c r="AZ199" s="2" t="str">
        <f t="shared" si="35"/>
        <v>Paid</v>
      </c>
      <c r="BA199" s="9" t="str" cm="1">
        <f t="array" ref="BA199">_xlfn.IFS(AZ199="Paid","R",AZ199="Unpaid","Q")</f>
        <v>R</v>
      </c>
      <c r="BB199" s="8" t="s">
        <v>2815</v>
      </c>
    </row>
    <row r="200" spans="1:54" x14ac:dyDescent="0.25">
      <c r="A200" s="2">
        <v>199</v>
      </c>
      <c r="B200" s="2">
        <v>199</v>
      </c>
      <c r="C200" s="2" t="s">
        <v>420</v>
      </c>
      <c r="D200" s="2" t="s">
        <v>1856</v>
      </c>
      <c r="E200" s="2" t="s">
        <v>421</v>
      </c>
      <c r="F200" s="4">
        <v>45590</v>
      </c>
      <c r="G200" s="8" t="s">
        <v>18</v>
      </c>
      <c r="H200" s="8" t="s">
        <v>1253</v>
      </c>
      <c r="I200" s="2" t="s">
        <v>9</v>
      </c>
      <c r="J200" s="2" t="s">
        <v>15</v>
      </c>
      <c r="K200" s="2" t="s">
        <v>795</v>
      </c>
      <c r="L200" s="2" t="s">
        <v>1259</v>
      </c>
      <c r="M200" s="2" t="s">
        <v>1262</v>
      </c>
      <c r="N200" s="2" t="s">
        <v>2214</v>
      </c>
      <c r="O200" s="4">
        <v>38359</v>
      </c>
      <c r="P200" s="2" t="s">
        <v>2550</v>
      </c>
      <c r="Q200" s="2" t="s">
        <v>2529</v>
      </c>
      <c r="R200" s="2" t="s">
        <v>2393</v>
      </c>
      <c r="S200" s="2" t="s">
        <v>792</v>
      </c>
      <c r="T200" s="2" t="s">
        <v>1486</v>
      </c>
      <c r="U200" s="2" t="s">
        <v>1277</v>
      </c>
      <c r="V200" s="2">
        <v>9709691569</v>
      </c>
      <c r="W200" s="2" t="s">
        <v>1002</v>
      </c>
      <c r="X200" s="2" t="s">
        <v>1183</v>
      </c>
      <c r="Y200" s="2" t="s">
        <v>1184</v>
      </c>
      <c r="Z200" s="2" t="s">
        <v>1185</v>
      </c>
      <c r="AA200" s="2">
        <v>7000</v>
      </c>
      <c r="AB200" s="2">
        <v>200</v>
      </c>
      <c r="AC200" s="2">
        <v>800</v>
      </c>
      <c r="AD200" s="2">
        <v>300</v>
      </c>
      <c r="AE200" s="2">
        <f t="shared" si="27"/>
        <v>7700</v>
      </c>
      <c r="AF200" s="2">
        <v>2500</v>
      </c>
      <c r="AG200" s="4">
        <v>45600</v>
      </c>
      <c r="AH200" s="2">
        <f t="shared" si="28"/>
        <v>5200</v>
      </c>
      <c r="AI200" s="2">
        <v>3000</v>
      </c>
      <c r="AJ200" s="4">
        <v>45630</v>
      </c>
      <c r="AK200" s="2">
        <f t="shared" si="29"/>
        <v>2200</v>
      </c>
      <c r="AL200" s="2">
        <v>1000</v>
      </c>
      <c r="AM200" s="4">
        <v>45661</v>
      </c>
      <c r="AN200" s="2">
        <f t="shared" si="30"/>
        <v>1200</v>
      </c>
      <c r="AO200" s="2" cm="1">
        <f t="array" ref="AO200">_xlfn.IFS(AN200&gt;=5000,3000,AN200&gt;=2000,1000,AN200&gt;=500,500,AN200&lt;500,AN200)</f>
        <v>500</v>
      </c>
      <c r="AP200" s="4">
        <v>45692</v>
      </c>
      <c r="AQ200" s="2">
        <f t="shared" si="31"/>
        <v>700</v>
      </c>
      <c r="AR200" s="2">
        <v>500</v>
      </c>
      <c r="AS200" s="4">
        <v>45720</v>
      </c>
      <c r="AT200" s="2">
        <f t="shared" si="32"/>
        <v>200</v>
      </c>
      <c r="AU200" s="2">
        <v>200</v>
      </c>
      <c r="AV200" s="4">
        <v>45751</v>
      </c>
      <c r="AW200" s="2">
        <v>0</v>
      </c>
      <c r="AX200" s="2">
        <f t="shared" si="33"/>
        <v>7700</v>
      </c>
      <c r="AY200" s="2">
        <f t="shared" si="34"/>
        <v>0</v>
      </c>
      <c r="AZ200" s="2" t="str">
        <f t="shared" si="35"/>
        <v>Paid</v>
      </c>
      <c r="BA200" s="9" t="str" cm="1">
        <f t="array" ref="BA200">_xlfn.IFS(AZ200="Paid","R",AZ200="Unpaid","Q")</f>
        <v>R</v>
      </c>
      <c r="BB200" s="8" t="s">
        <v>2815</v>
      </c>
    </row>
    <row r="201" spans="1:54" x14ac:dyDescent="0.25">
      <c r="A201" s="2">
        <v>200</v>
      </c>
      <c r="B201" s="2">
        <v>200</v>
      </c>
      <c r="C201" s="2" t="s">
        <v>422</v>
      </c>
      <c r="D201" s="2" t="s">
        <v>1857</v>
      </c>
      <c r="E201" s="2" t="s">
        <v>423</v>
      </c>
      <c r="F201" s="4">
        <v>45591</v>
      </c>
      <c r="G201" s="8" t="s">
        <v>13</v>
      </c>
      <c r="H201" s="8" t="s">
        <v>1254</v>
      </c>
      <c r="I201" s="2" t="s">
        <v>14</v>
      </c>
      <c r="J201" s="2" t="s">
        <v>15</v>
      </c>
      <c r="K201" s="2" t="s">
        <v>791</v>
      </c>
      <c r="L201" s="2" t="s">
        <v>1257</v>
      </c>
      <c r="M201" s="2" t="s">
        <v>1261</v>
      </c>
      <c r="N201" s="2" t="s">
        <v>2215</v>
      </c>
      <c r="O201" s="4">
        <v>37423</v>
      </c>
      <c r="P201" s="2" t="s">
        <v>2641</v>
      </c>
      <c r="Q201" s="2" t="s">
        <v>2403</v>
      </c>
      <c r="R201" s="2" t="s">
        <v>2393</v>
      </c>
      <c r="S201" s="2" t="s">
        <v>788</v>
      </c>
      <c r="T201" s="2" t="s">
        <v>1487</v>
      </c>
      <c r="U201" s="2" t="s">
        <v>1285</v>
      </c>
      <c r="V201" s="2">
        <v>9854187364</v>
      </c>
      <c r="W201" s="2" t="s">
        <v>1003</v>
      </c>
      <c r="X201" s="2" t="s">
        <v>1183</v>
      </c>
      <c r="Y201" s="2" t="s">
        <v>1184</v>
      </c>
      <c r="Z201" s="2" t="s">
        <v>1185</v>
      </c>
      <c r="AA201" s="2">
        <v>3000</v>
      </c>
      <c r="AB201" s="2">
        <v>200</v>
      </c>
      <c r="AC201" s="2">
        <v>500</v>
      </c>
      <c r="AD201" s="2">
        <v>0</v>
      </c>
      <c r="AE201" s="2">
        <f t="shared" si="27"/>
        <v>3700</v>
      </c>
      <c r="AF201" s="2">
        <v>1000</v>
      </c>
      <c r="AG201" s="4">
        <v>45601</v>
      </c>
      <c r="AH201" s="2">
        <f t="shared" si="28"/>
        <v>2700</v>
      </c>
      <c r="AI201" s="2">
        <v>1000</v>
      </c>
      <c r="AJ201" s="4">
        <v>45631</v>
      </c>
      <c r="AK201" s="2">
        <f t="shared" si="29"/>
        <v>1700</v>
      </c>
      <c r="AL201" s="2">
        <v>500</v>
      </c>
      <c r="AM201" s="4">
        <v>45662</v>
      </c>
      <c r="AN201" s="2">
        <f t="shared" si="30"/>
        <v>1200</v>
      </c>
      <c r="AO201" s="2" cm="1">
        <f t="array" ref="AO201">_xlfn.IFS(AN201&gt;=5000,3000,AN201&gt;=2000,1000,AN201&gt;=500,500,AN201&lt;500,AN201)</f>
        <v>500</v>
      </c>
      <c r="AP201" s="4">
        <v>45693</v>
      </c>
      <c r="AQ201" s="2">
        <f t="shared" si="31"/>
        <v>700</v>
      </c>
      <c r="AR201" s="2">
        <v>500</v>
      </c>
      <c r="AS201" s="4">
        <v>45721</v>
      </c>
      <c r="AT201" s="2">
        <f t="shared" si="32"/>
        <v>200</v>
      </c>
      <c r="AU201" s="2">
        <v>200</v>
      </c>
      <c r="AV201" s="4">
        <v>45752</v>
      </c>
      <c r="AW201" s="2">
        <v>0</v>
      </c>
      <c r="AX201" s="2">
        <f t="shared" si="33"/>
        <v>3700</v>
      </c>
      <c r="AY201" s="2">
        <f t="shared" si="34"/>
        <v>0</v>
      </c>
      <c r="AZ201" s="2" t="str">
        <f t="shared" si="35"/>
        <v>Paid</v>
      </c>
      <c r="BA201" s="9" t="str" cm="1">
        <f t="array" ref="BA201">_xlfn.IFS(AZ201="Paid","R",AZ201="Unpaid","Q")</f>
        <v>R</v>
      </c>
      <c r="BB201" s="8" t="s">
        <v>2815</v>
      </c>
    </row>
    <row r="202" spans="1:54" x14ac:dyDescent="0.25">
      <c r="A202" s="2">
        <v>201</v>
      </c>
      <c r="B202" s="2">
        <v>201</v>
      </c>
      <c r="C202" s="2" t="s">
        <v>424</v>
      </c>
      <c r="D202" s="2" t="s">
        <v>1858</v>
      </c>
      <c r="E202" s="2" t="s">
        <v>425</v>
      </c>
      <c r="F202" s="4">
        <v>45592</v>
      </c>
      <c r="G202" s="8" t="s">
        <v>45</v>
      </c>
      <c r="H202" s="8" t="s">
        <v>1250</v>
      </c>
      <c r="I202" s="2" t="s">
        <v>14</v>
      </c>
      <c r="J202" s="2" t="s">
        <v>15</v>
      </c>
      <c r="K202" s="2" t="s">
        <v>791</v>
      </c>
      <c r="L202" s="2" t="s">
        <v>1259</v>
      </c>
      <c r="M202" s="2" t="s">
        <v>1262</v>
      </c>
      <c r="N202" s="2" t="s">
        <v>2216</v>
      </c>
      <c r="O202" s="4">
        <v>32549</v>
      </c>
      <c r="P202" s="2" t="s">
        <v>2642</v>
      </c>
      <c r="Q202" s="2" t="s">
        <v>2442</v>
      </c>
      <c r="R202" s="2" t="s">
        <v>2393</v>
      </c>
      <c r="S202" s="2" t="s">
        <v>792</v>
      </c>
      <c r="T202" s="2" t="s">
        <v>1488</v>
      </c>
      <c r="U202" s="2" t="s">
        <v>1270</v>
      </c>
      <c r="V202" s="2">
        <v>8935310432</v>
      </c>
      <c r="W202" s="2" t="s">
        <v>1004</v>
      </c>
      <c r="X202" s="2" t="s">
        <v>790</v>
      </c>
      <c r="Y202" s="2" t="s">
        <v>1184</v>
      </c>
      <c r="Z202" s="2" t="s">
        <v>1185</v>
      </c>
      <c r="AA202" s="2">
        <v>2000</v>
      </c>
      <c r="AB202" s="2">
        <v>200</v>
      </c>
      <c r="AC202" s="2">
        <v>300</v>
      </c>
      <c r="AD202" s="2">
        <v>0</v>
      </c>
      <c r="AE202" s="2">
        <f t="shared" si="27"/>
        <v>2500</v>
      </c>
      <c r="AF202" s="2">
        <v>1000</v>
      </c>
      <c r="AG202" s="4">
        <v>45602</v>
      </c>
      <c r="AH202" s="2">
        <f t="shared" si="28"/>
        <v>1500</v>
      </c>
      <c r="AI202" s="2">
        <v>500</v>
      </c>
      <c r="AJ202" s="4">
        <v>45632</v>
      </c>
      <c r="AK202" s="2">
        <f t="shared" si="29"/>
        <v>1000</v>
      </c>
      <c r="AL202" s="2">
        <v>500</v>
      </c>
      <c r="AM202" s="4">
        <v>45663</v>
      </c>
      <c r="AN202" s="2">
        <f t="shared" si="30"/>
        <v>500</v>
      </c>
      <c r="AO202" s="2" cm="1">
        <f t="array" ref="AO202">_xlfn.IFS(AN202&gt;=5000,3000,AN202&gt;=2000,1000,AN202&gt;=500,500,AN202&lt;500,AN202)</f>
        <v>500</v>
      </c>
      <c r="AP202" s="4">
        <v>45694</v>
      </c>
      <c r="AQ202" s="2">
        <f t="shared" si="31"/>
        <v>0</v>
      </c>
      <c r="AR202" s="2" t="s">
        <v>1200</v>
      </c>
      <c r="AS202" s="4" t="s">
        <v>1200</v>
      </c>
      <c r="AT202" s="2" t="str">
        <f t="shared" si="32"/>
        <v/>
      </c>
      <c r="AU202" s="2" t="s">
        <v>1200</v>
      </c>
      <c r="AV202" s="4" t="s">
        <v>1200</v>
      </c>
      <c r="AW202" s="2" t="s">
        <v>1200</v>
      </c>
      <c r="AX202" s="2">
        <f t="shared" si="33"/>
        <v>2500</v>
      </c>
      <c r="AY202" s="2">
        <f t="shared" si="34"/>
        <v>0</v>
      </c>
      <c r="AZ202" s="2" t="str">
        <f t="shared" si="35"/>
        <v>Paid</v>
      </c>
      <c r="BA202" s="9" t="str" cm="1">
        <f t="array" ref="BA202">_xlfn.IFS(AZ202="Paid","R",AZ202="Unpaid","Q")</f>
        <v>R</v>
      </c>
      <c r="BB202" s="8" t="s">
        <v>2815</v>
      </c>
    </row>
    <row r="203" spans="1:54" x14ac:dyDescent="0.25">
      <c r="A203" s="2">
        <v>202</v>
      </c>
      <c r="B203" s="2">
        <v>202</v>
      </c>
      <c r="C203" s="2" t="s">
        <v>426</v>
      </c>
      <c r="D203" s="2" t="s">
        <v>1859</v>
      </c>
      <c r="E203" s="2" t="s">
        <v>427</v>
      </c>
      <c r="F203" s="4">
        <v>45593</v>
      </c>
      <c r="G203" s="8" t="s">
        <v>8</v>
      </c>
      <c r="H203" s="8" t="s">
        <v>1242</v>
      </c>
      <c r="I203" s="2" t="s">
        <v>9</v>
      </c>
      <c r="J203" s="2" t="s">
        <v>10</v>
      </c>
      <c r="K203" s="2" t="s">
        <v>787</v>
      </c>
      <c r="L203" s="2" t="s">
        <v>1258</v>
      </c>
      <c r="M203" s="2" t="s">
        <v>1264</v>
      </c>
      <c r="N203" s="2" t="s">
        <v>2217</v>
      </c>
      <c r="O203" s="4">
        <v>32248</v>
      </c>
      <c r="P203" s="2" t="s">
        <v>2643</v>
      </c>
      <c r="Q203" s="2" t="s">
        <v>2496</v>
      </c>
      <c r="R203" s="2" t="s">
        <v>2393</v>
      </c>
      <c r="S203" s="2" t="s">
        <v>788</v>
      </c>
      <c r="T203" s="2" t="s">
        <v>1489</v>
      </c>
      <c r="U203" s="2" t="s">
        <v>1270</v>
      </c>
      <c r="V203" s="2">
        <v>8984789623</v>
      </c>
      <c r="W203" s="2" t="s">
        <v>1005</v>
      </c>
      <c r="X203" s="2" t="s">
        <v>837</v>
      </c>
      <c r="Y203" s="2" t="s">
        <v>1184</v>
      </c>
      <c r="Z203" s="2" t="s">
        <v>1185</v>
      </c>
      <c r="AA203" s="2">
        <v>12500</v>
      </c>
      <c r="AB203" s="2">
        <v>200</v>
      </c>
      <c r="AC203" s="2">
        <v>1200</v>
      </c>
      <c r="AD203" s="2">
        <v>300</v>
      </c>
      <c r="AE203" s="2">
        <f t="shared" si="27"/>
        <v>13600</v>
      </c>
      <c r="AF203" s="2">
        <v>5000</v>
      </c>
      <c r="AG203" s="4">
        <v>45603</v>
      </c>
      <c r="AH203" s="2">
        <f t="shared" si="28"/>
        <v>8600</v>
      </c>
      <c r="AI203" s="2">
        <v>3000</v>
      </c>
      <c r="AJ203" s="4">
        <v>45633</v>
      </c>
      <c r="AK203" s="2">
        <f t="shared" si="29"/>
        <v>5600</v>
      </c>
      <c r="AL203" s="2">
        <v>3000</v>
      </c>
      <c r="AM203" s="4">
        <v>45664</v>
      </c>
      <c r="AN203" s="2">
        <f t="shared" si="30"/>
        <v>2600</v>
      </c>
      <c r="AO203" s="2" cm="1">
        <f t="array" ref="AO203">_xlfn.IFS(AN203&gt;=5000,3000,AN203&gt;=2000,1000,AN203&gt;=500,500,AN203&lt;500,AN203)</f>
        <v>1000</v>
      </c>
      <c r="AP203" s="4">
        <v>45695</v>
      </c>
      <c r="AQ203" s="2">
        <f t="shared" si="31"/>
        <v>1600</v>
      </c>
      <c r="AR203" s="2">
        <v>1000</v>
      </c>
      <c r="AS203" s="4">
        <v>45723</v>
      </c>
      <c r="AT203" s="2">
        <f t="shared" si="32"/>
        <v>600</v>
      </c>
      <c r="AU203" s="2">
        <v>600</v>
      </c>
      <c r="AV203" s="4">
        <v>45754</v>
      </c>
      <c r="AW203" s="2">
        <v>0</v>
      </c>
      <c r="AX203" s="2">
        <f t="shared" si="33"/>
        <v>13600</v>
      </c>
      <c r="AY203" s="2">
        <f t="shared" si="34"/>
        <v>0</v>
      </c>
      <c r="AZ203" s="2" t="str">
        <f t="shared" si="35"/>
        <v>Paid</v>
      </c>
      <c r="BA203" s="9" t="str" cm="1">
        <f t="array" ref="BA203">_xlfn.IFS(AZ203="Paid","R",AZ203="Unpaid","Q")</f>
        <v>R</v>
      </c>
      <c r="BB203" s="8" t="s">
        <v>2815</v>
      </c>
    </row>
    <row r="204" spans="1:54" x14ac:dyDescent="0.25">
      <c r="A204" s="2">
        <v>203</v>
      </c>
      <c r="B204" s="2">
        <v>203</v>
      </c>
      <c r="C204" s="2" t="s">
        <v>428</v>
      </c>
      <c r="D204" s="2" t="s">
        <v>1860</v>
      </c>
      <c r="E204" s="2" t="s">
        <v>429</v>
      </c>
      <c r="F204" s="4">
        <v>45598</v>
      </c>
      <c r="G204" s="8" t="s">
        <v>26</v>
      </c>
      <c r="H204" s="8" t="s">
        <v>1243</v>
      </c>
      <c r="I204" s="2" t="s">
        <v>9</v>
      </c>
      <c r="J204" s="2" t="s">
        <v>10</v>
      </c>
      <c r="K204" s="2" t="s">
        <v>787</v>
      </c>
      <c r="L204" s="2" t="s">
        <v>1256</v>
      </c>
      <c r="M204" s="2" t="s">
        <v>1263</v>
      </c>
      <c r="N204" s="2" t="s">
        <v>2218</v>
      </c>
      <c r="O204" s="4">
        <v>34779</v>
      </c>
      <c r="P204" s="2" t="s">
        <v>2644</v>
      </c>
      <c r="Q204" s="2" t="s">
        <v>2558</v>
      </c>
      <c r="R204" s="2" t="s">
        <v>2393</v>
      </c>
      <c r="S204" s="2" t="s">
        <v>788</v>
      </c>
      <c r="T204" s="2" t="s">
        <v>1490</v>
      </c>
      <c r="U204" s="2" t="s">
        <v>1272</v>
      </c>
      <c r="V204" s="2">
        <v>8280966036</v>
      </c>
      <c r="W204" s="2" t="s">
        <v>1006</v>
      </c>
      <c r="X204" s="2" t="s">
        <v>790</v>
      </c>
      <c r="Y204" s="2" t="s">
        <v>1184</v>
      </c>
      <c r="Z204" s="2" t="s">
        <v>1185</v>
      </c>
      <c r="AA204" s="2">
        <v>15000</v>
      </c>
      <c r="AB204" s="2">
        <v>200</v>
      </c>
      <c r="AC204" s="2">
        <v>1200</v>
      </c>
      <c r="AD204" s="2">
        <v>500</v>
      </c>
      <c r="AE204" s="2">
        <f t="shared" si="27"/>
        <v>15900</v>
      </c>
      <c r="AF204" s="2">
        <v>5000</v>
      </c>
      <c r="AG204" s="4">
        <v>45608</v>
      </c>
      <c r="AH204" s="2">
        <f t="shared" si="28"/>
        <v>10900</v>
      </c>
      <c r="AI204" s="2">
        <v>3000</v>
      </c>
      <c r="AJ204" s="4">
        <v>45638</v>
      </c>
      <c r="AK204" s="2">
        <f t="shared" si="29"/>
        <v>7900</v>
      </c>
      <c r="AL204" s="2">
        <v>3000</v>
      </c>
      <c r="AM204" s="4">
        <v>45669</v>
      </c>
      <c r="AN204" s="2">
        <f t="shared" si="30"/>
        <v>4900</v>
      </c>
      <c r="AO204" s="2" cm="1">
        <f t="array" ref="AO204">_xlfn.IFS(AN204&gt;=5000,3000,AN204&gt;=2000,1000,AN204&gt;=500,500,AN204&lt;500,AN204)</f>
        <v>1000</v>
      </c>
      <c r="AP204" s="4">
        <v>45700</v>
      </c>
      <c r="AQ204" s="2">
        <f t="shared" si="31"/>
        <v>3900</v>
      </c>
      <c r="AR204" s="2">
        <v>2000</v>
      </c>
      <c r="AS204" s="4">
        <v>45728</v>
      </c>
      <c r="AT204" s="2">
        <f t="shared" si="32"/>
        <v>1900</v>
      </c>
      <c r="AU204" s="2">
        <v>1900</v>
      </c>
      <c r="AV204" s="4">
        <v>45759</v>
      </c>
      <c r="AW204" s="2">
        <v>0</v>
      </c>
      <c r="AX204" s="2">
        <f t="shared" si="33"/>
        <v>15900</v>
      </c>
      <c r="AY204" s="2">
        <f t="shared" si="34"/>
        <v>0</v>
      </c>
      <c r="AZ204" s="2" t="str">
        <f t="shared" si="35"/>
        <v>Paid</v>
      </c>
      <c r="BA204" s="9" t="str" cm="1">
        <f t="array" ref="BA204">_xlfn.IFS(AZ204="Paid","R",AZ204="Unpaid","Q")</f>
        <v>R</v>
      </c>
      <c r="BB204" s="8" t="s">
        <v>2815</v>
      </c>
    </row>
    <row r="205" spans="1:54" x14ac:dyDescent="0.25">
      <c r="A205" s="2">
        <v>204</v>
      </c>
      <c r="B205" s="2">
        <v>204</v>
      </c>
      <c r="C205" s="2" t="s">
        <v>430</v>
      </c>
      <c r="D205" s="2" t="s">
        <v>1861</v>
      </c>
      <c r="E205" s="2" t="s">
        <v>431</v>
      </c>
      <c r="F205" s="4">
        <v>45599</v>
      </c>
      <c r="G205" s="8" t="s">
        <v>8</v>
      </c>
      <c r="H205" s="8" t="s">
        <v>1242</v>
      </c>
      <c r="I205" s="2" t="s">
        <v>9</v>
      </c>
      <c r="J205" s="2" t="s">
        <v>10</v>
      </c>
      <c r="K205" s="2" t="s">
        <v>787</v>
      </c>
      <c r="L205" s="2" t="s">
        <v>1258</v>
      </c>
      <c r="M205" s="2" t="s">
        <v>1264</v>
      </c>
      <c r="N205" s="2" t="s">
        <v>2219</v>
      </c>
      <c r="O205" s="4">
        <v>40371</v>
      </c>
      <c r="P205" s="2" t="s">
        <v>2645</v>
      </c>
      <c r="Q205" s="2" t="s">
        <v>2395</v>
      </c>
      <c r="R205" s="2" t="s">
        <v>2393</v>
      </c>
      <c r="S205" s="2" t="s">
        <v>788</v>
      </c>
      <c r="T205" s="2" t="s">
        <v>1491</v>
      </c>
      <c r="U205" s="2" t="s">
        <v>1286</v>
      </c>
      <c r="V205" s="2">
        <v>9260831146</v>
      </c>
      <c r="W205" s="2" t="s">
        <v>1007</v>
      </c>
      <c r="X205" s="2" t="s">
        <v>822</v>
      </c>
      <c r="Y205" s="2" t="s">
        <v>1184</v>
      </c>
      <c r="Z205" s="2" t="s">
        <v>1185</v>
      </c>
      <c r="AA205" s="2">
        <v>12500</v>
      </c>
      <c r="AB205" s="2">
        <v>200</v>
      </c>
      <c r="AC205" s="2">
        <v>1200</v>
      </c>
      <c r="AD205" s="2">
        <v>500</v>
      </c>
      <c r="AE205" s="2">
        <f t="shared" si="27"/>
        <v>13400</v>
      </c>
      <c r="AF205" s="2">
        <v>5000</v>
      </c>
      <c r="AG205" s="4">
        <v>45609</v>
      </c>
      <c r="AH205" s="2">
        <f t="shared" si="28"/>
        <v>8400</v>
      </c>
      <c r="AI205" s="2">
        <v>3000</v>
      </c>
      <c r="AJ205" s="4">
        <v>45639</v>
      </c>
      <c r="AK205" s="2">
        <f t="shared" si="29"/>
        <v>5400</v>
      </c>
      <c r="AL205" s="2">
        <v>3000</v>
      </c>
      <c r="AM205" s="4">
        <v>45670</v>
      </c>
      <c r="AN205" s="2">
        <f t="shared" si="30"/>
        <v>2400</v>
      </c>
      <c r="AO205" s="2" cm="1">
        <f t="array" ref="AO205">_xlfn.IFS(AN205&gt;=5000,3000,AN205&gt;=2000,1000,AN205&gt;=500,500,AN205&lt;500,AN205)</f>
        <v>1000</v>
      </c>
      <c r="AP205" s="4">
        <v>45701</v>
      </c>
      <c r="AQ205" s="2">
        <f t="shared" si="31"/>
        <v>1400</v>
      </c>
      <c r="AR205" s="2">
        <v>1000</v>
      </c>
      <c r="AS205" s="4">
        <v>45729</v>
      </c>
      <c r="AT205" s="2">
        <f t="shared" si="32"/>
        <v>400</v>
      </c>
      <c r="AU205" s="2">
        <v>400</v>
      </c>
      <c r="AV205" s="4">
        <v>45760</v>
      </c>
      <c r="AW205" s="2">
        <v>0</v>
      </c>
      <c r="AX205" s="2">
        <f t="shared" si="33"/>
        <v>13400</v>
      </c>
      <c r="AY205" s="2">
        <f t="shared" si="34"/>
        <v>0</v>
      </c>
      <c r="AZ205" s="2" t="str">
        <f t="shared" si="35"/>
        <v>Paid</v>
      </c>
      <c r="BA205" s="9" t="str" cm="1">
        <f t="array" ref="BA205">_xlfn.IFS(AZ205="Paid","R",AZ205="Unpaid","Q")</f>
        <v>R</v>
      </c>
      <c r="BB205" s="8" t="s">
        <v>2815</v>
      </c>
    </row>
    <row r="206" spans="1:54" x14ac:dyDescent="0.25">
      <c r="A206" s="2">
        <v>205</v>
      </c>
      <c r="B206" s="2">
        <v>205</v>
      </c>
      <c r="C206" s="2" t="s">
        <v>432</v>
      </c>
      <c r="D206" s="2" t="s">
        <v>1862</v>
      </c>
      <c r="E206" s="2" t="s">
        <v>433</v>
      </c>
      <c r="F206" s="4">
        <v>45601</v>
      </c>
      <c r="G206" s="8" t="s">
        <v>65</v>
      </c>
      <c r="H206" s="8" t="s">
        <v>65</v>
      </c>
      <c r="I206" s="2" t="s">
        <v>14</v>
      </c>
      <c r="J206" s="2" t="s">
        <v>15</v>
      </c>
      <c r="K206" s="2" t="s">
        <v>791</v>
      </c>
      <c r="L206" s="2" t="s">
        <v>1258</v>
      </c>
      <c r="M206" s="2" t="s">
        <v>1264</v>
      </c>
      <c r="N206" s="2" t="s">
        <v>2220</v>
      </c>
      <c r="O206" s="4">
        <v>40093</v>
      </c>
      <c r="P206" s="2" t="s">
        <v>2646</v>
      </c>
      <c r="Q206" s="2" t="s">
        <v>2586</v>
      </c>
      <c r="R206" s="2" t="s">
        <v>2393</v>
      </c>
      <c r="S206" s="2" t="s">
        <v>820</v>
      </c>
      <c r="T206" s="2" t="s">
        <v>1492</v>
      </c>
      <c r="U206" s="2" t="s">
        <v>1277</v>
      </c>
      <c r="V206" s="2">
        <v>9786391240</v>
      </c>
      <c r="W206" s="2" t="s">
        <v>1008</v>
      </c>
      <c r="X206" s="2" t="s">
        <v>837</v>
      </c>
      <c r="Y206" s="2" t="s">
        <v>1184</v>
      </c>
      <c r="Z206" s="2" t="s">
        <v>1185</v>
      </c>
      <c r="AA206" s="2">
        <v>2500</v>
      </c>
      <c r="AB206" s="2">
        <v>200</v>
      </c>
      <c r="AC206" s="2">
        <v>500</v>
      </c>
      <c r="AD206" s="2">
        <v>0</v>
      </c>
      <c r="AE206" s="2">
        <f t="shared" si="27"/>
        <v>3200</v>
      </c>
      <c r="AF206" s="2">
        <v>1000</v>
      </c>
      <c r="AG206" s="4">
        <v>45611</v>
      </c>
      <c r="AH206" s="2">
        <f t="shared" si="28"/>
        <v>2200</v>
      </c>
      <c r="AI206" s="2">
        <v>1000</v>
      </c>
      <c r="AJ206" s="4">
        <v>45641</v>
      </c>
      <c r="AK206" s="2">
        <f t="shared" si="29"/>
        <v>1200</v>
      </c>
      <c r="AL206" s="2">
        <v>500</v>
      </c>
      <c r="AM206" s="4">
        <v>45672</v>
      </c>
      <c r="AN206" s="2">
        <f t="shared" si="30"/>
        <v>700</v>
      </c>
      <c r="AO206" s="2" cm="1">
        <f t="array" ref="AO206">_xlfn.IFS(AN206&gt;=5000,3000,AN206&gt;=2000,1000,AN206&gt;=500,500,AN206&lt;500,AN206)</f>
        <v>500</v>
      </c>
      <c r="AP206" s="4">
        <v>45703</v>
      </c>
      <c r="AQ206" s="2">
        <f t="shared" si="31"/>
        <v>200</v>
      </c>
      <c r="AR206" s="2">
        <v>200</v>
      </c>
      <c r="AS206" s="4">
        <v>45731</v>
      </c>
      <c r="AT206" s="2">
        <f t="shared" si="32"/>
        <v>0</v>
      </c>
      <c r="AU206" s="2" t="s">
        <v>1200</v>
      </c>
      <c r="AV206" s="4" t="s">
        <v>1200</v>
      </c>
      <c r="AW206" s="2" t="s">
        <v>1200</v>
      </c>
      <c r="AX206" s="2">
        <f t="shared" si="33"/>
        <v>3200</v>
      </c>
      <c r="AY206" s="2">
        <f t="shared" si="34"/>
        <v>0</v>
      </c>
      <c r="AZ206" s="2" t="str">
        <f t="shared" si="35"/>
        <v>Paid</v>
      </c>
      <c r="BA206" s="9" t="str" cm="1">
        <f t="array" ref="BA206">_xlfn.IFS(AZ206="Paid","R",AZ206="Unpaid","Q")</f>
        <v>R</v>
      </c>
      <c r="BB206" s="8" t="s">
        <v>2815</v>
      </c>
    </row>
    <row r="207" spans="1:54" x14ac:dyDescent="0.25">
      <c r="A207" s="2">
        <v>206</v>
      </c>
      <c r="B207" s="2">
        <v>206</v>
      </c>
      <c r="C207" s="2" t="s">
        <v>434</v>
      </c>
      <c r="D207" s="2" t="s">
        <v>1805</v>
      </c>
      <c r="E207" s="2" t="s">
        <v>435</v>
      </c>
      <c r="F207" s="4">
        <v>45603</v>
      </c>
      <c r="G207" s="8" t="s">
        <v>21</v>
      </c>
      <c r="H207" s="8" t="s">
        <v>1252</v>
      </c>
      <c r="I207" s="2" t="s">
        <v>14</v>
      </c>
      <c r="J207" s="2" t="s">
        <v>15</v>
      </c>
      <c r="K207" s="2" t="s">
        <v>791</v>
      </c>
      <c r="L207" s="2" t="s">
        <v>1260</v>
      </c>
      <c r="M207" s="2" t="s">
        <v>1261</v>
      </c>
      <c r="N207" s="2" t="s">
        <v>2221</v>
      </c>
      <c r="O207" s="4">
        <v>36069</v>
      </c>
      <c r="P207" s="2" t="s">
        <v>2647</v>
      </c>
      <c r="Q207" s="2" t="s">
        <v>2442</v>
      </c>
      <c r="R207" s="2" t="s">
        <v>2393</v>
      </c>
      <c r="S207" s="2" t="s">
        <v>788</v>
      </c>
      <c r="T207" s="2" t="s">
        <v>1493</v>
      </c>
      <c r="U207" s="2" t="s">
        <v>1284</v>
      </c>
      <c r="V207" s="2">
        <v>8265960529</v>
      </c>
      <c r="W207" s="2" t="s">
        <v>1009</v>
      </c>
      <c r="X207" s="2" t="s">
        <v>809</v>
      </c>
      <c r="Y207" s="2" t="s">
        <v>1184</v>
      </c>
      <c r="Z207" s="2" t="s">
        <v>1185</v>
      </c>
      <c r="AA207" s="2">
        <v>3000</v>
      </c>
      <c r="AB207" s="2">
        <v>200</v>
      </c>
      <c r="AC207" s="2">
        <v>300</v>
      </c>
      <c r="AD207" s="2">
        <v>300</v>
      </c>
      <c r="AE207" s="2">
        <f t="shared" si="27"/>
        <v>3200</v>
      </c>
      <c r="AF207" s="2">
        <v>1000</v>
      </c>
      <c r="AG207" s="4">
        <v>45613</v>
      </c>
      <c r="AH207" s="2">
        <f t="shared" si="28"/>
        <v>2200</v>
      </c>
      <c r="AI207" s="2">
        <v>1000</v>
      </c>
      <c r="AJ207" s="4">
        <v>45643</v>
      </c>
      <c r="AK207" s="2">
        <f t="shared" si="29"/>
        <v>1200</v>
      </c>
      <c r="AL207" s="2">
        <v>500</v>
      </c>
      <c r="AM207" s="4">
        <v>45674</v>
      </c>
      <c r="AN207" s="2">
        <f t="shared" si="30"/>
        <v>700</v>
      </c>
      <c r="AO207" s="2" cm="1">
        <f t="array" ref="AO207">_xlfn.IFS(AN207&gt;=5000,3000,AN207&gt;=2000,1000,AN207&gt;=500,500,AN207&lt;500,AN207)</f>
        <v>500</v>
      </c>
      <c r="AP207" s="4">
        <v>45705</v>
      </c>
      <c r="AQ207" s="2">
        <f t="shared" si="31"/>
        <v>200</v>
      </c>
      <c r="AR207" s="2">
        <v>200</v>
      </c>
      <c r="AS207" s="4">
        <v>45733</v>
      </c>
      <c r="AT207" s="2">
        <f t="shared" si="32"/>
        <v>0</v>
      </c>
      <c r="AU207" s="2" t="s">
        <v>1200</v>
      </c>
      <c r="AV207" s="4" t="s">
        <v>1200</v>
      </c>
      <c r="AW207" s="2" t="s">
        <v>1200</v>
      </c>
      <c r="AX207" s="2">
        <f t="shared" si="33"/>
        <v>3200</v>
      </c>
      <c r="AY207" s="2">
        <f t="shared" si="34"/>
        <v>0</v>
      </c>
      <c r="AZ207" s="2" t="str">
        <f t="shared" si="35"/>
        <v>Paid</v>
      </c>
      <c r="BA207" s="9" t="str" cm="1">
        <f t="array" ref="BA207">_xlfn.IFS(AZ207="Paid","R",AZ207="Unpaid","Q")</f>
        <v>R</v>
      </c>
      <c r="BB207" s="8" t="s">
        <v>2815</v>
      </c>
    </row>
    <row r="208" spans="1:54" x14ac:dyDescent="0.25">
      <c r="A208" s="2">
        <v>207</v>
      </c>
      <c r="B208" s="2">
        <v>207</v>
      </c>
      <c r="C208" s="2" t="s">
        <v>436</v>
      </c>
      <c r="D208" s="2" t="s">
        <v>1863</v>
      </c>
      <c r="E208" s="2" t="s">
        <v>437</v>
      </c>
      <c r="F208" s="4">
        <v>45603</v>
      </c>
      <c r="G208" s="8" t="s">
        <v>18</v>
      </c>
      <c r="H208" s="8" t="s">
        <v>1253</v>
      </c>
      <c r="I208" s="2" t="s">
        <v>9</v>
      </c>
      <c r="J208" s="2" t="s">
        <v>15</v>
      </c>
      <c r="K208" s="2" t="s">
        <v>795</v>
      </c>
      <c r="L208" s="2" t="s">
        <v>1257</v>
      </c>
      <c r="M208" s="2" t="s">
        <v>1261</v>
      </c>
      <c r="N208" s="2" t="s">
        <v>2222</v>
      </c>
      <c r="O208" s="4">
        <v>39978</v>
      </c>
      <c r="P208" s="2" t="s">
        <v>2648</v>
      </c>
      <c r="Q208" s="2" t="s">
        <v>2452</v>
      </c>
      <c r="R208" s="2" t="s">
        <v>2393</v>
      </c>
      <c r="S208" s="2" t="s">
        <v>788</v>
      </c>
      <c r="T208" s="2" t="s">
        <v>1494</v>
      </c>
      <c r="U208" s="2" t="s">
        <v>1275</v>
      </c>
      <c r="V208" s="2">
        <v>7655243985</v>
      </c>
      <c r="W208" s="2" t="s">
        <v>1010</v>
      </c>
      <c r="X208" s="2" t="s">
        <v>1183</v>
      </c>
      <c r="Y208" s="2" t="s">
        <v>1184</v>
      </c>
      <c r="Z208" s="2" t="s">
        <v>1185</v>
      </c>
      <c r="AA208" s="2">
        <v>7000</v>
      </c>
      <c r="AB208" s="2">
        <v>200</v>
      </c>
      <c r="AC208" s="2">
        <v>800</v>
      </c>
      <c r="AD208" s="2">
        <v>300</v>
      </c>
      <c r="AE208" s="2">
        <f t="shared" si="27"/>
        <v>7700</v>
      </c>
      <c r="AF208" s="2">
        <v>2500</v>
      </c>
      <c r="AG208" s="4">
        <v>45613</v>
      </c>
      <c r="AH208" s="2">
        <f t="shared" si="28"/>
        <v>5200</v>
      </c>
      <c r="AI208" s="2">
        <v>3000</v>
      </c>
      <c r="AJ208" s="4">
        <v>45643</v>
      </c>
      <c r="AK208" s="2">
        <f t="shared" si="29"/>
        <v>2200</v>
      </c>
      <c r="AL208" s="2">
        <v>1000</v>
      </c>
      <c r="AM208" s="4">
        <v>45674</v>
      </c>
      <c r="AN208" s="2">
        <f t="shared" si="30"/>
        <v>1200</v>
      </c>
      <c r="AO208" s="2" cm="1">
        <f t="array" ref="AO208">_xlfn.IFS(AN208&gt;=5000,3000,AN208&gt;=2000,1000,AN208&gt;=500,500,AN208&lt;500,AN208)</f>
        <v>500</v>
      </c>
      <c r="AP208" s="4">
        <v>45705</v>
      </c>
      <c r="AQ208" s="2">
        <f t="shared" si="31"/>
        <v>700</v>
      </c>
      <c r="AR208" s="2">
        <v>500</v>
      </c>
      <c r="AS208" s="4">
        <v>45733</v>
      </c>
      <c r="AT208" s="2">
        <f t="shared" si="32"/>
        <v>200</v>
      </c>
      <c r="AU208" s="2">
        <v>200</v>
      </c>
      <c r="AV208" s="4">
        <v>45764</v>
      </c>
      <c r="AW208" s="2">
        <v>0</v>
      </c>
      <c r="AX208" s="2">
        <f t="shared" si="33"/>
        <v>7700</v>
      </c>
      <c r="AY208" s="2">
        <f t="shared" si="34"/>
        <v>0</v>
      </c>
      <c r="AZ208" s="2" t="str">
        <f t="shared" si="35"/>
        <v>Paid</v>
      </c>
      <c r="BA208" s="9" t="str" cm="1">
        <f t="array" ref="BA208">_xlfn.IFS(AZ208="Paid","R",AZ208="Unpaid","Q")</f>
        <v>R</v>
      </c>
      <c r="BB208" s="8" t="s">
        <v>2815</v>
      </c>
    </row>
    <row r="209" spans="1:54" x14ac:dyDescent="0.25">
      <c r="A209" s="2">
        <v>208</v>
      </c>
      <c r="B209" s="2">
        <v>208</v>
      </c>
      <c r="C209" s="2" t="s">
        <v>438</v>
      </c>
      <c r="D209" s="2" t="s">
        <v>1864</v>
      </c>
      <c r="E209" s="2" t="s">
        <v>439</v>
      </c>
      <c r="F209" s="4">
        <v>45604</v>
      </c>
      <c r="G209" s="8" t="s">
        <v>95</v>
      </c>
      <c r="H209" s="8" t="s">
        <v>1245</v>
      </c>
      <c r="I209" s="2" t="s">
        <v>14</v>
      </c>
      <c r="J209" s="2" t="s">
        <v>15</v>
      </c>
      <c r="K209" s="2" t="s">
        <v>791</v>
      </c>
      <c r="L209" s="2" t="s">
        <v>1256</v>
      </c>
      <c r="M209" s="2" t="s">
        <v>1263</v>
      </c>
      <c r="N209" s="2" t="s">
        <v>2223</v>
      </c>
      <c r="O209" s="4">
        <v>36518</v>
      </c>
      <c r="P209" s="2" t="s">
        <v>2649</v>
      </c>
      <c r="Q209" s="2" t="s">
        <v>2444</v>
      </c>
      <c r="R209" s="2" t="s">
        <v>2393</v>
      </c>
      <c r="S209" s="2" t="s">
        <v>788</v>
      </c>
      <c r="T209" s="2" t="s">
        <v>1495</v>
      </c>
      <c r="U209" s="2" t="s">
        <v>1272</v>
      </c>
      <c r="V209" s="2">
        <v>7733251379</v>
      </c>
      <c r="W209" s="2" t="s">
        <v>1011</v>
      </c>
      <c r="X209" s="2" t="s">
        <v>1183</v>
      </c>
      <c r="Y209" s="2" t="s">
        <v>1184</v>
      </c>
      <c r="Z209" s="2" t="s">
        <v>1185</v>
      </c>
      <c r="AA209" s="2">
        <v>3500</v>
      </c>
      <c r="AB209" s="2">
        <v>200</v>
      </c>
      <c r="AC209" s="2">
        <v>500</v>
      </c>
      <c r="AD209" s="2">
        <v>200</v>
      </c>
      <c r="AE209" s="2">
        <f t="shared" si="27"/>
        <v>4000</v>
      </c>
      <c r="AF209" s="2">
        <v>1000</v>
      </c>
      <c r="AG209" s="4">
        <v>45614</v>
      </c>
      <c r="AH209" s="2">
        <f t="shared" si="28"/>
        <v>3000</v>
      </c>
      <c r="AI209" s="2">
        <v>1000</v>
      </c>
      <c r="AJ209" s="4">
        <v>45644</v>
      </c>
      <c r="AK209" s="2">
        <f t="shared" si="29"/>
        <v>2000</v>
      </c>
      <c r="AL209" s="2">
        <v>1000</v>
      </c>
      <c r="AM209" s="4">
        <v>45675</v>
      </c>
      <c r="AN209" s="2">
        <f t="shared" si="30"/>
        <v>1000</v>
      </c>
      <c r="AO209" s="2" cm="1">
        <f t="array" ref="AO209">_xlfn.IFS(AN209&gt;=5000,3000,AN209&gt;=2000,1000,AN209&gt;=500,500,AN209&lt;500,AN209)</f>
        <v>500</v>
      </c>
      <c r="AP209" s="4">
        <v>45706</v>
      </c>
      <c r="AQ209" s="2">
        <f t="shared" si="31"/>
        <v>500</v>
      </c>
      <c r="AR209" s="2">
        <v>500</v>
      </c>
      <c r="AS209" s="4">
        <v>45734</v>
      </c>
      <c r="AT209" s="2">
        <f t="shared" si="32"/>
        <v>0</v>
      </c>
      <c r="AU209" s="2" t="s">
        <v>1200</v>
      </c>
      <c r="AV209" s="4" t="s">
        <v>1200</v>
      </c>
      <c r="AW209" s="2" t="s">
        <v>1200</v>
      </c>
      <c r="AX209" s="2">
        <f t="shared" si="33"/>
        <v>4000</v>
      </c>
      <c r="AY209" s="2">
        <f t="shared" si="34"/>
        <v>0</v>
      </c>
      <c r="AZ209" s="2" t="str">
        <f t="shared" si="35"/>
        <v>Paid</v>
      </c>
      <c r="BA209" s="9" t="str" cm="1">
        <f t="array" ref="BA209">_xlfn.IFS(AZ209="Paid","R",AZ209="Unpaid","Q")</f>
        <v>R</v>
      </c>
      <c r="BB209" s="8" t="s">
        <v>2815</v>
      </c>
    </row>
    <row r="210" spans="1:54" x14ac:dyDescent="0.25">
      <c r="A210" s="2">
        <v>209</v>
      </c>
      <c r="B210" s="2">
        <v>209</v>
      </c>
      <c r="C210" s="2" t="s">
        <v>440</v>
      </c>
      <c r="D210" s="2" t="s">
        <v>1865</v>
      </c>
      <c r="E210" s="2" t="s">
        <v>441</v>
      </c>
      <c r="F210" s="4">
        <v>45604</v>
      </c>
      <c r="G210" s="8" t="s">
        <v>13</v>
      </c>
      <c r="H210" s="8" t="s">
        <v>1254</v>
      </c>
      <c r="I210" s="2" t="s">
        <v>14</v>
      </c>
      <c r="J210" s="2" t="s">
        <v>15</v>
      </c>
      <c r="K210" s="2" t="s">
        <v>791</v>
      </c>
      <c r="L210" s="2" t="s">
        <v>1260</v>
      </c>
      <c r="M210" s="2" t="s">
        <v>1261</v>
      </c>
      <c r="N210" s="2" t="s">
        <v>2224</v>
      </c>
      <c r="O210" s="4">
        <v>34248</v>
      </c>
      <c r="P210" s="2" t="s">
        <v>2650</v>
      </c>
      <c r="Q210" s="2" t="s">
        <v>2416</v>
      </c>
      <c r="R210" s="2" t="s">
        <v>2393</v>
      </c>
      <c r="S210" s="2" t="s">
        <v>792</v>
      </c>
      <c r="T210" s="2" t="s">
        <v>1496</v>
      </c>
      <c r="U210" s="2" t="s">
        <v>1275</v>
      </c>
      <c r="V210" s="2">
        <v>6794642214</v>
      </c>
      <c r="W210" s="2" t="s">
        <v>1012</v>
      </c>
      <c r="X210" s="2" t="s">
        <v>801</v>
      </c>
      <c r="Y210" s="2" t="s">
        <v>1184</v>
      </c>
      <c r="Z210" s="2" t="s">
        <v>1185</v>
      </c>
      <c r="AA210" s="2">
        <v>3000</v>
      </c>
      <c r="AB210" s="2">
        <v>200</v>
      </c>
      <c r="AC210" s="2">
        <v>500</v>
      </c>
      <c r="AD210" s="2">
        <v>200</v>
      </c>
      <c r="AE210" s="2">
        <f t="shared" si="27"/>
        <v>3500</v>
      </c>
      <c r="AF210" s="2">
        <v>1000</v>
      </c>
      <c r="AG210" s="4">
        <v>45614</v>
      </c>
      <c r="AH210" s="2">
        <f t="shared" si="28"/>
        <v>2500</v>
      </c>
      <c r="AI210" s="2">
        <v>1000</v>
      </c>
      <c r="AJ210" s="4">
        <v>45644</v>
      </c>
      <c r="AK210" s="2">
        <f t="shared" si="29"/>
        <v>1500</v>
      </c>
      <c r="AL210" s="2">
        <v>500</v>
      </c>
      <c r="AM210" s="4">
        <v>45675</v>
      </c>
      <c r="AN210" s="2">
        <f t="shared" si="30"/>
        <v>1000</v>
      </c>
      <c r="AO210" s="2" cm="1">
        <f t="array" ref="AO210">_xlfn.IFS(AN210&gt;=5000,3000,AN210&gt;=2000,1000,AN210&gt;=500,500,AN210&lt;500,AN210)</f>
        <v>500</v>
      </c>
      <c r="AP210" s="4">
        <v>45706</v>
      </c>
      <c r="AQ210" s="2">
        <f t="shared" si="31"/>
        <v>500</v>
      </c>
      <c r="AR210" s="2">
        <v>500</v>
      </c>
      <c r="AS210" s="4">
        <v>45734</v>
      </c>
      <c r="AT210" s="2">
        <f t="shared" si="32"/>
        <v>0</v>
      </c>
      <c r="AU210" s="2" t="s">
        <v>1200</v>
      </c>
      <c r="AV210" s="4" t="s">
        <v>1200</v>
      </c>
      <c r="AW210" s="2" t="s">
        <v>1200</v>
      </c>
      <c r="AX210" s="2">
        <f t="shared" si="33"/>
        <v>3500</v>
      </c>
      <c r="AY210" s="2">
        <f t="shared" si="34"/>
        <v>0</v>
      </c>
      <c r="AZ210" s="2" t="str">
        <f t="shared" si="35"/>
        <v>Paid</v>
      </c>
      <c r="BA210" s="9" t="str" cm="1">
        <f t="array" ref="BA210">_xlfn.IFS(AZ210="Paid","R",AZ210="Unpaid","Q")</f>
        <v>R</v>
      </c>
      <c r="BB210" s="8" t="s">
        <v>2815</v>
      </c>
    </row>
    <row r="211" spans="1:54" x14ac:dyDescent="0.25">
      <c r="A211" s="2">
        <v>210</v>
      </c>
      <c r="B211" s="2">
        <v>210</v>
      </c>
      <c r="C211" s="2" t="s">
        <v>442</v>
      </c>
      <c r="D211" s="2" t="s">
        <v>1866</v>
      </c>
      <c r="E211" s="2" t="s">
        <v>443</v>
      </c>
      <c r="F211" s="4">
        <v>45606</v>
      </c>
      <c r="G211" s="8" t="s">
        <v>8</v>
      </c>
      <c r="H211" s="8" t="s">
        <v>1242</v>
      </c>
      <c r="I211" s="2" t="s">
        <v>9</v>
      </c>
      <c r="J211" s="2" t="s">
        <v>10</v>
      </c>
      <c r="K211" s="2" t="s">
        <v>787</v>
      </c>
      <c r="L211" s="2" t="s">
        <v>1256</v>
      </c>
      <c r="M211" s="2" t="s">
        <v>1263</v>
      </c>
      <c r="N211" s="2" t="s">
        <v>2225</v>
      </c>
      <c r="O211" s="4">
        <v>33147</v>
      </c>
      <c r="P211" s="2" t="s">
        <v>2651</v>
      </c>
      <c r="Q211" s="2" t="s">
        <v>2496</v>
      </c>
      <c r="R211" s="2" t="s">
        <v>2393</v>
      </c>
      <c r="S211" s="2" t="s">
        <v>820</v>
      </c>
      <c r="T211" s="2" t="s">
        <v>1497</v>
      </c>
      <c r="U211" s="2" t="s">
        <v>1284</v>
      </c>
      <c r="V211" s="2">
        <v>6129356279</v>
      </c>
      <c r="W211" s="2" t="s">
        <v>1013</v>
      </c>
      <c r="X211" s="2" t="s">
        <v>1183</v>
      </c>
      <c r="Y211" s="2" t="s">
        <v>1184</v>
      </c>
      <c r="Z211" s="2" t="s">
        <v>1185</v>
      </c>
      <c r="AA211" s="2">
        <v>12500</v>
      </c>
      <c r="AB211" s="2">
        <v>200</v>
      </c>
      <c r="AC211" s="2">
        <v>1200</v>
      </c>
      <c r="AD211" s="2">
        <v>200</v>
      </c>
      <c r="AE211" s="2">
        <f t="shared" si="27"/>
        <v>13700</v>
      </c>
      <c r="AF211" s="2">
        <v>5000</v>
      </c>
      <c r="AG211" s="4">
        <v>45616</v>
      </c>
      <c r="AH211" s="2">
        <f t="shared" si="28"/>
        <v>8700</v>
      </c>
      <c r="AI211" s="2">
        <v>3000</v>
      </c>
      <c r="AJ211" s="4">
        <v>45646</v>
      </c>
      <c r="AK211" s="2">
        <f t="shared" si="29"/>
        <v>5700</v>
      </c>
      <c r="AL211" s="2">
        <v>3000</v>
      </c>
      <c r="AM211" s="4">
        <v>45677</v>
      </c>
      <c r="AN211" s="2">
        <f t="shared" si="30"/>
        <v>2700</v>
      </c>
      <c r="AO211" s="2" cm="1">
        <f t="array" ref="AO211">_xlfn.IFS(AN211&gt;=5000,3000,AN211&gt;=2000,1000,AN211&gt;=500,500,AN211&lt;500,AN211)</f>
        <v>1000</v>
      </c>
      <c r="AP211" s="4">
        <v>45708</v>
      </c>
      <c r="AQ211" s="2">
        <f t="shared" si="31"/>
        <v>1700</v>
      </c>
      <c r="AR211" s="2">
        <v>1000</v>
      </c>
      <c r="AS211" s="4">
        <v>45736</v>
      </c>
      <c r="AT211" s="2">
        <f t="shared" si="32"/>
        <v>700</v>
      </c>
      <c r="AU211" s="2">
        <v>700</v>
      </c>
      <c r="AV211" s="4">
        <v>45767</v>
      </c>
      <c r="AW211" s="2">
        <v>0</v>
      </c>
      <c r="AX211" s="2">
        <f t="shared" si="33"/>
        <v>13700</v>
      </c>
      <c r="AY211" s="2">
        <f t="shared" si="34"/>
        <v>0</v>
      </c>
      <c r="AZ211" s="2" t="str">
        <f t="shared" si="35"/>
        <v>Paid</v>
      </c>
      <c r="BA211" s="9" t="str" cm="1">
        <f t="array" ref="BA211">_xlfn.IFS(AZ211="Paid","R",AZ211="Unpaid","Q")</f>
        <v>R</v>
      </c>
      <c r="BB211" s="8" t="s">
        <v>2815</v>
      </c>
    </row>
    <row r="212" spans="1:54" x14ac:dyDescent="0.25">
      <c r="A212" s="2">
        <v>211</v>
      </c>
      <c r="B212" s="2">
        <v>211</v>
      </c>
      <c r="C212" s="2" t="s">
        <v>444</v>
      </c>
      <c r="D212" s="2" t="s">
        <v>1867</v>
      </c>
      <c r="E212" s="2" t="s">
        <v>445</v>
      </c>
      <c r="F212" s="4">
        <v>45608</v>
      </c>
      <c r="G212" s="8" t="s">
        <v>32</v>
      </c>
      <c r="H212" s="8" t="s">
        <v>1249</v>
      </c>
      <c r="I212" s="2" t="s">
        <v>14</v>
      </c>
      <c r="J212" s="2" t="s">
        <v>15</v>
      </c>
      <c r="K212" s="2" t="s">
        <v>791</v>
      </c>
      <c r="L212" s="2" t="s">
        <v>1257</v>
      </c>
      <c r="M212" s="2" t="s">
        <v>1261</v>
      </c>
      <c r="N212" s="2" t="s">
        <v>2226</v>
      </c>
      <c r="O212" s="4">
        <v>34715</v>
      </c>
      <c r="P212" s="2" t="s">
        <v>2652</v>
      </c>
      <c r="Q212" s="2" t="s">
        <v>2405</v>
      </c>
      <c r="R212" s="2" t="s">
        <v>2393</v>
      </c>
      <c r="S212" s="2" t="s">
        <v>788</v>
      </c>
      <c r="T212" s="2" t="s">
        <v>1498</v>
      </c>
      <c r="U212" s="2" t="s">
        <v>1285</v>
      </c>
      <c r="V212" s="2">
        <v>6732908371</v>
      </c>
      <c r="W212" s="2" t="s">
        <v>1014</v>
      </c>
      <c r="X212" s="2" t="s">
        <v>809</v>
      </c>
      <c r="Y212" s="2" t="s">
        <v>1184</v>
      </c>
      <c r="Z212" s="2" t="s">
        <v>1185</v>
      </c>
      <c r="AA212" s="2">
        <v>2000</v>
      </c>
      <c r="AB212" s="2">
        <v>200</v>
      </c>
      <c r="AC212" s="2">
        <v>300</v>
      </c>
      <c r="AD212" s="2">
        <v>300</v>
      </c>
      <c r="AE212" s="2">
        <f t="shared" si="27"/>
        <v>2200</v>
      </c>
      <c r="AF212" s="2">
        <v>500</v>
      </c>
      <c r="AG212" s="4">
        <v>45618</v>
      </c>
      <c r="AH212" s="2">
        <f t="shared" si="28"/>
        <v>1700</v>
      </c>
      <c r="AI212" s="2">
        <v>500</v>
      </c>
      <c r="AJ212" s="4">
        <v>45648</v>
      </c>
      <c r="AK212" s="2">
        <f t="shared" si="29"/>
        <v>1200</v>
      </c>
      <c r="AL212" s="2">
        <v>500</v>
      </c>
      <c r="AM212" s="4">
        <v>45679</v>
      </c>
      <c r="AN212" s="2">
        <f t="shared" si="30"/>
        <v>700</v>
      </c>
      <c r="AO212" s="2" cm="1">
        <f t="array" ref="AO212">_xlfn.IFS(AN212&gt;=5000,3000,AN212&gt;=2000,1000,AN212&gt;=500,500,AN212&lt;500,AN212)</f>
        <v>500</v>
      </c>
      <c r="AP212" s="4">
        <v>45710</v>
      </c>
      <c r="AQ212" s="2">
        <f t="shared" si="31"/>
        <v>200</v>
      </c>
      <c r="AR212" s="2">
        <v>200</v>
      </c>
      <c r="AS212" s="4">
        <v>45738</v>
      </c>
      <c r="AT212" s="2">
        <f t="shared" si="32"/>
        <v>0</v>
      </c>
      <c r="AU212" s="2" t="s">
        <v>1200</v>
      </c>
      <c r="AV212" s="4" t="s">
        <v>1200</v>
      </c>
      <c r="AW212" s="2" t="s">
        <v>1200</v>
      </c>
      <c r="AX212" s="2">
        <f t="shared" si="33"/>
        <v>2200</v>
      </c>
      <c r="AY212" s="2">
        <f t="shared" si="34"/>
        <v>0</v>
      </c>
      <c r="AZ212" s="2" t="str">
        <f t="shared" si="35"/>
        <v>Paid</v>
      </c>
      <c r="BA212" s="9" t="str" cm="1">
        <f t="array" ref="BA212">_xlfn.IFS(AZ212="Paid","R",AZ212="Unpaid","Q")</f>
        <v>R</v>
      </c>
      <c r="BB212" s="8" t="s">
        <v>2815</v>
      </c>
    </row>
    <row r="213" spans="1:54" x14ac:dyDescent="0.25">
      <c r="A213" s="2">
        <v>212</v>
      </c>
      <c r="B213" s="2">
        <v>212</v>
      </c>
      <c r="C213" s="2" t="s">
        <v>446</v>
      </c>
      <c r="D213" s="2" t="s">
        <v>1868</v>
      </c>
      <c r="E213" s="2" t="s">
        <v>447</v>
      </c>
      <c r="F213" s="4">
        <v>45609</v>
      </c>
      <c r="G213" s="8" t="s">
        <v>8</v>
      </c>
      <c r="H213" s="8" t="s">
        <v>1242</v>
      </c>
      <c r="I213" s="2" t="s">
        <v>9</v>
      </c>
      <c r="J213" s="2" t="s">
        <v>10</v>
      </c>
      <c r="K213" s="2" t="s">
        <v>787</v>
      </c>
      <c r="L213" s="2" t="s">
        <v>1257</v>
      </c>
      <c r="M213" s="2" t="s">
        <v>1261</v>
      </c>
      <c r="N213" s="2" t="s">
        <v>2227</v>
      </c>
      <c r="O213" s="4">
        <v>36113</v>
      </c>
      <c r="P213" s="2" t="s">
        <v>2606</v>
      </c>
      <c r="Q213" s="2" t="s">
        <v>2498</v>
      </c>
      <c r="R213" s="2" t="s">
        <v>2393</v>
      </c>
      <c r="S213" s="2" t="s">
        <v>788</v>
      </c>
      <c r="T213" s="2" t="s">
        <v>1499</v>
      </c>
      <c r="U213" s="2" t="s">
        <v>1279</v>
      </c>
      <c r="V213" s="2">
        <v>6346788994</v>
      </c>
      <c r="W213" s="2" t="s">
        <v>1015</v>
      </c>
      <c r="X213" s="2" t="s">
        <v>811</v>
      </c>
      <c r="Y213" s="2" t="s">
        <v>1184</v>
      </c>
      <c r="Z213" s="2" t="s">
        <v>1185</v>
      </c>
      <c r="AA213" s="2">
        <v>12500</v>
      </c>
      <c r="AB213" s="2">
        <v>200</v>
      </c>
      <c r="AC213" s="2">
        <v>1200</v>
      </c>
      <c r="AD213" s="2">
        <v>0</v>
      </c>
      <c r="AE213" s="2">
        <f t="shared" si="27"/>
        <v>13900</v>
      </c>
      <c r="AF213" s="2">
        <v>5000</v>
      </c>
      <c r="AG213" s="4">
        <v>45619</v>
      </c>
      <c r="AH213" s="2">
        <f t="shared" si="28"/>
        <v>8900</v>
      </c>
      <c r="AI213" s="2">
        <v>3000</v>
      </c>
      <c r="AJ213" s="4">
        <v>45649</v>
      </c>
      <c r="AK213" s="2">
        <f t="shared" si="29"/>
        <v>5900</v>
      </c>
      <c r="AL213" s="2">
        <v>3000</v>
      </c>
      <c r="AM213" s="4">
        <v>45680</v>
      </c>
      <c r="AN213" s="2">
        <f t="shared" si="30"/>
        <v>2900</v>
      </c>
      <c r="AO213" s="2" cm="1">
        <f t="array" ref="AO213">_xlfn.IFS(AN213&gt;=5000,3000,AN213&gt;=2000,1000,AN213&gt;=500,500,AN213&lt;500,AN213)</f>
        <v>1000</v>
      </c>
      <c r="AP213" s="4">
        <v>45711</v>
      </c>
      <c r="AQ213" s="2">
        <f t="shared" si="31"/>
        <v>1900</v>
      </c>
      <c r="AR213" s="2">
        <v>1000</v>
      </c>
      <c r="AS213" s="4">
        <v>45739</v>
      </c>
      <c r="AT213" s="2">
        <f t="shared" si="32"/>
        <v>900</v>
      </c>
      <c r="AU213" s="2">
        <v>900</v>
      </c>
      <c r="AV213" s="4">
        <v>45770</v>
      </c>
      <c r="AW213" s="2">
        <v>0</v>
      </c>
      <c r="AX213" s="2">
        <f t="shared" si="33"/>
        <v>13900</v>
      </c>
      <c r="AY213" s="2">
        <f t="shared" si="34"/>
        <v>0</v>
      </c>
      <c r="AZ213" s="2" t="str">
        <f t="shared" si="35"/>
        <v>Paid</v>
      </c>
      <c r="BA213" s="9" t="str" cm="1">
        <f t="array" ref="BA213">_xlfn.IFS(AZ213="Paid","R",AZ213="Unpaid","Q")</f>
        <v>R</v>
      </c>
      <c r="BB213" s="8" t="s">
        <v>2815</v>
      </c>
    </row>
    <row r="214" spans="1:54" x14ac:dyDescent="0.25">
      <c r="A214" s="2">
        <v>213</v>
      </c>
      <c r="B214" s="2">
        <v>213</v>
      </c>
      <c r="C214" s="2" t="s">
        <v>448</v>
      </c>
      <c r="D214" s="2" t="s">
        <v>1869</v>
      </c>
      <c r="E214" s="2" t="s">
        <v>449</v>
      </c>
      <c r="F214" s="4">
        <v>45610</v>
      </c>
      <c r="G214" s="8" t="s">
        <v>21</v>
      </c>
      <c r="H214" s="8" t="s">
        <v>1252</v>
      </c>
      <c r="I214" s="2" t="s">
        <v>14</v>
      </c>
      <c r="J214" s="2" t="s">
        <v>15</v>
      </c>
      <c r="K214" s="2" t="s">
        <v>791</v>
      </c>
      <c r="L214" s="2" t="s">
        <v>1259</v>
      </c>
      <c r="M214" s="2" t="s">
        <v>1262</v>
      </c>
      <c r="N214" s="2" t="s">
        <v>2228</v>
      </c>
      <c r="O214" s="4">
        <v>34310</v>
      </c>
      <c r="P214" s="2" t="s">
        <v>2653</v>
      </c>
      <c r="Q214" s="2" t="s">
        <v>2492</v>
      </c>
      <c r="R214" s="2" t="s">
        <v>2393</v>
      </c>
      <c r="S214" s="2" t="s">
        <v>788</v>
      </c>
      <c r="T214" s="2" t="s">
        <v>1500</v>
      </c>
      <c r="U214" s="2" t="s">
        <v>1268</v>
      </c>
      <c r="V214" s="2">
        <v>9193408363</v>
      </c>
      <c r="W214" s="2" t="s">
        <v>1016</v>
      </c>
      <c r="X214" s="2" t="s">
        <v>798</v>
      </c>
      <c r="Y214" s="2" t="s">
        <v>1184</v>
      </c>
      <c r="Z214" s="2" t="s">
        <v>1185</v>
      </c>
      <c r="AA214" s="2">
        <v>3000</v>
      </c>
      <c r="AB214" s="2">
        <v>200</v>
      </c>
      <c r="AC214" s="2">
        <v>300</v>
      </c>
      <c r="AD214" s="2">
        <v>300</v>
      </c>
      <c r="AE214" s="2">
        <f t="shared" si="27"/>
        <v>3200</v>
      </c>
      <c r="AF214" s="2">
        <v>1000</v>
      </c>
      <c r="AG214" s="4">
        <v>45620</v>
      </c>
      <c r="AH214" s="2">
        <f t="shared" si="28"/>
        <v>2200</v>
      </c>
      <c r="AI214" s="2">
        <v>1000</v>
      </c>
      <c r="AJ214" s="4">
        <v>45650</v>
      </c>
      <c r="AK214" s="2">
        <f t="shared" si="29"/>
        <v>1200</v>
      </c>
      <c r="AL214" s="2">
        <v>500</v>
      </c>
      <c r="AM214" s="4">
        <v>45681</v>
      </c>
      <c r="AN214" s="2">
        <f t="shared" si="30"/>
        <v>700</v>
      </c>
      <c r="AO214" s="2" cm="1">
        <f t="array" ref="AO214">_xlfn.IFS(AN214&gt;=5000,3000,AN214&gt;=2000,1000,AN214&gt;=500,500,AN214&lt;500,AN214)</f>
        <v>500</v>
      </c>
      <c r="AP214" s="4">
        <v>45712</v>
      </c>
      <c r="AQ214" s="2">
        <f t="shared" si="31"/>
        <v>200</v>
      </c>
      <c r="AR214" s="2">
        <v>200</v>
      </c>
      <c r="AS214" s="4">
        <v>45740</v>
      </c>
      <c r="AT214" s="2">
        <f t="shared" si="32"/>
        <v>0</v>
      </c>
      <c r="AU214" s="2" t="s">
        <v>1200</v>
      </c>
      <c r="AV214" s="4" t="s">
        <v>1200</v>
      </c>
      <c r="AW214" s="2" t="s">
        <v>1200</v>
      </c>
      <c r="AX214" s="2">
        <f t="shared" si="33"/>
        <v>3200</v>
      </c>
      <c r="AY214" s="2">
        <f t="shared" si="34"/>
        <v>0</v>
      </c>
      <c r="AZ214" s="2" t="str">
        <f t="shared" si="35"/>
        <v>Paid</v>
      </c>
      <c r="BA214" s="9" t="str" cm="1">
        <f t="array" ref="BA214">_xlfn.IFS(AZ214="Paid","R",AZ214="Unpaid","Q")</f>
        <v>R</v>
      </c>
      <c r="BB214" s="8" t="s">
        <v>2815</v>
      </c>
    </row>
    <row r="215" spans="1:54" x14ac:dyDescent="0.25">
      <c r="A215" s="2">
        <v>214</v>
      </c>
      <c r="B215" s="2">
        <v>214</v>
      </c>
      <c r="C215" s="2" t="s">
        <v>450</v>
      </c>
      <c r="D215" s="2" t="s">
        <v>1773</v>
      </c>
      <c r="E215" s="2" t="s">
        <v>451</v>
      </c>
      <c r="F215" s="4">
        <v>45610</v>
      </c>
      <c r="G215" s="8" t="s">
        <v>18</v>
      </c>
      <c r="H215" s="8" t="s">
        <v>1253</v>
      </c>
      <c r="I215" s="2" t="s">
        <v>9</v>
      </c>
      <c r="J215" s="2" t="s">
        <v>15</v>
      </c>
      <c r="K215" s="2" t="s">
        <v>795</v>
      </c>
      <c r="L215" s="2" t="s">
        <v>1260</v>
      </c>
      <c r="M215" s="2" t="s">
        <v>1261</v>
      </c>
      <c r="N215" s="2" t="s">
        <v>2229</v>
      </c>
      <c r="O215" s="4">
        <v>38997</v>
      </c>
      <c r="P215" s="2" t="s">
        <v>2654</v>
      </c>
      <c r="Q215" s="2" t="s">
        <v>2470</v>
      </c>
      <c r="R215" s="2" t="s">
        <v>2393</v>
      </c>
      <c r="S215" s="2" t="s">
        <v>788</v>
      </c>
      <c r="T215" s="2" t="s">
        <v>1501</v>
      </c>
      <c r="U215" s="2" t="s">
        <v>1267</v>
      </c>
      <c r="V215" s="2">
        <v>9580111589</v>
      </c>
      <c r="W215" s="2" t="s">
        <v>1017</v>
      </c>
      <c r="X215" s="2" t="s">
        <v>813</v>
      </c>
      <c r="Y215" s="2" t="s">
        <v>1184</v>
      </c>
      <c r="Z215" s="2" t="s">
        <v>1185</v>
      </c>
      <c r="AA215" s="2">
        <v>7000</v>
      </c>
      <c r="AB215" s="2">
        <v>200</v>
      </c>
      <c r="AC215" s="2">
        <v>800</v>
      </c>
      <c r="AD215" s="2">
        <v>0</v>
      </c>
      <c r="AE215" s="2">
        <f t="shared" si="27"/>
        <v>8000</v>
      </c>
      <c r="AF215" s="2">
        <v>2500</v>
      </c>
      <c r="AG215" s="4">
        <v>45620</v>
      </c>
      <c r="AH215" s="2">
        <f t="shared" si="28"/>
        <v>5500</v>
      </c>
      <c r="AI215" s="2">
        <v>3000</v>
      </c>
      <c r="AJ215" s="4">
        <v>45650</v>
      </c>
      <c r="AK215" s="2">
        <f t="shared" si="29"/>
        <v>2500</v>
      </c>
      <c r="AL215" s="2">
        <v>1000</v>
      </c>
      <c r="AM215" s="4">
        <v>45681</v>
      </c>
      <c r="AN215" s="2">
        <f t="shared" si="30"/>
        <v>1500</v>
      </c>
      <c r="AO215" s="2" cm="1">
        <f t="array" ref="AO215">_xlfn.IFS(AN215&gt;=5000,3000,AN215&gt;=2000,1000,AN215&gt;=500,500,AN215&lt;500,AN215)</f>
        <v>500</v>
      </c>
      <c r="AP215" s="4">
        <v>45712</v>
      </c>
      <c r="AQ215" s="2">
        <f t="shared" si="31"/>
        <v>1000</v>
      </c>
      <c r="AR215" s="2">
        <v>1000</v>
      </c>
      <c r="AS215" s="4">
        <v>45740</v>
      </c>
      <c r="AT215" s="2">
        <f t="shared" si="32"/>
        <v>0</v>
      </c>
      <c r="AU215" s="2" t="s">
        <v>1200</v>
      </c>
      <c r="AV215" s="4" t="s">
        <v>1200</v>
      </c>
      <c r="AW215" s="2" t="s">
        <v>1200</v>
      </c>
      <c r="AX215" s="2">
        <f t="shared" si="33"/>
        <v>8000</v>
      </c>
      <c r="AY215" s="2">
        <f t="shared" si="34"/>
        <v>0</v>
      </c>
      <c r="AZ215" s="2" t="str">
        <f t="shared" si="35"/>
        <v>Paid</v>
      </c>
      <c r="BA215" s="9" t="str" cm="1">
        <f t="array" ref="BA215">_xlfn.IFS(AZ215="Paid","R",AZ215="Unpaid","Q")</f>
        <v>R</v>
      </c>
      <c r="BB215" s="8" t="s">
        <v>2815</v>
      </c>
    </row>
    <row r="216" spans="1:54" x14ac:dyDescent="0.25">
      <c r="A216" s="2">
        <v>215</v>
      </c>
      <c r="B216" s="2">
        <v>215</v>
      </c>
      <c r="C216" s="2" t="s">
        <v>452</v>
      </c>
      <c r="D216" s="2" t="s">
        <v>1870</v>
      </c>
      <c r="E216" s="2" t="s">
        <v>453</v>
      </c>
      <c r="F216" s="4">
        <v>45611</v>
      </c>
      <c r="G216" s="8" t="s">
        <v>21</v>
      </c>
      <c r="H216" s="8" t="s">
        <v>1252</v>
      </c>
      <c r="I216" s="2" t="s">
        <v>14</v>
      </c>
      <c r="J216" s="2" t="s">
        <v>15</v>
      </c>
      <c r="K216" s="2" t="s">
        <v>791</v>
      </c>
      <c r="L216" s="2" t="s">
        <v>1256</v>
      </c>
      <c r="M216" s="2" t="s">
        <v>1263</v>
      </c>
      <c r="N216" s="2" t="s">
        <v>2230</v>
      </c>
      <c r="O216" s="4">
        <v>37389</v>
      </c>
      <c r="P216" s="2" t="s">
        <v>2655</v>
      </c>
      <c r="Q216" s="2" t="s">
        <v>2439</v>
      </c>
      <c r="R216" s="2" t="s">
        <v>2396</v>
      </c>
      <c r="S216" s="2" t="s">
        <v>792</v>
      </c>
      <c r="T216" s="2" t="s">
        <v>1502</v>
      </c>
      <c r="U216" s="2" t="s">
        <v>1287</v>
      </c>
      <c r="V216" s="2">
        <v>7499481644</v>
      </c>
      <c r="W216" s="2" t="s">
        <v>1018</v>
      </c>
      <c r="X216" s="2" t="s">
        <v>798</v>
      </c>
      <c r="Y216" s="2" t="s">
        <v>1184</v>
      </c>
      <c r="Z216" s="2" t="s">
        <v>1185</v>
      </c>
      <c r="AA216" s="2">
        <v>3000</v>
      </c>
      <c r="AB216" s="2">
        <v>200</v>
      </c>
      <c r="AC216" s="2">
        <v>300</v>
      </c>
      <c r="AD216" s="2">
        <v>300</v>
      </c>
      <c r="AE216" s="2">
        <f t="shared" si="27"/>
        <v>3200</v>
      </c>
      <c r="AF216" s="2">
        <v>1000</v>
      </c>
      <c r="AG216" s="4">
        <v>45621</v>
      </c>
      <c r="AH216" s="2">
        <f t="shared" si="28"/>
        <v>2200</v>
      </c>
      <c r="AI216" s="2">
        <v>1000</v>
      </c>
      <c r="AJ216" s="4">
        <v>45651</v>
      </c>
      <c r="AK216" s="2">
        <f t="shared" si="29"/>
        <v>1200</v>
      </c>
      <c r="AL216" s="2">
        <v>500</v>
      </c>
      <c r="AM216" s="4">
        <v>45682</v>
      </c>
      <c r="AN216" s="2">
        <f t="shared" si="30"/>
        <v>700</v>
      </c>
      <c r="AO216" s="2" cm="1">
        <f t="array" ref="AO216">_xlfn.IFS(AN216&gt;=5000,3000,AN216&gt;=2000,1000,AN216&gt;=500,500,AN216&lt;500,AN216)</f>
        <v>500</v>
      </c>
      <c r="AP216" s="4">
        <v>45713</v>
      </c>
      <c r="AQ216" s="2">
        <f t="shared" si="31"/>
        <v>200</v>
      </c>
      <c r="AR216" s="2">
        <v>200</v>
      </c>
      <c r="AS216" s="4">
        <v>45741</v>
      </c>
      <c r="AT216" s="2">
        <f t="shared" si="32"/>
        <v>0</v>
      </c>
      <c r="AU216" s="2" t="s">
        <v>1200</v>
      </c>
      <c r="AV216" s="4" t="s">
        <v>1200</v>
      </c>
      <c r="AW216" s="2" t="s">
        <v>1200</v>
      </c>
      <c r="AX216" s="2">
        <f t="shared" si="33"/>
        <v>3200</v>
      </c>
      <c r="AY216" s="2">
        <f t="shared" si="34"/>
        <v>0</v>
      </c>
      <c r="AZ216" s="2" t="str">
        <f t="shared" si="35"/>
        <v>Paid</v>
      </c>
      <c r="BA216" s="9" t="str" cm="1">
        <f t="array" ref="BA216">_xlfn.IFS(AZ216="Paid","R",AZ216="Unpaid","Q")</f>
        <v>R</v>
      </c>
      <c r="BB216" s="8" t="s">
        <v>2815</v>
      </c>
    </row>
    <row r="217" spans="1:54" x14ac:dyDescent="0.25">
      <c r="A217" s="2">
        <v>216</v>
      </c>
      <c r="B217" s="2">
        <v>216</v>
      </c>
      <c r="C217" s="2" t="s">
        <v>454</v>
      </c>
      <c r="D217" s="2" t="s">
        <v>1871</v>
      </c>
      <c r="E217" s="2" t="s">
        <v>455</v>
      </c>
      <c r="F217" s="4">
        <v>45612</v>
      </c>
      <c r="G217" s="8" t="s">
        <v>45</v>
      </c>
      <c r="H217" s="8" t="s">
        <v>1250</v>
      </c>
      <c r="I217" s="2" t="s">
        <v>14</v>
      </c>
      <c r="J217" s="2" t="s">
        <v>15</v>
      </c>
      <c r="K217" s="2" t="s">
        <v>791</v>
      </c>
      <c r="L217" s="2" t="s">
        <v>1256</v>
      </c>
      <c r="M217" s="2" t="s">
        <v>1263</v>
      </c>
      <c r="N217" s="2" t="s">
        <v>2231</v>
      </c>
      <c r="O217" s="4">
        <v>34554</v>
      </c>
      <c r="P217" s="2" t="s">
        <v>2656</v>
      </c>
      <c r="Q217" s="2" t="s">
        <v>2416</v>
      </c>
      <c r="R217" s="2" t="s">
        <v>2396</v>
      </c>
      <c r="S217" s="2" t="s">
        <v>820</v>
      </c>
      <c r="T217" s="2" t="s">
        <v>1503</v>
      </c>
      <c r="U217" s="2" t="s">
        <v>1286</v>
      </c>
      <c r="V217" s="2">
        <v>8868798271</v>
      </c>
      <c r="W217" s="2" t="s">
        <v>1019</v>
      </c>
      <c r="X217" s="2" t="s">
        <v>798</v>
      </c>
      <c r="Y217" s="2" t="s">
        <v>1184</v>
      </c>
      <c r="Z217" s="2" t="s">
        <v>1185</v>
      </c>
      <c r="AA217" s="2">
        <v>2000</v>
      </c>
      <c r="AB217" s="2">
        <v>200</v>
      </c>
      <c r="AC217" s="2">
        <v>300</v>
      </c>
      <c r="AD217" s="2">
        <v>500</v>
      </c>
      <c r="AE217" s="2">
        <f t="shared" si="27"/>
        <v>2000</v>
      </c>
      <c r="AF217" s="2">
        <v>500</v>
      </c>
      <c r="AG217" s="4">
        <v>45622</v>
      </c>
      <c r="AH217" s="2">
        <f t="shared" si="28"/>
        <v>1500</v>
      </c>
      <c r="AI217" s="2">
        <v>500</v>
      </c>
      <c r="AJ217" s="4">
        <v>45652</v>
      </c>
      <c r="AK217" s="2">
        <f t="shared" si="29"/>
        <v>1000</v>
      </c>
      <c r="AL217" s="2">
        <v>500</v>
      </c>
      <c r="AM217" s="4">
        <v>45683</v>
      </c>
      <c r="AN217" s="2">
        <f t="shared" si="30"/>
        <v>500</v>
      </c>
      <c r="AO217" s="2" cm="1">
        <f t="array" ref="AO217">_xlfn.IFS(AN217&gt;=5000,3000,AN217&gt;=2000,1000,AN217&gt;=500,500,AN217&lt;500,AN217)</f>
        <v>500</v>
      </c>
      <c r="AP217" s="4">
        <v>45714</v>
      </c>
      <c r="AQ217" s="2">
        <f t="shared" si="31"/>
        <v>0</v>
      </c>
      <c r="AR217" s="2" t="s">
        <v>1200</v>
      </c>
      <c r="AS217" s="4" t="s">
        <v>1200</v>
      </c>
      <c r="AT217" s="2" t="str">
        <f t="shared" si="32"/>
        <v/>
      </c>
      <c r="AU217" s="2" t="s">
        <v>1200</v>
      </c>
      <c r="AV217" s="4" t="s">
        <v>1200</v>
      </c>
      <c r="AW217" s="2" t="s">
        <v>1200</v>
      </c>
      <c r="AX217" s="2">
        <f t="shared" si="33"/>
        <v>2000</v>
      </c>
      <c r="AY217" s="2">
        <f t="shared" si="34"/>
        <v>0</v>
      </c>
      <c r="AZ217" s="2" t="str">
        <f t="shared" si="35"/>
        <v>Paid</v>
      </c>
      <c r="BA217" s="9" t="str" cm="1">
        <f t="array" ref="BA217">_xlfn.IFS(AZ217="Paid","R",AZ217="Unpaid","Q")</f>
        <v>R</v>
      </c>
      <c r="BB217" s="8" t="s">
        <v>2815</v>
      </c>
    </row>
    <row r="218" spans="1:54" x14ac:dyDescent="0.25">
      <c r="A218" s="2">
        <v>217</v>
      </c>
      <c r="B218" s="2">
        <v>217</v>
      </c>
      <c r="C218" s="2" t="s">
        <v>456</v>
      </c>
      <c r="D218" s="2" t="s">
        <v>1872</v>
      </c>
      <c r="E218" s="2" t="s">
        <v>457</v>
      </c>
      <c r="F218" s="4">
        <v>45613</v>
      </c>
      <c r="G218" s="8" t="s">
        <v>18</v>
      </c>
      <c r="H218" s="8" t="s">
        <v>1253</v>
      </c>
      <c r="I218" s="2" t="s">
        <v>9</v>
      </c>
      <c r="J218" s="2" t="s">
        <v>15</v>
      </c>
      <c r="K218" s="2" t="s">
        <v>795</v>
      </c>
      <c r="L218" s="2" t="s">
        <v>1257</v>
      </c>
      <c r="M218" s="2" t="s">
        <v>1261</v>
      </c>
      <c r="N218" s="2" t="s">
        <v>2232</v>
      </c>
      <c r="O218" s="4">
        <v>34565</v>
      </c>
      <c r="P218" s="2" t="s">
        <v>2657</v>
      </c>
      <c r="Q218" s="2" t="s">
        <v>2529</v>
      </c>
      <c r="R218" s="2" t="s">
        <v>2393</v>
      </c>
      <c r="S218" s="2" t="s">
        <v>796</v>
      </c>
      <c r="T218" s="2" t="s">
        <v>1504</v>
      </c>
      <c r="U218" s="2" t="s">
        <v>1281</v>
      </c>
      <c r="V218" s="2">
        <v>6677976706</v>
      </c>
      <c r="W218" s="2" t="s">
        <v>1020</v>
      </c>
      <c r="X218" s="2" t="s">
        <v>798</v>
      </c>
      <c r="Y218" s="2" t="s">
        <v>1184</v>
      </c>
      <c r="Z218" s="2" t="s">
        <v>1185</v>
      </c>
      <c r="AA218" s="2">
        <v>7000</v>
      </c>
      <c r="AB218" s="2">
        <v>200</v>
      </c>
      <c r="AC218" s="2">
        <v>800</v>
      </c>
      <c r="AD218" s="2">
        <v>500</v>
      </c>
      <c r="AE218" s="2">
        <f t="shared" si="27"/>
        <v>7500</v>
      </c>
      <c r="AF218" s="2">
        <v>2500</v>
      </c>
      <c r="AG218" s="4">
        <v>45623</v>
      </c>
      <c r="AH218" s="2">
        <f t="shared" si="28"/>
        <v>5000</v>
      </c>
      <c r="AI218" s="2">
        <v>3000</v>
      </c>
      <c r="AJ218" s="4">
        <v>45653</v>
      </c>
      <c r="AK218" s="2">
        <f t="shared" si="29"/>
        <v>2000</v>
      </c>
      <c r="AL218" s="2">
        <v>1000</v>
      </c>
      <c r="AM218" s="4">
        <v>45684</v>
      </c>
      <c r="AN218" s="2">
        <f t="shared" si="30"/>
        <v>1000</v>
      </c>
      <c r="AO218" s="2" cm="1">
        <f t="array" ref="AO218">_xlfn.IFS(AN218&gt;=5000,3000,AN218&gt;=2000,1000,AN218&gt;=500,500,AN218&lt;500,AN218)</f>
        <v>500</v>
      </c>
      <c r="AP218" s="4">
        <v>45715</v>
      </c>
      <c r="AQ218" s="2">
        <f t="shared" si="31"/>
        <v>500</v>
      </c>
      <c r="AR218" s="2">
        <v>500</v>
      </c>
      <c r="AS218" s="4">
        <v>45743</v>
      </c>
      <c r="AT218" s="2">
        <f t="shared" si="32"/>
        <v>0</v>
      </c>
      <c r="AU218" s="2" t="s">
        <v>1200</v>
      </c>
      <c r="AV218" s="4" t="s">
        <v>1200</v>
      </c>
      <c r="AW218" s="2" t="s">
        <v>1200</v>
      </c>
      <c r="AX218" s="2">
        <f t="shared" si="33"/>
        <v>7500</v>
      </c>
      <c r="AY218" s="2">
        <f t="shared" si="34"/>
        <v>0</v>
      </c>
      <c r="AZ218" s="2" t="str">
        <f t="shared" si="35"/>
        <v>Paid</v>
      </c>
      <c r="BA218" s="9" t="str" cm="1">
        <f t="array" ref="BA218">_xlfn.IFS(AZ218="Paid","R",AZ218="Unpaid","Q")</f>
        <v>R</v>
      </c>
      <c r="BB218" s="8" t="s">
        <v>2815</v>
      </c>
    </row>
    <row r="219" spans="1:54" x14ac:dyDescent="0.25">
      <c r="A219" s="2">
        <v>218</v>
      </c>
      <c r="B219" s="2">
        <v>218</v>
      </c>
      <c r="C219" s="2" t="s">
        <v>458</v>
      </c>
      <c r="D219" s="2" t="s">
        <v>1873</v>
      </c>
      <c r="E219" s="2" t="s">
        <v>459</v>
      </c>
      <c r="F219" s="4">
        <v>45614</v>
      </c>
      <c r="G219" s="8" t="s">
        <v>95</v>
      </c>
      <c r="H219" s="8" t="s">
        <v>1245</v>
      </c>
      <c r="I219" s="2" t="s">
        <v>14</v>
      </c>
      <c r="J219" s="2" t="s">
        <v>15</v>
      </c>
      <c r="K219" s="2" t="s">
        <v>791</v>
      </c>
      <c r="L219" s="2" t="s">
        <v>1259</v>
      </c>
      <c r="M219" s="2" t="s">
        <v>1262</v>
      </c>
      <c r="N219" s="2" t="s">
        <v>2233</v>
      </c>
      <c r="O219" s="4">
        <v>36018</v>
      </c>
      <c r="P219" s="2" t="s">
        <v>2658</v>
      </c>
      <c r="Q219" s="2" t="s">
        <v>2442</v>
      </c>
      <c r="R219" s="2" t="s">
        <v>2393</v>
      </c>
      <c r="S219" s="2" t="s">
        <v>820</v>
      </c>
      <c r="T219" s="2" t="s">
        <v>1505</v>
      </c>
      <c r="U219" s="2" t="s">
        <v>1286</v>
      </c>
      <c r="V219" s="2">
        <v>9277727879</v>
      </c>
      <c r="W219" s="2" t="s">
        <v>1021</v>
      </c>
      <c r="X219" s="2" t="s">
        <v>801</v>
      </c>
      <c r="Y219" s="2" t="s">
        <v>1184</v>
      </c>
      <c r="Z219" s="2" t="s">
        <v>1185</v>
      </c>
      <c r="AA219" s="2">
        <v>3500</v>
      </c>
      <c r="AB219" s="2">
        <v>200</v>
      </c>
      <c r="AC219" s="2">
        <v>500</v>
      </c>
      <c r="AD219" s="2">
        <v>200</v>
      </c>
      <c r="AE219" s="2">
        <f t="shared" si="27"/>
        <v>4000</v>
      </c>
      <c r="AF219" s="2">
        <v>1000</v>
      </c>
      <c r="AG219" s="4">
        <v>45624</v>
      </c>
      <c r="AH219" s="2">
        <f t="shared" si="28"/>
        <v>3000</v>
      </c>
      <c r="AI219" s="2">
        <v>1000</v>
      </c>
      <c r="AJ219" s="4">
        <v>45654</v>
      </c>
      <c r="AK219" s="2">
        <f t="shared" si="29"/>
        <v>2000</v>
      </c>
      <c r="AL219" s="2">
        <v>1000</v>
      </c>
      <c r="AM219" s="4">
        <v>45685</v>
      </c>
      <c r="AN219" s="2">
        <f t="shared" si="30"/>
        <v>1000</v>
      </c>
      <c r="AO219" s="2" cm="1">
        <f t="array" ref="AO219">_xlfn.IFS(AN219&gt;=5000,3000,AN219&gt;=2000,1000,AN219&gt;=500,500,AN219&lt;500,AN219)</f>
        <v>500</v>
      </c>
      <c r="AP219" s="4">
        <v>45716</v>
      </c>
      <c r="AQ219" s="2">
        <f t="shared" si="31"/>
        <v>500</v>
      </c>
      <c r="AR219" s="2">
        <v>500</v>
      </c>
      <c r="AS219" s="4">
        <v>45744</v>
      </c>
      <c r="AT219" s="2">
        <f t="shared" si="32"/>
        <v>0</v>
      </c>
      <c r="AU219" s="2" t="s">
        <v>1200</v>
      </c>
      <c r="AV219" s="4" t="s">
        <v>1200</v>
      </c>
      <c r="AW219" s="2" t="s">
        <v>1200</v>
      </c>
      <c r="AX219" s="2">
        <f t="shared" si="33"/>
        <v>4000</v>
      </c>
      <c r="AY219" s="2">
        <f t="shared" si="34"/>
        <v>0</v>
      </c>
      <c r="AZ219" s="2" t="str">
        <f t="shared" si="35"/>
        <v>Paid</v>
      </c>
      <c r="BA219" s="9" t="str" cm="1">
        <f t="array" ref="BA219">_xlfn.IFS(AZ219="Paid","R",AZ219="Unpaid","Q")</f>
        <v>R</v>
      </c>
      <c r="BB219" s="8" t="s">
        <v>2815</v>
      </c>
    </row>
    <row r="220" spans="1:54" x14ac:dyDescent="0.25">
      <c r="A220" s="2">
        <v>219</v>
      </c>
      <c r="B220" s="2">
        <v>219</v>
      </c>
      <c r="C220" s="2" t="s">
        <v>460</v>
      </c>
      <c r="D220" s="2" t="s">
        <v>1874</v>
      </c>
      <c r="E220" s="2" t="s">
        <v>461</v>
      </c>
      <c r="F220" s="4">
        <v>45615</v>
      </c>
      <c r="G220" s="8" t="s">
        <v>35</v>
      </c>
      <c r="H220" s="8" t="s">
        <v>1244</v>
      </c>
      <c r="I220" s="2" t="s">
        <v>14</v>
      </c>
      <c r="J220" s="2" t="s">
        <v>15</v>
      </c>
      <c r="K220" s="2" t="s">
        <v>791</v>
      </c>
      <c r="L220" s="2" t="s">
        <v>1256</v>
      </c>
      <c r="M220" s="2" t="s">
        <v>1263</v>
      </c>
      <c r="N220" s="2" t="s">
        <v>2234</v>
      </c>
      <c r="O220" s="4">
        <v>35268</v>
      </c>
      <c r="P220" s="2" t="s">
        <v>2659</v>
      </c>
      <c r="Q220" s="2" t="s">
        <v>2539</v>
      </c>
      <c r="R220" s="2" t="s">
        <v>2393</v>
      </c>
      <c r="S220" s="2" t="s">
        <v>820</v>
      </c>
      <c r="T220" s="2" t="s">
        <v>1506</v>
      </c>
      <c r="U220" s="2" t="s">
        <v>1277</v>
      </c>
      <c r="V220" s="2">
        <v>7263597101</v>
      </c>
      <c r="W220" s="2" t="s">
        <v>1022</v>
      </c>
      <c r="X220" s="2" t="s">
        <v>809</v>
      </c>
      <c r="Y220" s="2" t="s">
        <v>1184</v>
      </c>
      <c r="Z220" s="2" t="s">
        <v>1185</v>
      </c>
      <c r="AA220" s="2">
        <v>3000</v>
      </c>
      <c r="AB220" s="2">
        <v>200</v>
      </c>
      <c r="AC220" s="2">
        <v>500</v>
      </c>
      <c r="AD220" s="2">
        <v>500</v>
      </c>
      <c r="AE220" s="2">
        <f t="shared" si="27"/>
        <v>3200</v>
      </c>
      <c r="AF220" s="2">
        <v>1000</v>
      </c>
      <c r="AG220" s="4">
        <v>45625</v>
      </c>
      <c r="AH220" s="2">
        <f t="shared" si="28"/>
        <v>2200</v>
      </c>
      <c r="AI220" s="2">
        <v>1000</v>
      </c>
      <c r="AJ220" s="4">
        <v>45655</v>
      </c>
      <c r="AK220" s="2">
        <f t="shared" si="29"/>
        <v>1200</v>
      </c>
      <c r="AL220" s="2">
        <v>500</v>
      </c>
      <c r="AM220" s="4">
        <v>45686</v>
      </c>
      <c r="AN220" s="2">
        <f t="shared" si="30"/>
        <v>700</v>
      </c>
      <c r="AO220" s="2" cm="1">
        <f t="array" ref="AO220">_xlfn.IFS(AN220&gt;=5000,3000,AN220&gt;=2000,1000,AN220&gt;=500,500,AN220&lt;500,AN220)</f>
        <v>500</v>
      </c>
      <c r="AP220" s="4">
        <v>45716</v>
      </c>
      <c r="AQ220" s="2">
        <f t="shared" si="31"/>
        <v>200</v>
      </c>
      <c r="AR220" s="2">
        <v>200</v>
      </c>
      <c r="AS220" s="4">
        <v>45744</v>
      </c>
      <c r="AT220" s="2">
        <f t="shared" si="32"/>
        <v>0</v>
      </c>
      <c r="AU220" s="2" t="s">
        <v>1200</v>
      </c>
      <c r="AV220" s="4" t="s">
        <v>1200</v>
      </c>
      <c r="AW220" s="2" t="s">
        <v>1200</v>
      </c>
      <c r="AX220" s="2">
        <f t="shared" si="33"/>
        <v>3200</v>
      </c>
      <c r="AY220" s="2">
        <f t="shared" si="34"/>
        <v>0</v>
      </c>
      <c r="AZ220" s="2" t="str">
        <f t="shared" si="35"/>
        <v>Paid</v>
      </c>
      <c r="BA220" s="9" t="str" cm="1">
        <f t="array" ref="BA220">_xlfn.IFS(AZ220="Paid","R",AZ220="Unpaid","Q")</f>
        <v>R</v>
      </c>
      <c r="BB220" s="8" t="s">
        <v>2815</v>
      </c>
    </row>
    <row r="221" spans="1:54" x14ac:dyDescent="0.25">
      <c r="A221" s="2">
        <v>220</v>
      </c>
      <c r="B221" s="2">
        <v>220</v>
      </c>
      <c r="C221" s="2" t="s">
        <v>462</v>
      </c>
      <c r="D221" s="2" t="s">
        <v>1875</v>
      </c>
      <c r="E221" s="2" t="s">
        <v>463</v>
      </c>
      <c r="F221" s="4">
        <v>45616</v>
      </c>
      <c r="G221" s="8" t="s">
        <v>29</v>
      </c>
      <c r="H221" s="8" t="s">
        <v>1248</v>
      </c>
      <c r="I221" s="2" t="s">
        <v>14</v>
      </c>
      <c r="J221" s="2" t="s">
        <v>15</v>
      </c>
      <c r="K221" s="2" t="s">
        <v>791</v>
      </c>
      <c r="L221" s="2" t="s">
        <v>1260</v>
      </c>
      <c r="M221" s="2" t="s">
        <v>1261</v>
      </c>
      <c r="N221" s="2" t="s">
        <v>2235</v>
      </c>
      <c r="O221" s="4">
        <v>40332</v>
      </c>
      <c r="P221" s="2" t="s">
        <v>2660</v>
      </c>
      <c r="Q221" s="2" t="s">
        <v>2432</v>
      </c>
      <c r="R221" s="2" t="s">
        <v>2396</v>
      </c>
      <c r="S221" s="2" t="s">
        <v>820</v>
      </c>
      <c r="T221" s="2" t="s">
        <v>1507</v>
      </c>
      <c r="U221" s="2" t="s">
        <v>1277</v>
      </c>
      <c r="V221" s="2">
        <v>6444362112</v>
      </c>
      <c r="W221" s="2" t="s">
        <v>1023</v>
      </c>
      <c r="X221" s="2" t="s">
        <v>801</v>
      </c>
      <c r="Y221" s="2" t="s">
        <v>1184</v>
      </c>
      <c r="Z221" s="2" t="s">
        <v>1185</v>
      </c>
      <c r="AA221" s="2">
        <v>2500</v>
      </c>
      <c r="AB221" s="2">
        <v>200</v>
      </c>
      <c r="AC221" s="2">
        <v>400</v>
      </c>
      <c r="AD221" s="2">
        <v>200</v>
      </c>
      <c r="AE221" s="2">
        <f t="shared" si="27"/>
        <v>2900</v>
      </c>
      <c r="AF221" s="2">
        <v>1000</v>
      </c>
      <c r="AG221" s="4">
        <v>45626</v>
      </c>
      <c r="AH221" s="2">
        <f t="shared" si="28"/>
        <v>1900</v>
      </c>
      <c r="AI221" s="2">
        <v>500</v>
      </c>
      <c r="AJ221" s="4">
        <v>45656</v>
      </c>
      <c r="AK221" s="2">
        <f t="shared" si="29"/>
        <v>1400</v>
      </c>
      <c r="AL221" s="2">
        <v>500</v>
      </c>
      <c r="AM221" s="4">
        <v>45687</v>
      </c>
      <c r="AN221" s="2">
        <f t="shared" si="30"/>
        <v>900</v>
      </c>
      <c r="AO221" s="2" cm="1">
        <f t="array" ref="AO221">_xlfn.IFS(AN221&gt;=5000,3000,AN221&gt;=2000,1000,AN221&gt;=500,500,AN221&lt;500,AN221)</f>
        <v>500</v>
      </c>
      <c r="AP221" s="4">
        <v>45716</v>
      </c>
      <c r="AQ221" s="2">
        <f t="shared" si="31"/>
        <v>400</v>
      </c>
      <c r="AR221" s="2">
        <v>400</v>
      </c>
      <c r="AS221" s="4">
        <v>45744</v>
      </c>
      <c r="AT221" s="2">
        <f t="shared" si="32"/>
        <v>0</v>
      </c>
      <c r="AU221" s="2" t="s">
        <v>1200</v>
      </c>
      <c r="AV221" s="4" t="s">
        <v>1200</v>
      </c>
      <c r="AW221" s="2" t="s">
        <v>1200</v>
      </c>
      <c r="AX221" s="2">
        <f t="shared" si="33"/>
        <v>2900</v>
      </c>
      <c r="AY221" s="2">
        <f t="shared" si="34"/>
        <v>0</v>
      </c>
      <c r="AZ221" s="2" t="str">
        <f t="shared" si="35"/>
        <v>Paid</v>
      </c>
      <c r="BA221" s="9" t="str" cm="1">
        <f t="array" ref="BA221">_xlfn.IFS(AZ221="Paid","R",AZ221="Unpaid","Q")</f>
        <v>R</v>
      </c>
      <c r="BB221" s="8" t="s">
        <v>2815</v>
      </c>
    </row>
    <row r="222" spans="1:54" x14ac:dyDescent="0.25">
      <c r="A222" s="2">
        <v>221</v>
      </c>
      <c r="B222" s="2">
        <v>221</v>
      </c>
      <c r="C222" s="2" t="s">
        <v>464</v>
      </c>
      <c r="D222" s="2" t="s">
        <v>1876</v>
      </c>
      <c r="E222" s="2" t="s">
        <v>465</v>
      </c>
      <c r="F222" s="4">
        <v>45617</v>
      </c>
      <c r="G222" s="8" t="s">
        <v>70</v>
      </c>
      <c r="H222" s="8" t="s">
        <v>1247</v>
      </c>
      <c r="I222" s="2" t="s">
        <v>9</v>
      </c>
      <c r="J222" s="2" t="s">
        <v>15</v>
      </c>
      <c r="K222" s="2" t="s">
        <v>795</v>
      </c>
      <c r="L222" s="2" t="s">
        <v>1257</v>
      </c>
      <c r="M222" s="2" t="s">
        <v>1261</v>
      </c>
      <c r="N222" s="2" t="s">
        <v>2236</v>
      </c>
      <c r="O222" s="4">
        <v>33005</v>
      </c>
      <c r="P222" s="2" t="s">
        <v>2661</v>
      </c>
      <c r="Q222" s="2" t="s">
        <v>2539</v>
      </c>
      <c r="R222" s="2" t="s">
        <v>2393</v>
      </c>
      <c r="S222" s="2" t="s">
        <v>796</v>
      </c>
      <c r="T222" s="2" t="s">
        <v>1508</v>
      </c>
      <c r="U222" s="2" t="s">
        <v>1273</v>
      </c>
      <c r="V222" s="2">
        <v>9782064699</v>
      </c>
      <c r="W222" s="2" t="s">
        <v>1024</v>
      </c>
      <c r="X222" s="2" t="s">
        <v>807</v>
      </c>
      <c r="Y222" s="2" t="s">
        <v>1184</v>
      </c>
      <c r="Z222" s="2" t="s">
        <v>1185</v>
      </c>
      <c r="AA222" s="2">
        <v>8000</v>
      </c>
      <c r="AB222" s="2">
        <v>200</v>
      </c>
      <c r="AC222" s="2">
        <v>1000</v>
      </c>
      <c r="AD222" s="2">
        <v>0</v>
      </c>
      <c r="AE222" s="2">
        <f t="shared" si="27"/>
        <v>9200</v>
      </c>
      <c r="AF222" s="2">
        <v>2500</v>
      </c>
      <c r="AG222" s="4">
        <v>45627</v>
      </c>
      <c r="AH222" s="2">
        <f t="shared" si="28"/>
        <v>6700</v>
      </c>
      <c r="AI222" s="2">
        <v>3000</v>
      </c>
      <c r="AJ222" s="4">
        <v>45658</v>
      </c>
      <c r="AK222" s="2">
        <f t="shared" si="29"/>
        <v>3700</v>
      </c>
      <c r="AL222" s="2">
        <v>1000</v>
      </c>
      <c r="AM222" s="4">
        <v>45689</v>
      </c>
      <c r="AN222" s="2">
        <f t="shared" si="30"/>
        <v>2700</v>
      </c>
      <c r="AO222" s="2" cm="1">
        <f t="array" ref="AO222">_xlfn.IFS(AN222&gt;=5000,3000,AN222&gt;=2000,1000,AN222&gt;=500,500,AN222&lt;500,AN222)</f>
        <v>1000</v>
      </c>
      <c r="AP222" s="4">
        <v>45717</v>
      </c>
      <c r="AQ222" s="2">
        <f t="shared" si="31"/>
        <v>1700</v>
      </c>
      <c r="AR222" s="2">
        <v>1000</v>
      </c>
      <c r="AS222" s="4">
        <v>45748</v>
      </c>
      <c r="AT222" s="2">
        <f t="shared" si="32"/>
        <v>700</v>
      </c>
      <c r="AU222" s="2">
        <v>700</v>
      </c>
      <c r="AV222" s="4">
        <v>45778</v>
      </c>
      <c r="AW222" s="2">
        <v>0</v>
      </c>
      <c r="AX222" s="2">
        <f t="shared" si="33"/>
        <v>9200</v>
      </c>
      <c r="AY222" s="2">
        <f t="shared" si="34"/>
        <v>0</v>
      </c>
      <c r="AZ222" s="2" t="str">
        <f t="shared" si="35"/>
        <v>Paid</v>
      </c>
      <c r="BA222" s="9" t="str" cm="1">
        <f t="array" ref="BA222">_xlfn.IFS(AZ222="Paid","R",AZ222="Unpaid","Q")</f>
        <v>R</v>
      </c>
      <c r="BB222" s="8" t="s">
        <v>2815</v>
      </c>
    </row>
    <row r="223" spans="1:54" x14ac:dyDescent="0.25">
      <c r="A223" s="2">
        <v>222</v>
      </c>
      <c r="B223" s="2">
        <v>222</v>
      </c>
      <c r="C223" s="2" t="s">
        <v>466</v>
      </c>
      <c r="D223" s="2" t="s">
        <v>1877</v>
      </c>
      <c r="E223" s="2" t="s">
        <v>467</v>
      </c>
      <c r="F223" s="4">
        <v>45617</v>
      </c>
      <c r="G223" s="8" t="s">
        <v>13</v>
      </c>
      <c r="H223" s="8" t="s">
        <v>1254</v>
      </c>
      <c r="I223" s="2" t="s">
        <v>14</v>
      </c>
      <c r="J223" s="2" t="s">
        <v>15</v>
      </c>
      <c r="K223" s="2" t="s">
        <v>791</v>
      </c>
      <c r="L223" s="2" t="s">
        <v>1258</v>
      </c>
      <c r="M223" s="2" t="s">
        <v>1264</v>
      </c>
      <c r="N223" s="2" t="s">
        <v>2237</v>
      </c>
      <c r="O223" s="4">
        <v>37536</v>
      </c>
      <c r="P223" s="2" t="s">
        <v>2662</v>
      </c>
      <c r="Q223" s="2" t="s">
        <v>2505</v>
      </c>
      <c r="R223" s="2" t="s">
        <v>2393</v>
      </c>
      <c r="S223" s="2" t="s">
        <v>796</v>
      </c>
      <c r="T223" s="2" t="s">
        <v>1509</v>
      </c>
      <c r="U223" s="2" t="s">
        <v>1268</v>
      </c>
      <c r="V223" s="2">
        <v>9741746544</v>
      </c>
      <c r="W223" s="2" t="s">
        <v>1025</v>
      </c>
      <c r="X223" s="2" t="s">
        <v>794</v>
      </c>
      <c r="Y223" s="2" t="s">
        <v>1184</v>
      </c>
      <c r="Z223" s="2" t="s">
        <v>1185</v>
      </c>
      <c r="AA223" s="2">
        <v>3000</v>
      </c>
      <c r="AB223" s="2">
        <v>200</v>
      </c>
      <c r="AC223" s="2">
        <v>500</v>
      </c>
      <c r="AD223" s="2">
        <v>0</v>
      </c>
      <c r="AE223" s="2">
        <f t="shared" si="27"/>
        <v>3700</v>
      </c>
      <c r="AF223" s="2">
        <v>1000</v>
      </c>
      <c r="AG223" s="4">
        <v>45627</v>
      </c>
      <c r="AH223" s="2">
        <f t="shared" si="28"/>
        <v>2700</v>
      </c>
      <c r="AI223" s="2">
        <v>1000</v>
      </c>
      <c r="AJ223" s="4">
        <v>45658</v>
      </c>
      <c r="AK223" s="2">
        <f t="shared" si="29"/>
        <v>1700</v>
      </c>
      <c r="AL223" s="2">
        <v>500</v>
      </c>
      <c r="AM223" s="4">
        <v>45689</v>
      </c>
      <c r="AN223" s="2">
        <f t="shared" si="30"/>
        <v>1200</v>
      </c>
      <c r="AO223" s="2" cm="1">
        <f t="array" ref="AO223">_xlfn.IFS(AN223&gt;=5000,3000,AN223&gt;=2000,1000,AN223&gt;=500,500,AN223&lt;500,AN223)</f>
        <v>500</v>
      </c>
      <c r="AP223" s="4">
        <v>45717</v>
      </c>
      <c r="AQ223" s="2">
        <f t="shared" si="31"/>
        <v>700</v>
      </c>
      <c r="AR223" s="2">
        <v>500</v>
      </c>
      <c r="AS223" s="4">
        <v>45748</v>
      </c>
      <c r="AT223" s="2">
        <f t="shared" si="32"/>
        <v>200</v>
      </c>
      <c r="AU223" s="2">
        <v>200</v>
      </c>
      <c r="AV223" s="4">
        <v>45778</v>
      </c>
      <c r="AW223" s="2">
        <v>0</v>
      </c>
      <c r="AX223" s="2">
        <f t="shared" si="33"/>
        <v>3700</v>
      </c>
      <c r="AY223" s="2">
        <f t="shared" si="34"/>
        <v>0</v>
      </c>
      <c r="AZ223" s="2" t="str">
        <f t="shared" si="35"/>
        <v>Paid</v>
      </c>
      <c r="BA223" s="9" t="str" cm="1">
        <f t="array" ref="BA223">_xlfn.IFS(AZ223="Paid","R",AZ223="Unpaid","Q")</f>
        <v>R</v>
      </c>
      <c r="BB223" s="8" t="s">
        <v>2815</v>
      </c>
    </row>
    <row r="224" spans="1:54" x14ac:dyDescent="0.25">
      <c r="A224" s="2">
        <v>223</v>
      </c>
      <c r="B224" s="2">
        <v>223</v>
      </c>
      <c r="C224" s="2" t="s">
        <v>468</v>
      </c>
      <c r="D224" s="2" t="s">
        <v>1878</v>
      </c>
      <c r="E224" s="2" t="s">
        <v>469</v>
      </c>
      <c r="F224" s="4">
        <v>45618</v>
      </c>
      <c r="G224" s="8" t="s">
        <v>35</v>
      </c>
      <c r="H224" s="8" t="s">
        <v>1244</v>
      </c>
      <c r="I224" s="2" t="s">
        <v>14</v>
      </c>
      <c r="J224" s="2" t="s">
        <v>15</v>
      </c>
      <c r="K224" s="2" t="s">
        <v>791</v>
      </c>
      <c r="L224" s="2" t="s">
        <v>1256</v>
      </c>
      <c r="M224" s="2" t="s">
        <v>1263</v>
      </c>
      <c r="N224" s="2" t="s">
        <v>2238</v>
      </c>
      <c r="O224" s="4">
        <v>32656</v>
      </c>
      <c r="P224" s="2" t="s">
        <v>2663</v>
      </c>
      <c r="Q224" s="2" t="s">
        <v>2405</v>
      </c>
      <c r="R224" s="2" t="s">
        <v>2393</v>
      </c>
      <c r="S224" s="2" t="s">
        <v>820</v>
      </c>
      <c r="T224" s="2" t="s">
        <v>1510</v>
      </c>
      <c r="U224" s="2" t="s">
        <v>1270</v>
      </c>
      <c r="V224" s="2">
        <v>8922209067</v>
      </c>
      <c r="W224" s="2" t="s">
        <v>1026</v>
      </c>
      <c r="X224" s="2" t="s">
        <v>837</v>
      </c>
      <c r="Y224" s="2" t="s">
        <v>1184</v>
      </c>
      <c r="Z224" s="2" t="s">
        <v>1185</v>
      </c>
      <c r="AA224" s="2">
        <v>3000</v>
      </c>
      <c r="AB224" s="2">
        <v>200</v>
      </c>
      <c r="AC224" s="2">
        <v>500</v>
      </c>
      <c r="AD224" s="2">
        <v>500</v>
      </c>
      <c r="AE224" s="2">
        <f t="shared" si="27"/>
        <v>3200</v>
      </c>
      <c r="AF224" s="2">
        <v>1000</v>
      </c>
      <c r="AG224" s="4">
        <v>45628</v>
      </c>
      <c r="AH224" s="2">
        <f t="shared" si="28"/>
        <v>2200</v>
      </c>
      <c r="AI224" s="2">
        <v>1000</v>
      </c>
      <c r="AJ224" s="4">
        <v>45659</v>
      </c>
      <c r="AK224" s="2">
        <f t="shared" si="29"/>
        <v>1200</v>
      </c>
      <c r="AL224" s="2">
        <v>500</v>
      </c>
      <c r="AM224" s="4">
        <v>45690</v>
      </c>
      <c r="AN224" s="2">
        <f t="shared" si="30"/>
        <v>700</v>
      </c>
      <c r="AO224" s="2" cm="1">
        <f t="array" ref="AO224">_xlfn.IFS(AN224&gt;=5000,3000,AN224&gt;=2000,1000,AN224&gt;=500,500,AN224&lt;500,AN224)</f>
        <v>500</v>
      </c>
      <c r="AP224" s="4">
        <v>45718</v>
      </c>
      <c r="AQ224" s="2">
        <f t="shared" si="31"/>
        <v>200</v>
      </c>
      <c r="AR224" s="2">
        <v>200</v>
      </c>
      <c r="AS224" s="4">
        <v>45749</v>
      </c>
      <c r="AT224" s="2">
        <f t="shared" si="32"/>
        <v>0</v>
      </c>
      <c r="AU224" s="2" t="s">
        <v>1200</v>
      </c>
      <c r="AV224" s="4" t="s">
        <v>1200</v>
      </c>
      <c r="AW224" s="2" t="s">
        <v>1200</v>
      </c>
      <c r="AX224" s="2">
        <f t="shared" si="33"/>
        <v>3200</v>
      </c>
      <c r="AY224" s="2">
        <f t="shared" si="34"/>
        <v>0</v>
      </c>
      <c r="AZ224" s="2" t="str">
        <f t="shared" si="35"/>
        <v>Paid</v>
      </c>
      <c r="BA224" s="9" t="str" cm="1">
        <f t="array" ref="BA224">_xlfn.IFS(AZ224="Paid","R",AZ224="Unpaid","Q")</f>
        <v>R</v>
      </c>
      <c r="BB224" s="8" t="s">
        <v>2815</v>
      </c>
    </row>
    <row r="225" spans="1:54" x14ac:dyDescent="0.25">
      <c r="A225" s="2">
        <v>224</v>
      </c>
      <c r="B225" s="2">
        <v>224</v>
      </c>
      <c r="C225" s="2" t="s">
        <v>470</v>
      </c>
      <c r="D225" s="2" t="s">
        <v>1696</v>
      </c>
      <c r="E225" s="2" t="s">
        <v>471</v>
      </c>
      <c r="F225" s="4">
        <v>45619</v>
      </c>
      <c r="G225" s="8" t="s">
        <v>95</v>
      </c>
      <c r="H225" s="8" t="s">
        <v>1245</v>
      </c>
      <c r="I225" s="2" t="s">
        <v>14</v>
      </c>
      <c r="J225" s="2" t="s">
        <v>15</v>
      </c>
      <c r="K225" s="2" t="s">
        <v>791</v>
      </c>
      <c r="L225" s="2" t="s">
        <v>1259</v>
      </c>
      <c r="M225" s="2" t="s">
        <v>1262</v>
      </c>
      <c r="N225" s="2" t="s">
        <v>2239</v>
      </c>
      <c r="O225" s="4">
        <v>37733</v>
      </c>
      <c r="P225" s="2" t="s">
        <v>2664</v>
      </c>
      <c r="Q225" s="2" t="s">
        <v>2527</v>
      </c>
      <c r="R225" s="2" t="s">
        <v>2393</v>
      </c>
      <c r="S225" s="2" t="s">
        <v>792</v>
      </c>
      <c r="T225" s="2" t="s">
        <v>1511</v>
      </c>
      <c r="U225" s="2" t="s">
        <v>1286</v>
      </c>
      <c r="V225" s="2">
        <v>6440322886</v>
      </c>
      <c r="W225" s="2" t="s">
        <v>1027</v>
      </c>
      <c r="X225" s="2" t="s">
        <v>837</v>
      </c>
      <c r="Y225" s="2" t="s">
        <v>1184</v>
      </c>
      <c r="Z225" s="2" t="s">
        <v>1185</v>
      </c>
      <c r="AA225" s="2">
        <v>3500</v>
      </c>
      <c r="AB225" s="2">
        <v>200</v>
      </c>
      <c r="AC225" s="2">
        <v>500</v>
      </c>
      <c r="AD225" s="2">
        <v>0</v>
      </c>
      <c r="AE225" s="2">
        <f t="shared" si="27"/>
        <v>4200</v>
      </c>
      <c r="AF225" s="2">
        <v>1000</v>
      </c>
      <c r="AG225" s="4">
        <v>45629</v>
      </c>
      <c r="AH225" s="2">
        <f t="shared" si="28"/>
        <v>3200</v>
      </c>
      <c r="AI225" s="2">
        <v>1000</v>
      </c>
      <c r="AJ225" s="4">
        <v>45660</v>
      </c>
      <c r="AK225" s="2">
        <f t="shared" si="29"/>
        <v>2200</v>
      </c>
      <c r="AL225" s="2">
        <v>1000</v>
      </c>
      <c r="AM225" s="4">
        <v>45691</v>
      </c>
      <c r="AN225" s="2">
        <f t="shared" si="30"/>
        <v>1200</v>
      </c>
      <c r="AO225" s="2" cm="1">
        <f t="array" ref="AO225">_xlfn.IFS(AN225&gt;=5000,3000,AN225&gt;=2000,1000,AN225&gt;=500,500,AN225&lt;500,AN225)</f>
        <v>500</v>
      </c>
      <c r="AP225" s="4">
        <v>45719</v>
      </c>
      <c r="AQ225" s="2">
        <f t="shared" si="31"/>
        <v>700</v>
      </c>
      <c r="AR225" s="2">
        <v>500</v>
      </c>
      <c r="AS225" s="4">
        <v>45750</v>
      </c>
      <c r="AT225" s="2">
        <f t="shared" si="32"/>
        <v>200</v>
      </c>
      <c r="AU225" s="2">
        <v>200</v>
      </c>
      <c r="AV225" s="4">
        <v>45780</v>
      </c>
      <c r="AW225" s="2">
        <v>0</v>
      </c>
      <c r="AX225" s="2">
        <f t="shared" si="33"/>
        <v>4200</v>
      </c>
      <c r="AY225" s="2">
        <f t="shared" si="34"/>
        <v>0</v>
      </c>
      <c r="AZ225" s="2" t="str">
        <f t="shared" si="35"/>
        <v>Paid</v>
      </c>
      <c r="BA225" s="9" t="str" cm="1">
        <f t="array" ref="BA225">_xlfn.IFS(AZ225="Paid","R",AZ225="Unpaid","Q")</f>
        <v>R</v>
      </c>
      <c r="BB225" s="8" t="s">
        <v>2815</v>
      </c>
    </row>
    <row r="226" spans="1:54" x14ac:dyDescent="0.25">
      <c r="A226" s="2">
        <v>225</v>
      </c>
      <c r="B226" s="2">
        <v>225</v>
      </c>
      <c r="C226" s="2" t="s">
        <v>472</v>
      </c>
      <c r="D226" s="2" t="s">
        <v>1879</v>
      </c>
      <c r="E226" s="2" t="s">
        <v>473</v>
      </c>
      <c r="F226" s="4">
        <v>45620</v>
      </c>
      <c r="G226" s="8" t="s">
        <v>29</v>
      </c>
      <c r="H226" s="8" t="s">
        <v>1248</v>
      </c>
      <c r="I226" s="2" t="s">
        <v>14</v>
      </c>
      <c r="J226" s="2" t="s">
        <v>15</v>
      </c>
      <c r="K226" s="2" t="s">
        <v>791</v>
      </c>
      <c r="L226" s="2" t="s">
        <v>1260</v>
      </c>
      <c r="M226" s="2" t="s">
        <v>1261</v>
      </c>
      <c r="N226" s="2" t="s">
        <v>2240</v>
      </c>
      <c r="O226" s="4">
        <v>39267</v>
      </c>
      <c r="P226" s="2" t="s">
        <v>2665</v>
      </c>
      <c r="Q226" s="2" t="s">
        <v>2472</v>
      </c>
      <c r="R226" s="2" t="s">
        <v>2393</v>
      </c>
      <c r="S226" s="2" t="s">
        <v>788</v>
      </c>
      <c r="T226" s="2" t="s">
        <v>1512</v>
      </c>
      <c r="U226" s="2" t="s">
        <v>1271</v>
      </c>
      <c r="V226" s="2">
        <v>6396810125</v>
      </c>
      <c r="W226" s="2" t="s">
        <v>1028</v>
      </c>
      <c r="X226" s="2" t="s">
        <v>801</v>
      </c>
      <c r="Y226" s="2" t="s">
        <v>1184</v>
      </c>
      <c r="Z226" s="2" t="s">
        <v>1185</v>
      </c>
      <c r="AA226" s="2">
        <v>2500</v>
      </c>
      <c r="AB226" s="2">
        <v>200</v>
      </c>
      <c r="AC226" s="2">
        <v>400</v>
      </c>
      <c r="AD226" s="2">
        <v>0</v>
      </c>
      <c r="AE226" s="2">
        <f t="shared" si="27"/>
        <v>3100</v>
      </c>
      <c r="AF226" s="2">
        <v>1000</v>
      </c>
      <c r="AG226" s="4">
        <v>45630</v>
      </c>
      <c r="AH226" s="2">
        <f t="shared" si="28"/>
        <v>2100</v>
      </c>
      <c r="AI226" s="2">
        <v>1000</v>
      </c>
      <c r="AJ226" s="4">
        <v>45661</v>
      </c>
      <c r="AK226" s="2">
        <f t="shared" si="29"/>
        <v>1100</v>
      </c>
      <c r="AL226" s="2">
        <v>500</v>
      </c>
      <c r="AM226" s="4">
        <v>45692</v>
      </c>
      <c r="AN226" s="2">
        <f t="shared" si="30"/>
        <v>600</v>
      </c>
      <c r="AO226" s="2" cm="1">
        <f t="array" ref="AO226">_xlfn.IFS(AN226&gt;=5000,3000,AN226&gt;=2000,1000,AN226&gt;=500,500,AN226&lt;500,AN226)</f>
        <v>500</v>
      </c>
      <c r="AP226" s="4">
        <v>45720</v>
      </c>
      <c r="AQ226" s="2">
        <f t="shared" si="31"/>
        <v>100</v>
      </c>
      <c r="AR226" s="2">
        <v>100</v>
      </c>
      <c r="AS226" s="4">
        <v>45751</v>
      </c>
      <c r="AT226" s="2">
        <f t="shared" si="32"/>
        <v>0</v>
      </c>
      <c r="AU226" s="2" t="s">
        <v>1200</v>
      </c>
      <c r="AV226" s="4" t="s">
        <v>1200</v>
      </c>
      <c r="AW226" s="2" t="s">
        <v>1200</v>
      </c>
      <c r="AX226" s="2">
        <f t="shared" si="33"/>
        <v>3100</v>
      </c>
      <c r="AY226" s="2">
        <f t="shared" si="34"/>
        <v>0</v>
      </c>
      <c r="AZ226" s="2" t="str">
        <f t="shared" si="35"/>
        <v>Paid</v>
      </c>
      <c r="BA226" s="9" t="str" cm="1">
        <f t="array" ref="BA226">_xlfn.IFS(AZ226="Paid","R",AZ226="Unpaid","Q")</f>
        <v>R</v>
      </c>
      <c r="BB226" s="8" t="s">
        <v>2815</v>
      </c>
    </row>
    <row r="227" spans="1:54" x14ac:dyDescent="0.25">
      <c r="A227" s="2">
        <v>226</v>
      </c>
      <c r="B227" s="2">
        <v>226</v>
      </c>
      <c r="C227" s="2" t="s">
        <v>474</v>
      </c>
      <c r="D227" s="2" t="s">
        <v>1880</v>
      </c>
      <c r="E227" s="2" t="s">
        <v>475</v>
      </c>
      <c r="F227" s="4">
        <v>45620</v>
      </c>
      <c r="G227" s="8" t="s">
        <v>8</v>
      </c>
      <c r="H227" s="8" t="s">
        <v>1242</v>
      </c>
      <c r="I227" s="2" t="s">
        <v>9</v>
      </c>
      <c r="J227" s="2" t="s">
        <v>10</v>
      </c>
      <c r="K227" s="2" t="s">
        <v>787</v>
      </c>
      <c r="L227" s="2" t="s">
        <v>1258</v>
      </c>
      <c r="M227" s="2" t="s">
        <v>1264</v>
      </c>
      <c r="N227" s="2" t="s">
        <v>2241</v>
      </c>
      <c r="O227" s="4">
        <v>39802</v>
      </c>
      <c r="P227" s="2" t="s">
        <v>2666</v>
      </c>
      <c r="Q227" s="2" t="s">
        <v>2403</v>
      </c>
      <c r="R227" s="2" t="s">
        <v>2393</v>
      </c>
      <c r="S227" s="2" t="s">
        <v>820</v>
      </c>
      <c r="T227" s="2" t="s">
        <v>1513</v>
      </c>
      <c r="U227" s="2" t="s">
        <v>1282</v>
      </c>
      <c r="V227" s="2">
        <v>8940429794</v>
      </c>
      <c r="W227" s="2" t="s">
        <v>1029</v>
      </c>
      <c r="X227" s="2" t="s">
        <v>809</v>
      </c>
      <c r="Y227" s="2" t="s">
        <v>1184</v>
      </c>
      <c r="Z227" s="2" t="s">
        <v>1185</v>
      </c>
      <c r="AA227" s="2">
        <v>12500</v>
      </c>
      <c r="AB227" s="2">
        <v>200</v>
      </c>
      <c r="AC227" s="2">
        <v>1200</v>
      </c>
      <c r="AD227" s="2">
        <v>300</v>
      </c>
      <c r="AE227" s="2">
        <f t="shared" si="27"/>
        <v>13600</v>
      </c>
      <c r="AF227" s="2">
        <v>5000</v>
      </c>
      <c r="AG227" s="4">
        <v>45630</v>
      </c>
      <c r="AH227" s="2">
        <f t="shared" si="28"/>
        <v>8600</v>
      </c>
      <c r="AI227" s="2">
        <v>3000</v>
      </c>
      <c r="AJ227" s="4">
        <v>45661</v>
      </c>
      <c r="AK227" s="2">
        <f t="shared" si="29"/>
        <v>5600</v>
      </c>
      <c r="AL227" s="2">
        <v>3000</v>
      </c>
      <c r="AM227" s="4">
        <v>45692</v>
      </c>
      <c r="AN227" s="2">
        <f t="shared" si="30"/>
        <v>2600</v>
      </c>
      <c r="AO227" s="2" cm="1">
        <f t="array" ref="AO227">_xlfn.IFS(AN227&gt;=5000,3000,AN227&gt;=2000,1000,AN227&gt;=500,500,AN227&lt;500,AN227)</f>
        <v>1000</v>
      </c>
      <c r="AP227" s="4">
        <v>45720</v>
      </c>
      <c r="AQ227" s="2">
        <f t="shared" si="31"/>
        <v>1600</v>
      </c>
      <c r="AR227" s="2">
        <v>1000</v>
      </c>
      <c r="AS227" s="4">
        <v>45751</v>
      </c>
      <c r="AT227" s="2">
        <f t="shared" si="32"/>
        <v>600</v>
      </c>
      <c r="AU227" s="2">
        <v>600</v>
      </c>
      <c r="AV227" s="4">
        <v>45781</v>
      </c>
      <c r="AW227" s="2">
        <v>0</v>
      </c>
      <c r="AX227" s="2">
        <f t="shared" si="33"/>
        <v>13600</v>
      </c>
      <c r="AY227" s="2">
        <f t="shared" si="34"/>
        <v>0</v>
      </c>
      <c r="AZ227" s="2" t="str">
        <f t="shared" si="35"/>
        <v>Paid</v>
      </c>
      <c r="BA227" s="9" t="str" cm="1">
        <f t="array" ref="BA227">_xlfn.IFS(AZ227="Paid","R",AZ227="Unpaid","Q")</f>
        <v>R</v>
      </c>
      <c r="BB227" s="8" t="s">
        <v>2815</v>
      </c>
    </row>
    <row r="228" spans="1:54" x14ac:dyDescent="0.25">
      <c r="A228" s="2">
        <v>227</v>
      </c>
      <c r="B228" s="2">
        <v>227</v>
      </c>
      <c r="C228" s="2" t="s">
        <v>476</v>
      </c>
      <c r="D228" s="2" t="s">
        <v>1881</v>
      </c>
      <c r="E228" s="2" t="s">
        <v>477</v>
      </c>
      <c r="F228" s="4">
        <v>45621</v>
      </c>
      <c r="G228" s="8" t="s">
        <v>45</v>
      </c>
      <c r="H228" s="8" t="s">
        <v>1250</v>
      </c>
      <c r="I228" s="2" t="s">
        <v>14</v>
      </c>
      <c r="J228" s="2" t="s">
        <v>15</v>
      </c>
      <c r="K228" s="2" t="s">
        <v>791</v>
      </c>
      <c r="L228" s="2" t="s">
        <v>1257</v>
      </c>
      <c r="M228" s="2" t="s">
        <v>1261</v>
      </c>
      <c r="N228" s="2" t="s">
        <v>2242</v>
      </c>
      <c r="O228" s="4">
        <v>33451</v>
      </c>
      <c r="P228" s="2" t="s">
        <v>2667</v>
      </c>
      <c r="Q228" s="2" t="s">
        <v>2405</v>
      </c>
      <c r="R228" s="2" t="s">
        <v>2393</v>
      </c>
      <c r="S228" s="2" t="s">
        <v>788</v>
      </c>
      <c r="T228" s="2" t="s">
        <v>1514</v>
      </c>
      <c r="U228" s="2" t="s">
        <v>1280</v>
      </c>
      <c r="V228" s="2">
        <v>9291479038</v>
      </c>
      <c r="W228" s="2" t="s">
        <v>1030</v>
      </c>
      <c r="X228" s="2" t="s">
        <v>809</v>
      </c>
      <c r="Y228" s="2" t="s">
        <v>1184</v>
      </c>
      <c r="Z228" s="2" t="s">
        <v>1185</v>
      </c>
      <c r="AA228" s="2">
        <v>2000</v>
      </c>
      <c r="AB228" s="2">
        <v>200</v>
      </c>
      <c r="AC228" s="2">
        <v>300</v>
      </c>
      <c r="AD228" s="2">
        <v>500</v>
      </c>
      <c r="AE228" s="2">
        <f t="shared" si="27"/>
        <v>2000</v>
      </c>
      <c r="AF228" s="2">
        <v>500</v>
      </c>
      <c r="AG228" s="4">
        <v>45631</v>
      </c>
      <c r="AH228" s="2">
        <f t="shared" si="28"/>
        <v>1500</v>
      </c>
      <c r="AI228" s="2">
        <v>500</v>
      </c>
      <c r="AJ228" s="4">
        <v>45662</v>
      </c>
      <c r="AK228" s="2">
        <f t="shared" si="29"/>
        <v>1000</v>
      </c>
      <c r="AL228" s="2">
        <v>500</v>
      </c>
      <c r="AM228" s="4">
        <v>45693</v>
      </c>
      <c r="AN228" s="2">
        <f t="shared" si="30"/>
        <v>500</v>
      </c>
      <c r="AO228" s="2" cm="1">
        <f t="array" ref="AO228">_xlfn.IFS(AN228&gt;=5000,3000,AN228&gt;=2000,1000,AN228&gt;=500,500,AN228&lt;500,AN228)</f>
        <v>500</v>
      </c>
      <c r="AP228" s="4">
        <v>45721</v>
      </c>
      <c r="AQ228" s="2">
        <f t="shared" si="31"/>
        <v>0</v>
      </c>
      <c r="AR228" s="2" t="s">
        <v>1200</v>
      </c>
      <c r="AS228" s="4" t="s">
        <v>1200</v>
      </c>
      <c r="AT228" s="2" t="str">
        <f t="shared" si="32"/>
        <v/>
      </c>
      <c r="AU228" s="2" t="s">
        <v>1200</v>
      </c>
      <c r="AV228" s="4" t="s">
        <v>1200</v>
      </c>
      <c r="AW228" s="2" t="s">
        <v>1200</v>
      </c>
      <c r="AX228" s="2">
        <f t="shared" si="33"/>
        <v>2000</v>
      </c>
      <c r="AY228" s="2">
        <f t="shared" si="34"/>
        <v>0</v>
      </c>
      <c r="AZ228" s="2" t="str">
        <f t="shared" si="35"/>
        <v>Paid</v>
      </c>
      <c r="BA228" s="9" t="str" cm="1">
        <f t="array" ref="BA228">_xlfn.IFS(AZ228="Paid","R",AZ228="Unpaid","Q")</f>
        <v>R</v>
      </c>
      <c r="BB228" s="8" t="s">
        <v>2815</v>
      </c>
    </row>
    <row r="229" spans="1:54" x14ac:dyDescent="0.25">
      <c r="A229" s="2">
        <v>228</v>
      </c>
      <c r="B229" s="2">
        <v>228</v>
      </c>
      <c r="C229" s="2" t="s">
        <v>478</v>
      </c>
      <c r="D229" s="2" t="s">
        <v>1882</v>
      </c>
      <c r="E229" s="2" t="s">
        <v>479</v>
      </c>
      <c r="F229" s="4">
        <v>45622</v>
      </c>
      <c r="G229" s="8" t="s">
        <v>32</v>
      </c>
      <c r="H229" s="8" t="s">
        <v>1249</v>
      </c>
      <c r="I229" s="2" t="s">
        <v>14</v>
      </c>
      <c r="J229" s="2" t="s">
        <v>15</v>
      </c>
      <c r="K229" s="2" t="s">
        <v>791</v>
      </c>
      <c r="L229" s="2" t="s">
        <v>1260</v>
      </c>
      <c r="M229" s="2" t="s">
        <v>1261</v>
      </c>
      <c r="N229" s="2" t="s">
        <v>2243</v>
      </c>
      <c r="O229" s="4">
        <v>35954</v>
      </c>
      <c r="P229" s="2" t="s">
        <v>2668</v>
      </c>
      <c r="Q229" s="2" t="s">
        <v>2478</v>
      </c>
      <c r="R229" s="2" t="s">
        <v>2393</v>
      </c>
      <c r="S229" s="2" t="s">
        <v>820</v>
      </c>
      <c r="T229" s="2" t="s">
        <v>1515</v>
      </c>
      <c r="U229" s="2" t="s">
        <v>1268</v>
      </c>
      <c r="V229" s="2">
        <v>8905197698</v>
      </c>
      <c r="W229" s="2" t="s">
        <v>1031</v>
      </c>
      <c r="X229" s="2" t="s">
        <v>798</v>
      </c>
      <c r="Y229" s="2" t="s">
        <v>1184</v>
      </c>
      <c r="Z229" s="2" t="s">
        <v>1185</v>
      </c>
      <c r="AA229" s="2">
        <v>2000</v>
      </c>
      <c r="AB229" s="2">
        <v>200</v>
      </c>
      <c r="AC229" s="2">
        <v>300</v>
      </c>
      <c r="AD229" s="2">
        <v>0</v>
      </c>
      <c r="AE229" s="2">
        <f t="shared" si="27"/>
        <v>2500</v>
      </c>
      <c r="AF229" s="2">
        <v>1000</v>
      </c>
      <c r="AG229" s="4">
        <v>45632</v>
      </c>
      <c r="AH229" s="2">
        <f t="shared" si="28"/>
        <v>1500</v>
      </c>
      <c r="AI229" s="2">
        <v>500</v>
      </c>
      <c r="AJ229" s="4">
        <v>45663</v>
      </c>
      <c r="AK229" s="2">
        <f t="shared" si="29"/>
        <v>1000</v>
      </c>
      <c r="AL229" s="2">
        <v>500</v>
      </c>
      <c r="AM229" s="4">
        <v>45694</v>
      </c>
      <c r="AN229" s="2">
        <f t="shared" si="30"/>
        <v>500</v>
      </c>
      <c r="AO229" s="2" cm="1">
        <f t="array" ref="AO229">_xlfn.IFS(AN229&gt;=5000,3000,AN229&gt;=2000,1000,AN229&gt;=500,500,AN229&lt;500,AN229)</f>
        <v>500</v>
      </c>
      <c r="AP229" s="4">
        <v>45722</v>
      </c>
      <c r="AQ229" s="2">
        <f t="shared" si="31"/>
        <v>0</v>
      </c>
      <c r="AR229" s="2" t="s">
        <v>1200</v>
      </c>
      <c r="AS229" s="4" t="s">
        <v>1200</v>
      </c>
      <c r="AT229" s="2" t="str">
        <f t="shared" si="32"/>
        <v/>
      </c>
      <c r="AU229" s="2" t="s">
        <v>1200</v>
      </c>
      <c r="AV229" s="4" t="s">
        <v>1200</v>
      </c>
      <c r="AW229" s="2" t="s">
        <v>1200</v>
      </c>
      <c r="AX229" s="2">
        <f t="shared" si="33"/>
        <v>2500</v>
      </c>
      <c r="AY229" s="2">
        <f t="shared" si="34"/>
        <v>0</v>
      </c>
      <c r="AZ229" s="2" t="str">
        <f t="shared" si="35"/>
        <v>Paid</v>
      </c>
      <c r="BA229" s="9" t="str" cm="1">
        <f t="array" ref="BA229">_xlfn.IFS(AZ229="Paid","R",AZ229="Unpaid","Q")</f>
        <v>R</v>
      </c>
      <c r="BB229" s="8" t="s">
        <v>2815</v>
      </c>
    </row>
    <row r="230" spans="1:54" x14ac:dyDescent="0.25">
      <c r="A230" s="2">
        <v>229</v>
      </c>
      <c r="B230" s="2">
        <v>229</v>
      </c>
      <c r="C230" s="2" t="s">
        <v>480</v>
      </c>
      <c r="D230" s="2" t="s">
        <v>1883</v>
      </c>
      <c r="E230" s="2" t="s">
        <v>481</v>
      </c>
      <c r="F230" s="4">
        <v>45623</v>
      </c>
      <c r="G230" s="8" t="s">
        <v>45</v>
      </c>
      <c r="H230" s="8" t="s">
        <v>1250</v>
      </c>
      <c r="I230" s="2" t="s">
        <v>14</v>
      </c>
      <c r="J230" s="2" t="s">
        <v>15</v>
      </c>
      <c r="K230" s="2" t="s">
        <v>791</v>
      </c>
      <c r="L230" s="2" t="s">
        <v>1259</v>
      </c>
      <c r="M230" s="2" t="s">
        <v>1262</v>
      </c>
      <c r="N230" s="2" t="s">
        <v>2244</v>
      </c>
      <c r="O230" s="4">
        <v>34989</v>
      </c>
      <c r="P230" s="2" t="s">
        <v>2669</v>
      </c>
      <c r="Q230" s="2" t="s">
        <v>2398</v>
      </c>
      <c r="R230" s="2" t="s">
        <v>2393</v>
      </c>
      <c r="S230" s="2" t="s">
        <v>792</v>
      </c>
      <c r="T230" s="2" t="s">
        <v>1516</v>
      </c>
      <c r="U230" s="2" t="s">
        <v>1274</v>
      </c>
      <c r="V230" s="2">
        <v>8763935651</v>
      </c>
      <c r="W230" s="2" t="s">
        <v>1032</v>
      </c>
      <c r="X230" s="2" t="s">
        <v>813</v>
      </c>
      <c r="Y230" s="2" t="s">
        <v>1184</v>
      </c>
      <c r="Z230" s="2" t="s">
        <v>1185</v>
      </c>
      <c r="AA230" s="2">
        <v>2000</v>
      </c>
      <c r="AB230" s="2">
        <v>200</v>
      </c>
      <c r="AC230" s="2">
        <v>300</v>
      </c>
      <c r="AD230" s="2">
        <v>0</v>
      </c>
      <c r="AE230" s="2">
        <f t="shared" si="27"/>
        <v>2500</v>
      </c>
      <c r="AF230" s="2">
        <v>1000</v>
      </c>
      <c r="AG230" s="4">
        <v>45633</v>
      </c>
      <c r="AH230" s="2">
        <f t="shared" si="28"/>
        <v>1500</v>
      </c>
      <c r="AI230" s="2">
        <v>500</v>
      </c>
      <c r="AJ230" s="4">
        <v>45664</v>
      </c>
      <c r="AK230" s="2">
        <f t="shared" si="29"/>
        <v>1000</v>
      </c>
      <c r="AL230" s="2">
        <v>500</v>
      </c>
      <c r="AM230" s="4">
        <v>45695</v>
      </c>
      <c r="AN230" s="2">
        <f t="shared" si="30"/>
        <v>500</v>
      </c>
      <c r="AO230" s="2" cm="1">
        <f t="array" ref="AO230">_xlfn.IFS(AN230&gt;=5000,3000,AN230&gt;=2000,1000,AN230&gt;=500,500,AN230&lt;500,AN230)</f>
        <v>500</v>
      </c>
      <c r="AP230" s="4">
        <v>45723</v>
      </c>
      <c r="AQ230" s="2">
        <f t="shared" si="31"/>
        <v>0</v>
      </c>
      <c r="AR230" s="2" t="s">
        <v>1200</v>
      </c>
      <c r="AS230" s="4" t="s">
        <v>1200</v>
      </c>
      <c r="AT230" s="2" t="str">
        <f t="shared" si="32"/>
        <v/>
      </c>
      <c r="AU230" s="2" t="s">
        <v>1200</v>
      </c>
      <c r="AV230" s="4" t="s">
        <v>1200</v>
      </c>
      <c r="AW230" s="2" t="s">
        <v>1200</v>
      </c>
      <c r="AX230" s="2">
        <f t="shared" si="33"/>
        <v>2500</v>
      </c>
      <c r="AY230" s="2">
        <f t="shared" si="34"/>
        <v>0</v>
      </c>
      <c r="AZ230" s="2" t="str">
        <f t="shared" si="35"/>
        <v>Paid</v>
      </c>
      <c r="BA230" s="9" t="str" cm="1">
        <f t="array" ref="BA230">_xlfn.IFS(AZ230="Paid","R",AZ230="Unpaid","Q")</f>
        <v>R</v>
      </c>
      <c r="BB230" s="8" t="s">
        <v>2815</v>
      </c>
    </row>
    <row r="231" spans="1:54" x14ac:dyDescent="0.25">
      <c r="A231" s="2">
        <v>230</v>
      </c>
      <c r="B231" s="2">
        <v>230</v>
      </c>
      <c r="C231" s="2" t="s">
        <v>482</v>
      </c>
      <c r="D231" s="2" t="s">
        <v>1884</v>
      </c>
      <c r="E231" s="2" t="s">
        <v>483</v>
      </c>
      <c r="F231" s="4">
        <v>45629</v>
      </c>
      <c r="G231" s="8" t="s">
        <v>18</v>
      </c>
      <c r="H231" s="8" t="s">
        <v>1253</v>
      </c>
      <c r="I231" s="2" t="s">
        <v>9</v>
      </c>
      <c r="J231" s="2" t="s">
        <v>15</v>
      </c>
      <c r="K231" s="2" t="s">
        <v>795</v>
      </c>
      <c r="L231" s="2" t="s">
        <v>1259</v>
      </c>
      <c r="M231" s="2" t="s">
        <v>1262</v>
      </c>
      <c r="N231" s="2" t="s">
        <v>2245</v>
      </c>
      <c r="O231" s="4">
        <v>39228</v>
      </c>
      <c r="P231" s="2" t="s">
        <v>2670</v>
      </c>
      <c r="Q231" s="2" t="s">
        <v>2434</v>
      </c>
      <c r="R231" s="2" t="s">
        <v>2393</v>
      </c>
      <c r="S231" s="2" t="s">
        <v>820</v>
      </c>
      <c r="T231" s="2" t="s">
        <v>1517</v>
      </c>
      <c r="U231" s="2" t="s">
        <v>1283</v>
      </c>
      <c r="V231" s="2">
        <v>9603884747</v>
      </c>
      <c r="W231" s="2" t="s">
        <v>1033</v>
      </c>
      <c r="X231" s="2" t="s">
        <v>809</v>
      </c>
      <c r="Y231" s="2" t="s">
        <v>1184</v>
      </c>
      <c r="Z231" s="2" t="s">
        <v>1185</v>
      </c>
      <c r="AA231" s="2">
        <v>7000</v>
      </c>
      <c r="AB231" s="2">
        <v>200</v>
      </c>
      <c r="AC231" s="2">
        <v>800</v>
      </c>
      <c r="AD231" s="2">
        <v>0</v>
      </c>
      <c r="AE231" s="2">
        <f t="shared" si="27"/>
        <v>8000</v>
      </c>
      <c r="AF231" s="2">
        <v>2500</v>
      </c>
      <c r="AG231" s="4">
        <v>45639</v>
      </c>
      <c r="AH231" s="2">
        <f t="shared" si="28"/>
        <v>5500</v>
      </c>
      <c r="AI231" s="2">
        <v>3000</v>
      </c>
      <c r="AJ231" s="4">
        <v>45670</v>
      </c>
      <c r="AK231" s="2">
        <f t="shared" si="29"/>
        <v>2500</v>
      </c>
      <c r="AL231" s="2">
        <v>1000</v>
      </c>
      <c r="AM231" s="4">
        <v>45701</v>
      </c>
      <c r="AN231" s="2">
        <f t="shared" si="30"/>
        <v>1500</v>
      </c>
      <c r="AO231" s="2" cm="1">
        <f t="array" ref="AO231">_xlfn.IFS(AN231&gt;=5000,3000,AN231&gt;=2000,1000,AN231&gt;=500,500,AN231&lt;500,AN231)</f>
        <v>500</v>
      </c>
      <c r="AP231" s="4">
        <v>45729</v>
      </c>
      <c r="AQ231" s="2">
        <f t="shared" si="31"/>
        <v>1000</v>
      </c>
      <c r="AR231" s="2">
        <v>1000</v>
      </c>
      <c r="AS231" s="4">
        <v>45760</v>
      </c>
      <c r="AT231" s="2">
        <f t="shared" si="32"/>
        <v>0</v>
      </c>
      <c r="AU231" s="2" t="s">
        <v>1200</v>
      </c>
      <c r="AV231" s="4" t="s">
        <v>1200</v>
      </c>
      <c r="AW231" s="2" t="s">
        <v>1200</v>
      </c>
      <c r="AX231" s="2">
        <f t="shared" si="33"/>
        <v>8000</v>
      </c>
      <c r="AY231" s="2">
        <f t="shared" si="34"/>
        <v>0</v>
      </c>
      <c r="AZ231" s="2" t="str">
        <f t="shared" si="35"/>
        <v>Paid</v>
      </c>
      <c r="BA231" s="9" t="str" cm="1">
        <f t="array" ref="BA231">_xlfn.IFS(AZ231="Paid","R",AZ231="Unpaid","Q")</f>
        <v>R</v>
      </c>
      <c r="BB231" s="8" t="s">
        <v>2815</v>
      </c>
    </row>
    <row r="232" spans="1:54" x14ac:dyDescent="0.25">
      <c r="A232" s="2">
        <v>231</v>
      </c>
      <c r="B232" s="2">
        <v>231</v>
      </c>
      <c r="C232" s="2" t="s">
        <v>484</v>
      </c>
      <c r="D232" s="2" t="s">
        <v>1885</v>
      </c>
      <c r="E232" s="2" t="s">
        <v>485</v>
      </c>
      <c r="F232" s="4">
        <v>45630</v>
      </c>
      <c r="G232" s="8" t="s">
        <v>35</v>
      </c>
      <c r="H232" s="8" t="s">
        <v>1244</v>
      </c>
      <c r="I232" s="2" t="s">
        <v>14</v>
      </c>
      <c r="J232" s="2" t="s">
        <v>15</v>
      </c>
      <c r="K232" s="2" t="s">
        <v>791</v>
      </c>
      <c r="L232" s="2" t="s">
        <v>1260</v>
      </c>
      <c r="M232" s="2" t="s">
        <v>1261</v>
      </c>
      <c r="N232" s="2" t="s">
        <v>2246</v>
      </c>
      <c r="O232" s="4">
        <v>40259</v>
      </c>
      <c r="P232" s="2" t="s">
        <v>2671</v>
      </c>
      <c r="Q232" s="2" t="s">
        <v>2430</v>
      </c>
      <c r="R232" s="2" t="s">
        <v>2393</v>
      </c>
      <c r="S232" s="2" t="s">
        <v>820</v>
      </c>
      <c r="T232" s="2" t="s">
        <v>1518</v>
      </c>
      <c r="U232" s="2" t="s">
        <v>1282</v>
      </c>
      <c r="V232" s="2">
        <v>7529174644</v>
      </c>
      <c r="W232" s="2" t="s">
        <v>1034</v>
      </c>
      <c r="X232" s="2" t="s">
        <v>1183</v>
      </c>
      <c r="Y232" s="2" t="s">
        <v>1184</v>
      </c>
      <c r="Z232" s="2" t="s">
        <v>1185</v>
      </c>
      <c r="AA232" s="2">
        <v>3000</v>
      </c>
      <c r="AB232" s="2">
        <v>200</v>
      </c>
      <c r="AC232" s="2">
        <v>500</v>
      </c>
      <c r="AD232" s="2">
        <v>500</v>
      </c>
      <c r="AE232" s="2">
        <f t="shared" si="27"/>
        <v>3200</v>
      </c>
      <c r="AF232" s="2">
        <v>1000</v>
      </c>
      <c r="AG232" s="4">
        <v>45640</v>
      </c>
      <c r="AH232" s="2">
        <f t="shared" si="28"/>
        <v>2200</v>
      </c>
      <c r="AI232" s="2">
        <v>1000</v>
      </c>
      <c r="AJ232" s="4">
        <v>45671</v>
      </c>
      <c r="AK232" s="2">
        <f t="shared" si="29"/>
        <v>1200</v>
      </c>
      <c r="AL232" s="2">
        <v>500</v>
      </c>
      <c r="AM232" s="4">
        <v>45702</v>
      </c>
      <c r="AN232" s="2">
        <f t="shared" si="30"/>
        <v>700</v>
      </c>
      <c r="AO232" s="2" cm="1">
        <f t="array" ref="AO232">_xlfn.IFS(AN232&gt;=5000,3000,AN232&gt;=2000,1000,AN232&gt;=500,500,AN232&lt;500,AN232)</f>
        <v>500</v>
      </c>
      <c r="AP232" s="4">
        <v>45730</v>
      </c>
      <c r="AQ232" s="2">
        <f t="shared" si="31"/>
        <v>200</v>
      </c>
      <c r="AR232" s="2">
        <v>200</v>
      </c>
      <c r="AS232" s="4">
        <v>45761</v>
      </c>
      <c r="AT232" s="2">
        <f t="shared" si="32"/>
        <v>0</v>
      </c>
      <c r="AU232" s="2" t="s">
        <v>1200</v>
      </c>
      <c r="AV232" s="4" t="s">
        <v>1200</v>
      </c>
      <c r="AW232" s="2" t="s">
        <v>1200</v>
      </c>
      <c r="AX232" s="2">
        <f t="shared" si="33"/>
        <v>3200</v>
      </c>
      <c r="AY232" s="2">
        <f t="shared" si="34"/>
        <v>0</v>
      </c>
      <c r="AZ232" s="2" t="str">
        <f t="shared" si="35"/>
        <v>Paid</v>
      </c>
      <c r="BA232" s="9" t="str" cm="1">
        <f t="array" ref="BA232">_xlfn.IFS(AZ232="Paid","R",AZ232="Unpaid","Q")</f>
        <v>R</v>
      </c>
      <c r="BB232" s="8" t="s">
        <v>2815</v>
      </c>
    </row>
    <row r="233" spans="1:54" x14ac:dyDescent="0.25">
      <c r="A233" s="2">
        <v>232</v>
      </c>
      <c r="B233" s="2">
        <v>232</v>
      </c>
      <c r="C233" s="2" t="s">
        <v>486</v>
      </c>
      <c r="D233" s="2" t="s">
        <v>1886</v>
      </c>
      <c r="E233" s="2" t="s">
        <v>487</v>
      </c>
      <c r="F233" s="4">
        <v>45631</v>
      </c>
      <c r="G233" s="8" t="s">
        <v>29</v>
      </c>
      <c r="H233" s="8" t="s">
        <v>1248</v>
      </c>
      <c r="I233" s="2" t="s">
        <v>14</v>
      </c>
      <c r="J233" s="2" t="s">
        <v>15</v>
      </c>
      <c r="K233" s="2" t="s">
        <v>791</v>
      </c>
      <c r="L233" s="2" t="s">
        <v>1256</v>
      </c>
      <c r="M233" s="2" t="s">
        <v>1263</v>
      </c>
      <c r="N233" s="2" t="s">
        <v>2247</v>
      </c>
      <c r="O233" s="4">
        <v>40406</v>
      </c>
      <c r="P233" s="2" t="s">
        <v>2672</v>
      </c>
      <c r="Q233" s="2" t="s">
        <v>2409</v>
      </c>
      <c r="R233" s="2" t="s">
        <v>2393</v>
      </c>
      <c r="S233" s="2" t="s">
        <v>820</v>
      </c>
      <c r="T233" s="2" t="s">
        <v>1519</v>
      </c>
      <c r="U233" s="2" t="s">
        <v>1267</v>
      </c>
      <c r="V233" s="2">
        <v>9429446227</v>
      </c>
      <c r="W233" s="2" t="s">
        <v>1035</v>
      </c>
      <c r="X233" s="2" t="s">
        <v>1183</v>
      </c>
      <c r="Y233" s="2" t="s">
        <v>1184</v>
      </c>
      <c r="Z233" s="2" t="s">
        <v>1185</v>
      </c>
      <c r="AA233" s="2">
        <v>2500</v>
      </c>
      <c r="AB233" s="2">
        <v>200</v>
      </c>
      <c r="AC233" s="2">
        <v>400</v>
      </c>
      <c r="AD233" s="2">
        <v>200</v>
      </c>
      <c r="AE233" s="2">
        <f t="shared" si="27"/>
        <v>2900</v>
      </c>
      <c r="AF233" s="2">
        <v>1000</v>
      </c>
      <c r="AG233" s="4">
        <v>45641</v>
      </c>
      <c r="AH233" s="2">
        <f t="shared" si="28"/>
        <v>1900</v>
      </c>
      <c r="AI233" s="2">
        <v>500</v>
      </c>
      <c r="AJ233" s="4">
        <v>45672</v>
      </c>
      <c r="AK233" s="2">
        <f t="shared" si="29"/>
        <v>1400</v>
      </c>
      <c r="AL233" s="2">
        <v>500</v>
      </c>
      <c r="AM233" s="4">
        <v>45703</v>
      </c>
      <c r="AN233" s="2">
        <f t="shared" si="30"/>
        <v>900</v>
      </c>
      <c r="AO233" s="2" cm="1">
        <f t="array" ref="AO233">_xlfn.IFS(AN233&gt;=5000,3000,AN233&gt;=2000,1000,AN233&gt;=500,500,AN233&lt;500,AN233)</f>
        <v>500</v>
      </c>
      <c r="AP233" s="4">
        <v>45731</v>
      </c>
      <c r="AQ233" s="2">
        <f t="shared" si="31"/>
        <v>400</v>
      </c>
      <c r="AR233" s="2">
        <v>400</v>
      </c>
      <c r="AS233" s="4">
        <v>45762</v>
      </c>
      <c r="AT233" s="2">
        <f t="shared" si="32"/>
        <v>0</v>
      </c>
      <c r="AU233" s="2" t="s">
        <v>1200</v>
      </c>
      <c r="AV233" s="4" t="s">
        <v>1200</v>
      </c>
      <c r="AW233" s="2" t="s">
        <v>1200</v>
      </c>
      <c r="AX233" s="2">
        <f t="shared" si="33"/>
        <v>2900</v>
      </c>
      <c r="AY233" s="2">
        <f t="shared" si="34"/>
        <v>0</v>
      </c>
      <c r="AZ233" s="2" t="str">
        <f t="shared" si="35"/>
        <v>Paid</v>
      </c>
      <c r="BA233" s="9" t="str" cm="1">
        <f t="array" ref="BA233">_xlfn.IFS(AZ233="Paid","R",AZ233="Unpaid","Q")</f>
        <v>R</v>
      </c>
      <c r="BB233" s="8" t="s">
        <v>2815</v>
      </c>
    </row>
    <row r="234" spans="1:54" x14ac:dyDescent="0.25">
      <c r="A234" s="2">
        <v>233</v>
      </c>
      <c r="B234" s="2">
        <v>233</v>
      </c>
      <c r="C234" s="2" t="s">
        <v>488</v>
      </c>
      <c r="D234" s="2" t="s">
        <v>1841</v>
      </c>
      <c r="E234" s="2" t="s">
        <v>489</v>
      </c>
      <c r="F234" s="4">
        <v>45635</v>
      </c>
      <c r="G234" s="8" t="s">
        <v>32</v>
      </c>
      <c r="H234" s="8" t="s">
        <v>1249</v>
      </c>
      <c r="I234" s="2" t="s">
        <v>14</v>
      </c>
      <c r="J234" s="2" t="s">
        <v>15</v>
      </c>
      <c r="K234" s="2" t="s">
        <v>791</v>
      </c>
      <c r="L234" s="2" t="s">
        <v>1257</v>
      </c>
      <c r="M234" s="2" t="s">
        <v>1261</v>
      </c>
      <c r="N234" s="2" t="s">
        <v>2248</v>
      </c>
      <c r="O234" s="4">
        <v>33935</v>
      </c>
      <c r="P234" s="2" t="s">
        <v>2673</v>
      </c>
      <c r="Q234" s="2" t="s">
        <v>2409</v>
      </c>
      <c r="R234" s="2" t="s">
        <v>2393</v>
      </c>
      <c r="S234" s="2" t="s">
        <v>792</v>
      </c>
      <c r="T234" s="2" t="s">
        <v>1520</v>
      </c>
      <c r="U234" s="2" t="s">
        <v>1278</v>
      </c>
      <c r="V234" s="2">
        <v>8873894128</v>
      </c>
      <c r="W234" s="2" t="s">
        <v>1036</v>
      </c>
      <c r="X234" s="2" t="s">
        <v>794</v>
      </c>
      <c r="Y234" s="2" t="s">
        <v>1184</v>
      </c>
      <c r="Z234" s="2" t="s">
        <v>1185</v>
      </c>
      <c r="AA234" s="2">
        <v>2000</v>
      </c>
      <c r="AB234" s="2">
        <v>200</v>
      </c>
      <c r="AC234" s="2">
        <v>300</v>
      </c>
      <c r="AD234" s="2">
        <v>0</v>
      </c>
      <c r="AE234" s="2">
        <f t="shared" si="27"/>
        <v>2500</v>
      </c>
      <c r="AF234" s="2">
        <v>1000</v>
      </c>
      <c r="AG234" s="4">
        <v>45645</v>
      </c>
      <c r="AH234" s="2">
        <f t="shared" si="28"/>
        <v>1500</v>
      </c>
      <c r="AI234" s="2">
        <v>500</v>
      </c>
      <c r="AJ234" s="4">
        <v>45676</v>
      </c>
      <c r="AK234" s="2">
        <f t="shared" si="29"/>
        <v>1000</v>
      </c>
      <c r="AL234" s="2">
        <v>500</v>
      </c>
      <c r="AM234" s="4">
        <v>45707</v>
      </c>
      <c r="AN234" s="2">
        <f t="shared" si="30"/>
        <v>500</v>
      </c>
      <c r="AO234" s="2" cm="1">
        <f t="array" ref="AO234">_xlfn.IFS(AN234&gt;=5000,3000,AN234&gt;=2000,1000,AN234&gt;=500,500,AN234&lt;500,AN234)</f>
        <v>500</v>
      </c>
      <c r="AP234" s="4">
        <v>45735</v>
      </c>
      <c r="AQ234" s="2">
        <f t="shared" si="31"/>
        <v>0</v>
      </c>
      <c r="AR234" s="2" t="s">
        <v>1200</v>
      </c>
      <c r="AS234" s="4" t="s">
        <v>1200</v>
      </c>
      <c r="AT234" s="2" t="str">
        <f t="shared" si="32"/>
        <v/>
      </c>
      <c r="AU234" s="2" t="s">
        <v>1200</v>
      </c>
      <c r="AV234" s="4" t="s">
        <v>1200</v>
      </c>
      <c r="AW234" s="2" t="s">
        <v>1200</v>
      </c>
      <c r="AX234" s="2">
        <f t="shared" si="33"/>
        <v>2500</v>
      </c>
      <c r="AY234" s="2">
        <f t="shared" si="34"/>
        <v>0</v>
      </c>
      <c r="AZ234" s="2" t="str">
        <f t="shared" si="35"/>
        <v>Paid</v>
      </c>
      <c r="BA234" s="9" t="str" cm="1">
        <f t="array" ref="BA234">_xlfn.IFS(AZ234="Paid","R",AZ234="Unpaid","Q")</f>
        <v>R</v>
      </c>
      <c r="BB234" s="8" t="s">
        <v>2815</v>
      </c>
    </row>
    <row r="235" spans="1:54" x14ac:dyDescent="0.25">
      <c r="A235" s="2">
        <v>234</v>
      </c>
      <c r="B235" s="2">
        <v>234</v>
      </c>
      <c r="C235" s="2" t="s">
        <v>490</v>
      </c>
      <c r="D235" s="2" t="s">
        <v>1887</v>
      </c>
      <c r="E235" s="2" t="s">
        <v>491</v>
      </c>
      <c r="F235" s="4">
        <v>45636</v>
      </c>
      <c r="G235" s="8" t="s">
        <v>45</v>
      </c>
      <c r="H235" s="8" t="s">
        <v>1250</v>
      </c>
      <c r="I235" s="2" t="s">
        <v>14</v>
      </c>
      <c r="J235" s="2" t="s">
        <v>15</v>
      </c>
      <c r="K235" s="2" t="s">
        <v>791</v>
      </c>
      <c r="L235" s="2" t="s">
        <v>1256</v>
      </c>
      <c r="M235" s="2" t="s">
        <v>1263</v>
      </c>
      <c r="N235" s="2" t="s">
        <v>2249</v>
      </c>
      <c r="O235" s="4">
        <v>36928</v>
      </c>
      <c r="P235" s="2" t="s">
        <v>2674</v>
      </c>
      <c r="Q235" s="2" t="s">
        <v>2529</v>
      </c>
      <c r="R235" s="2" t="s">
        <v>2393</v>
      </c>
      <c r="S235" s="2" t="s">
        <v>820</v>
      </c>
      <c r="T235" s="2" t="s">
        <v>1521</v>
      </c>
      <c r="U235" s="2" t="s">
        <v>1284</v>
      </c>
      <c r="V235" s="2">
        <v>6055638210</v>
      </c>
      <c r="W235" s="2" t="s">
        <v>1037</v>
      </c>
      <c r="X235" s="2" t="s">
        <v>1183</v>
      </c>
      <c r="Y235" s="2" t="s">
        <v>1184</v>
      </c>
      <c r="Z235" s="2" t="s">
        <v>1185</v>
      </c>
      <c r="AA235" s="2">
        <v>2000</v>
      </c>
      <c r="AB235" s="2">
        <v>200</v>
      </c>
      <c r="AC235" s="2">
        <v>300</v>
      </c>
      <c r="AD235" s="2">
        <v>0</v>
      </c>
      <c r="AE235" s="2">
        <f t="shared" si="27"/>
        <v>2500</v>
      </c>
      <c r="AF235" s="2">
        <v>1000</v>
      </c>
      <c r="AG235" s="4">
        <v>45646</v>
      </c>
      <c r="AH235" s="2">
        <f t="shared" si="28"/>
        <v>1500</v>
      </c>
      <c r="AI235" s="2">
        <v>500</v>
      </c>
      <c r="AJ235" s="4">
        <v>45677</v>
      </c>
      <c r="AK235" s="2">
        <f t="shared" si="29"/>
        <v>1000</v>
      </c>
      <c r="AL235" s="2">
        <v>500</v>
      </c>
      <c r="AM235" s="4">
        <v>45708</v>
      </c>
      <c r="AN235" s="2">
        <f t="shared" si="30"/>
        <v>500</v>
      </c>
      <c r="AO235" s="2" cm="1">
        <f t="array" ref="AO235">_xlfn.IFS(AN235&gt;=5000,3000,AN235&gt;=2000,1000,AN235&gt;=500,500,AN235&lt;500,AN235)</f>
        <v>500</v>
      </c>
      <c r="AP235" s="4">
        <v>45736</v>
      </c>
      <c r="AQ235" s="2">
        <f t="shared" si="31"/>
        <v>0</v>
      </c>
      <c r="AR235" s="2" t="s">
        <v>1200</v>
      </c>
      <c r="AS235" s="4" t="s">
        <v>1200</v>
      </c>
      <c r="AT235" s="2" t="str">
        <f t="shared" si="32"/>
        <v/>
      </c>
      <c r="AU235" s="2" t="s">
        <v>1200</v>
      </c>
      <c r="AV235" s="4" t="s">
        <v>1200</v>
      </c>
      <c r="AW235" s="2" t="s">
        <v>1200</v>
      </c>
      <c r="AX235" s="2">
        <f t="shared" si="33"/>
        <v>2500</v>
      </c>
      <c r="AY235" s="2">
        <f t="shared" si="34"/>
        <v>0</v>
      </c>
      <c r="AZ235" s="2" t="str">
        <f t="shared" si="35"/>
        <v>Paid</v>
      </c>
      <c r="BA235" s="9" t="str" cm="1">
        <f t="array" ref="BA235">_xlfn.IFS(AZ235="Paid","R",AZ235="Unpaid","Q")</f>
        <v>R</v>
      </c>
      <c r="BB235" s="8" t="s">
        <v>2815</v>
      </c>
    </row>
    <row r="236" spans="1:54" x14ac:dyDescent="0.25">
      <c r="A236" s="2">
        <v>235</v>
      </c>
      <c r="B236" s="2">
        <v>235</v>
      </c>
      <c r="C236" s="2" t="s">
        <v>492</v>
      </c>
      <c r="D236" s="2" t="s">
        <v>1888</v>
      </c>
      <c r="E236" s="2" t="s">
        <v>493</v>
      </c>
      <c r="F236" s="4">
        <v>45637</v>
      </c>
      <c r="G236" s="8" t="s">
        <v>32</v>
      </c>
      <c r="H236" s="8" t="s">
        <v>1249</v>
      </c>
      <c r="I236" s="2" t="s">
        <v>14</v>
      </c>
      <c r="J236" s="2" t="s">
        <v>15</v>
      </c>
      <c r="K236" s="2" t="s">
        <v>791</v>
      </c>
      <c r="L236" s="2" t="s">
        <v>1256</v>
      </c>
      <c r="M236" s="2" t="s">
        <v>1263</v>
      </c>
      <c r="N236" s="2" t="s">
        <v>2250</v>
      </c>
      <c r="O236" s="4">
        <v>36820</v>
      </c>
      <c r="P236" s="2" t="s">
        <v>2675</v>
      </c>
      <c r="Q236" s="2" t="s">
        <v>2418</v>
      </c>
      <c r="R236" s="2" t="s">
        <v>2393</v>
      </c>
      <c r="S236" s="2" t="s">
        <v>792</v>
      </c>
      <c r="T236" s="2" t="s">
        <v>1522</v>
      </c>
      <c r="U236" s="2" t="s">
        <v>1267</v>
      </c>
      <c r="V236" s="2">
        <v>6915889514</v>
      </c>
      <c r="W236" s="2" t="s">
        <v>1038</v>
      </c>
      <c r="X236" s="2" t="s">
        <v>790</v>
      </c>
      <c r="Y236" s="2" t="s">
        <v>1184</v>
      </c>
      <c r="Z236" s="2" t="s">
        <v>1185</v>
      </c>
      <c r="AA236" s="2">
        <v>2000</v>
      </c>
      <c r="AB236" s="2">
        <v>200</v>
      </c>
      <c r="AC236" s="2">
        <v>300</v>
      </c>
      <c r="AD236" s="2">
        <v>200</v>
      </c>
      <c r="AE236" s="2">
        <f t="shared" si="27"/>
        <v>2300</v>
      </c>
      <c r="AF236" s="2">
        <v>500</v>
      </c>
      <c r="AG236" s="4">
        <v>45647</v>
      </c>
      <c r="AH236" s="2">
        <f t="shared" si="28"/>
        <v>1800</v>
      </c>
      <c r="AI236" s="2">
        <v>500</v>
      </c>
      <c r="AJ236" s="4">
        <v>45678</v>
      </c>
      <c r="AK236" s="2">
        <f t="shared" si="29"/>
        <v>1300</v>
      </c>
      <c r="AL236" s="2">
        <v>500</v>
      </c>
      <c r="AM236" s="4">
        <v>45709</v>
      </c>
      <c r="AN236" s="2">
        <f t="shared" si="30"/>
        <v>800</v>
      </c>
      <c r="AO236" s="2" cm="1">
        <f t="array" ref="AO236">_xlfn.IFS(AN236&gt;=5000,3000,AN236&gt;=2000,1000,AN236&gt;=500,500,AN236&lt;500,AN236)</f>
        <v>500</v>
      </c>
      <c r="AP236" s="4">
        <v>45737</v>
      </c>
      <c r="AQ236" s="2">
        <f t="shared" si="31"/>
        <v>300</v>
      </c>
      <c r="AR236" s="2">
        <v>300</v>
      </c>
      <c r="AS236" s="4">
        <v>45768</v>
      </c>
      <c r="AT236" s="2">
        <f t="shared" si="32"/>
        <v>0</v>
      </c>
      <c r="AU236" s="2" t="s">
        <v>1200</v>
      </c>
      <c r="AV236" s="4" t="s">
        <v>1200</v>
      </c>
      <c r="AW236" s="2" t="s">
        <v>1200</v>
      </c>
      <c r="AX236" s="2">
        <f t="shared" si="33"/>
        <v>2300</v>
      </c>
      <c r="AY236" s="2">
        <f t="shared" si="34"/>
        <v>0</v>
      </c>
      <c r="AZ236" s="2" t="str">
        <f t="shared" si="35"/>
        <v>Paid</v>
      </c>
      <c r="BA236" s="9" t="str" cm="1">
        <f t="array" ref="BA236">_xlfn.IFS(AZ236="Paid","R",AZ236="Unpaid","Q")</f>
        <v>R</v>
      </c>
      <c r="BB236" s="8" t="s">
        <v>2815</v>
      </c>
    </row>
    <row r="237" spans="1:54" x14ac:dyDescent="0.25">
      <c r="A237" s="2">
        <v>236</v>
      </c>
      <c r="B237" s="2">
        <v>236</v>
      </c>
      <c r="C237" s="2" t="s">
        <v>494</v>
      </c>
      <c r="D237" s="2" t="s">
        <v>1819</v>
      </c>
      <c r="E237" s="2" t="s">
        <v>495</v>
      </c>
      <c r="F237" s="4">
        <v>45638</v>
      </c>
      <c r="G237" s="8" t="s">
        <v>21</v>
      </c>
      <c r="H237" s="8" t="s">
        <v>1252</v>
      </c>
      <c r="I237" s="2" t="s">
        <v>14</v>
      </c>
      <c r="J237" s="2" t="s">
        <v>15</v>
      </c>
      <c r="K237" s="2" t="s">
        <v>791</v>
      </c>
      <c r="L237" s="2" t="s">
        <v>1258</v>
      </c>
      <c r="M237" s="2" t="s">
        <v>1264</v>
      </c>
      <c r="N237" s="2" t="s">
        <v>2251</v>
      </c>
      <c r="O237" s="4">
        <v>40330</v>
      </c>
      <c r="P237" s="2" t="s">
        <v>2676</v>
      </c>
      <c r="Q237" s="2" t="s">
        <v>2560</v>
      </c>
      <c r="R237" s="2" t="s">
        <v>2393</v>
      </c>
      <c r="S237" s="2" t="s">
        <v>796</v>
      </c>
      <c r="T237" s="2" t="s">
        <v>1523</v>
      </c>
      <c r="U237" s="2" t="s">
        <v>1283</v>
      </c>
      <c r="V237" s="2">
        <v>8415129383</v>
      </c>
      <c r="W237" s="2" t="s">
        <v>1039</v>
      </c>
      <c r="X237" s="2" t="s">
        <v>1183</v>
      </c>
      <c r="Y237" s="2" t="s">
        <v>1184</v>
      </c>
      <c r="Z237" s="2" t="s">
        <v>1185</v>
      </c>
      <c r="AA237" s="2">
        <v>3000</v>
      </c>
      <c r="AB237" s="2">
        <v>200</v>
      </c>
      <c r="AC237" s="2">
        <v>300</v>
      </c>
      <c r="AD237" s="2">
        <v>0</v>
      </c>
      <c r="AE237" s="2">
        <f t="shared" si="27"/>
        <v>3500</v>
      </c>
      <c r="AF237" s="2">
        <v>1000</v>
      </c>
      <c r="AG237" s="4">
        <v>45648</v>
      </c>
      <c r="AH237" s="2">
        <f t="shared" si="28"/>
        <v>2500</v>
      </c>
      <c r="AI237" s="2">
        <v>1000</v>
      </c>
      <c r="AJ237" s="4">
        <v>45679</v>
      </c>
      <c r="AK237" s="2">
        <f t="shared" si="29"/>
        <v>1500</v>
      </c>
      <c r="AL237" s="2">
        <v>500</v>
      </c>
      <c r="AM237" s="4">
        <v>45710</v>
      </c>
      <c r="AN237" s="2">
        <f t="shared" si="30"/>
        <v>1000</v>
      </c>
      <c r="AO237" s="2" cm="1">
        <f t="array" ref="AO237">_xlfn.IFS(AN237&gt;=5000,3000,AN237&gt;=2000,1000,AN237&gt;=500,500,AN237&lt;500,AN237)</f>
        <v>500</v>
      </c>
      <c r="AP237" s="4">
        <v>45738</v>
      </c>
      <c r="AQ237" s="2">
        <f t="shared" si="31"/>
        <v>500</v>
      </c>
      <c r="AR237" s="2">
        <v>500</v>
      </c>
      <c r="AS237" s="4">
        <v>45769</v>
      </c>
      <c r="AT237" s="2">
        <f t="shared" si="32"/>
        <v>0</v>
      </c>
      <c r="AU237" s="2" t="s">
        <v>1200</v>
      </c>
      <c r="AV237" s="4" t="s">
        <v>1200</v>
      </c>
      <c r="AW237" s="2" t="s">
        <v>1200</v>
      </c>
      <c r="AX237" s="2">
        <f t="shared" si="33"/>
        <v>3500</v>
      </c>
      <c r="AY237" s="2">
        <f t="shared" si="34"/>
        <v>0</v>
      </c>
      <c r="AZ237" s="2" t="str">
        <f t="shared" si="35"/>
        <v>Paid</v>
      </c>
      <c r="BA237" s="9" t="str" cm="1">
        <f t="array" ref="BA237">_xlfn.IFS(AZ237="Paid","R",AZ237="Unpaid","Q")</f>
        <v>R</v>
      </c>
      <c r="BB237" s="8" t="s">
        <v>2815</v>
      </c>
    </row>
    <row r="238" spans="1:54" x14ac:dyDescent="0.25">
      <c r="A238" s="2">
        <v>237</v>
      </c>
      <c r="B238" s="2">
        <v>237</v>
      </c>
      <c r="C238" s="2" t="s">
        <v>496</v>
      </c>
      <c r="D238" s="2" t="s">
        <v>1889</v>
      </c>
      <c r="E238" s="2" t="s">
        <v>497</v>
      </c>
      <c r="F238" s="4">
        <v>45638</v>
      </c>
      <c r="G238" s="8" t="s">
        <v>95</v>
      </c>
      <c r="H238" s="8" t="s">
        <v>1245</v>
      </c>
      <c r="I238" s="2" t="s">
        <v>14</v>
      </c>
      <c r="J238" s="2" t="s">
        <v>15</v>
      </c>
      <c r="K238" s="2" t="s">
        <v>791</v>
      </c>
      <c r="L238" s="2" t="s">
        <v>1257</v>
      </c>
      <c r="M238" s="2" t="s">
        <v>1261</v>
      </c>
      <c r="N238" s="2" t="s">
        <v>2252</v>
      </c>
      <c r="O238" s="4">
        <v>37261</v>
      </c>
      <c r="P238" s="2" t="s">
        <v>2677</v>
      </c>
      <c r="Q238" s="2" t="s">
        <v>2619</v>
      </c>
      <c r="R238" s="2" t="s">
        <v>2396</v>
      </c>
      <c r="S238" s="2" t="s">
        <v>820</v>
      </c>
      <c r="T238" s="2" t="s">
        <v>1524</v>
      </c>
      <c r="U238" s="2" t="s">
        <v>1278</v>
      </c>
      <c r="V238" s="2">
        <v>7204456234</v>
      </c>
      <c r="W238" s="2" t="s">
        <v>1040</v>
      </c>
      <c r="X238" s="2" t="s">
        <v>822</v>
      </c>
      <c r="Y238" s="2" t="s">
        <v>1184</v>
      </c>
      <c r="Z238" s="2" t="s">
        <v>1185</v>
      </c>
      <c r="AA238" s="2">
        <v>3500</v>
      </c>
      <c r="AB238" s="2">
        <v>200</v>
      </c>
      <c r="AC238" s="2">
        <v>500</v>
      </c>
      <c r="AD238" s="2">
        <v>0</v>
      </c>
      <c r="AE238" s="2">
        <f t="shared" si="27"/>
        <v>4200</v>
      </c>
      <c r="AF238" s="2">
        <v>1000</v>
      </c>
      <c r="AG238" s="4">
        <v>45648</v>
      </c>
      <c r="AH238" s="2">
        <f t="shared" si="28"/>
        <v>3200</v>
      </c>
      <c r="AI238" s="2">
        <v>1000</v>
      </c>
      <c r="AJ238" s="4">
        <v>45679</v>
      </c>
      <c r="AK238" s="2">
        <f t="shared" si="29"/>
        <v>2200</v>
      </c>
      <c r="AL238" s="2">
        <v>1000</v>
      </c>
      <c r="AM238" s="4">
        <v>45710</v>
      </c>
      <c r="AN238" s="2">
        <f t="shared" si="30"/>
        <v>1200</v>
      </c>
      <c r="AO238" s="2" cm="1">
        <f t="array" ref="AO238">_xlfn.IFS(AN238&gt;=5000,3000,AN238&gt;=2000,1000,AN238&gt;=500,500,AN238&lt;500,AN238)</f>
        <v>500</v>
      </c>
      <c r="AP238" s="4">
        <v>45738</v>
      </c>
      <c r="AQ238" s="2">
        <f t="shared" si="31"/>
        <v>700</v>
      </c>
      <c r="AR238" s="2">
        <v>500</v>
      </c>
      <c r="AS238" s="4">
        <v>45769</v>
      </c>
      <c r="AT238" s="2">
        <f t="shared" si="32"/>
        <v>200</v>
      </c>
      <c r="AU238" s="2">
        <v>200</v>
      </c>
      <c r="AV238" s="4">
        <v>45799</v>
      </c>
      <c r="AW238" s="2">
        <v>0</v>
      </c>
      <c r="AX238" s="2">
        <f t="shared" si="33"/>
        <v>4200</v>
      </c>
      <c r="AY238" s="2">
        <f t="shared" si="34"/>
        <v>0</v>
      </c>
      <c r="AZ238" s="2" t="str">
        <f t="shared" si="35"/>
        <v>Paid</v>
      </c>
      <c r="BA238" s="9" t="str" cm="1">
        <f t="array" ref="BA238">_xlfn.IFS(AZ238="Paid","R",AZ238="Unpaid","Q")</f>
        <v>R</v>
      </c>
      <c r="BB238" s="8" t="s">
        <v>2815</v>
      </c>
    </row>
    <row r="239" spans="1:54" x14ac:dyDescent="0.25">
      <c r="A239" s="2">
        <v>238</v>
      </c>
      <c r="B239" s="2">
        <v>238</v>
      </c>
      <c r="C239" s="2" t="s">
        <v>498</v>
      </c>
      <c r="D239" s="2" t="s">
        <v>1890</v>
      </c>
      <c r="E239" s="2" t="s">
        <v>499</v>
      </c>
      <c r="F239" s="4">
        <v>45640</v>
      </c>
      <c r="G239" s="8" t="s">
        <v>45</v>
      </c>
      <c r="H239" s="8" t="s">
        <v>1250</v>
      </c>
      <c r="I239" s="2" t="s">
        <v>14</v>
      </c>
      <c r="J239" s="2" t="s">
        <v>15</v>
      </c>
      <c r="K239" s="2" t="s">
        <v>791</v>
      </c>
      <c r="L239" s="2" t="s">
        <v>1257</v>
      </c>
      <c r="M239" s="2" t="s">
        <v>1261</v>
      </c>
      <c r="N239" s="2" t="s">
        <v>2253</v>
      </c>
      <c r="O239" s="4">
        <v>34886</v>
      </c>
      <c r="P239" s="2" t="s">
        <v>2678</v>
      </c>
      <c r="Q239" s="2" t="s">
        <v>2407</v>
      </c>
      <c r="R239" s="2" t="s">
        <v>2396</v>
      </c>
      <c r="S239" s="2" t="s">
        <v>788</v>
      </c>
      <c r="T239" s="2" t="s">
        <v>1525</v>
      </c>
      <c r="U239" s="2" t="s">
        <v>1273</v>
      </c>
      <c r="V239" s="2">
        <v>9031741620</v>
      </c>
      <c r="W239" s="2" t="s">
        <v>1041</v>
      </c>
      <c r="X239" s="2" t="s">
        <v>822</v>
      </c>
      <c r="Y239" s="2" t="s">
        <v>1184</v>
      </c>
      <c r="Z239" s="2" t="s">
        <v>1185</v>
      </c>
      <c r="AA239" s="2">
        <v>2000</v>
      </c>
      <c r="AB239" s="2">
        <v>200</v>
      </c>
      <c r="AC239" s="2">
        <v>300</v>
      </c>
      <c r="AD239" s="2">
        <v>0</v>
      </c>
      <c r="AE239" s="2">
        <f t="shared" si="27"/>
        <v>2500</v>
      </c>
      <c r="AF239" s="2">
        <v>1000</v>
      </c>
      <c r="AG239" s="4">
        <v>45650</v>
      </c>
      <c r="AH239" s="2">
        <f t="shared" si="28"/>
        <v>1500</v>
      </c>
      <c r="AI239" s="2">
        <v>500</v>
      </c>
      <c r="AJ239" s="4">
        <v>45681</v>
      </c>
      <c r="AK239" s="2">
        <f t="shared" si="29"/>
        <v>1000</v>
      </c>
      <c r="AL239" s="2">
        <v>500</v>
      </c>
      <c r="AM239" s="4">
        <v>45712</v>
      </c>
      <c r="AN239" s="2">
        <f t="shared" si="30"/>
        <v>500</v>
      </c>
      <c r="AO239" s="2" cm="1">
        <f t="array" ref="AO239">_xlfn.IFS(AN239&gt;=5000,3000,AN239&gt;=2000,1000,AN239&gt;=500,500,AN239&lt;500,AN239)</f>
        <v>500</v>
      </c>
      <c r="AP239" s="4">
        <v>45740</v>
      </c>
      <c r="AQ239" s="2">
        <f t="shared" si="31"/>
        <v>0</v>
      </c>
      <c r="AR239" s="2" t="s">
        <v>1200</v>
      </c>
      <c r="AS239" s="4" t="s">
        <v>1200</v>
      </c>
      <c r="AT239" s="2" t="str">
        <f t="shared" si="32"/>
        <v/>
      </c>
      <c r="AU239" s="2" t="s">
        <v>1200</v>
      </c>
      <c r="AV239" s="4" t="s">
        <v>1200</v>
      </c>
      <c r="AW239" s="2" t="s">
        <v>1200</v>
      </c>
      <c r="AX239" s="2">
        <f t="shared" si="33"/>
        <v>2500</v>
      </c>
      <c r="AY239" s="2">
        <f t="shared" si="34"/>
        <v>0</v>
      </c>
      <c r="AZ239" s="2" t="str">
        <f t="shared" si="35"/>
        <v>Paid</v>
      </c>
      <c r="BA239" s="9" t="str" cm="1">
        <f t="array" ref="BA239">_xlfn.IFS(AZ239="Paid","R",AZ239="Unpaid","Q")</f>
        <v>R</v>
      </c>
      <c r="BB239" s="8" t="s">
        <v>2815</v>
      </c>
    </row>
    <row r="240" spans="1:54" x14ac:dyDescent="0.25">
      <c r="A240" s="2">
        <v>239</v>
      </c>
      <c r="B240" s="2">
        <v>239</v>
      </c>
      <c r="C240" s="2" t="s">
        <v>500</v>
      </c>
      <c r="D240" s="2" t="s">
        <v>1891</v>
      </c>
      <c r="E240" s="2" t="s">
        <v>501</v>
      </c>
      <c r="F240" s="4">
        <v>45644</v>
      </c>
      <c r="G240" s="8" t="s">
        <v>26</v>
      </c>
      <c r="H240" s="8" t="s">
        <v>1243</v>
      </c>
      <c r="I240" s="2" t="s">
        <v>9</v>
      </c>
      <c r="J240" s="2" t="s">
        <v>10</v>
      </c>
      <c r="K240" s="2" t="s">
        <v>787</v>
      </c>
      <c r="L240" s="2" t="s">
        <v>1259</v>
      </c>
      <c r="M240" s="2" t="s">
        <v>1262</v>
      </c>
      <c r="N240" s="2" t="s">
        <v>2254</v>
      </c>
      <c r="O240" s="4">
        <v>35016</v>
      </c>
      <c r="P240" s="2" t="s">
        <v>2679</v>
      </c>
      <c r="Q240" s="2" t="s">
        <v>2498</v>
      </c>
      <c r="R240" s="2" t="s">
        <v>2393</v>
      </c>
      <c r="S240" s="2" t="s">
        <v>796</v>
      </c>
      <c r="T240" s="2" t="s">
        <v>1526</v>
      </c>
      <c r="U240" s="2" t="s">
        <v>1279</v>
      </c>
      <c r="V240" s="2">
        <v>9805875441</v>
      </c>
      <c r="W240" s="2" t="s">
        <v>1042</v>
      </c>
      <c r="X240" s="2" t="s">
        <v>822</v>
      </c>
      <c r="Y240" s="2" t="s">
        <v>1184</v>
      </c>
      <c r="Z240" s="2" t="s">
        <v>1185</v>
      </c>
      <c r="AA240" s="2">
        <v>15000</v>
      </c>
      <c r="AB240" s="2">
        <v>200</v>
      </c>
      <c r="AC240" s="2">
        <v>1200</v>
      </c>
      <c r="AD240" s="2">
        <v>0</v>
      </c>
      <c r="AE240" s="2">
        <f t="shared" si="27"/>
        <v>16400</v>
      </c>
      <c r="AF240" s="2">
        <v>5000</v>
      </c>
      <c r="AG240" s="4">
        <v>45654</v>
      </c>
      <c r="AH240" s="2">
        <f t="shared" si="28"/>
        <v>11400</v>
      </c>
      <c r="AI240" s="2">
        <v>3000</v>
      </c>
      <c r="AJ240" s="4">
        <v>45685</v>
      </c>
      <c r="AK240" s="2">
        <f t="shared" si="29"/>
        <v>8400</v>
      </c>
      <c r="AL240" s="2">
        <v>3000</v>
      </c>
      <c r="AM240" s="4">
        <v>45716</v>
      </c>
      <c r="AN240" s="2">
        <f t="shared" si="30"/>
        <v>5400</v>
      </c>
      <c r="AO240" s="2" cm="1">
        <f t="array" ref="AO240">_xlfn.IFS(AN240&gt;=5000,3000,AN240&gt;=2000,1000,AN240&gt;=500,500,AN240&lt;500,AN240)</f>
        <v>3000</v>
      </c>
      <c r="AP240" s="4">
        <v>45744</v>
      </c>
      <c r="AQ240" s="2">
        <f t="shared" si="31"/>
        <v>2400</v>
      </c>
      <c r="AR240" s="2">
        <v>2000</v>
      </c>
      <c r="AS240" s="4">
        <v>45775</v>
      </c>
      <c r="AT240" s="2">
        <f t="shared" si="32"/>
        <v>400</v>
      </c>
      <c r="AU240" s="2">
        <v>400</v>
      </c>
      <c r="AV240" s="4">
        <v>45805</v>
      </c>
      <c r="AW240" s="2">
        <v>0</v>
      </c>
      <c r="AX240" s="2">
        <f t="shared" si="33"/>
        <v>16400</v>
      </c>
      <c r="AY240" s="2">
        <f t="shared" si="34"/>
        <v>0</v>
      </c>
      <c r="AZ240" s="2" t="str">
        <f t="shared" si="35"/>
        <v>Paid</v>
      </c>
      <c r="BA240" s="9" t="str" cm="1">
        <f t="array" ref="BA240">_xlfn.IFS(AZ240="Paid","R",AZ240="Unpaid","Q")</f>
        <v>R</v>
      </c>
      <c r="BB240" s="8" t="s">
        <v>2815</v>
      </c>
    </row>
    <row r="241" spans="1:54" x14ac:dyDescent="0.25">
      <c r="A241" s="2">
        <v>240</v>
      </c>
      <c r="B241" s="2">
        <v>240</v>
      </c>
      <c r="C241" s="2" t="s">
        <v>502</v>
      </c>
      <c r="D241" s="2" t="s">
        <v>1892</v>
      </c>
      <c r="E241" s="2" t="s">
        <v>503</v>
      </c>
      <c r="F241" s="4">
        <v>45646</v>
      </c>
      <c r="G241" s="8" t="s">
        <v>26</v>
      </c>
      <c r="H241" s="8" t="s">
        <v>1243</v>
      </c>
      <c r="I241" s="2" t="s">
        <v>9</v>
      </c>
      <c r="J241" s="2" t="s">
        <v>10</v>
      </c>
      <c r="K241" s="2" t="s">
        <v>787</v>
      </c>
      <c r="L241" s="2" t="s">
        <v>1259</v>
      </c>
      <c r="M241" s="2" t="s">
        <v>1262</v>
      </c>
      <c r="N241" s="2" t="s">
        <v>2255</v>
      </c>
      <c r="O241" s="4">
        <v>35464</v>
      </c>
      <c r="P241" s="2" t="s">
        <v>2680</v>
      </c>
      <c r="Q241" s="2" t="s">
        <v>2437</v>
      </c>
      <c r="R241" s="2" t="s">
        <v>2393</v>
      </c>
      <c r="S241" s="2" t="s">
        <v>792</v>
      </c>
      <c r="T241" s="2" t="s">
        <v>1527</v>
      </c>
      <c r="U241" s="2" t="s">
        <v>1275</v>
      </c>
      <c r="V241" s="2">
        <v>7865708476</v>
      </c>
      <c r="W241" s="2" t="s">
        <v>1043</v>
      </c>
      <c r="X241" s="2" t="s">
        <v>794</v>
      </c>
      <c r="Y241" s="2" t="s">
        <v>1184</v>
      </c>
      <c r="Z241" s="2" t="s">
        <v>1185</v>
      </c>
      <c r="AA241" s="2">
        <v>15000</v>
      </c>
      <c r="AB241" s="2">
        <v>200</v>
      </c>
      <c r="AC241" s="2">
        <v>1200</v>
      </c>
      <c r="AD241" s="2">
        <v>0</v>
      </c>
      <c r="AE241" s="2">
        <f t="shared" si="27"/>
        <v>16400</v>
      </c>
      <c r="AF241" s="2">
        <v>5000</v>
      </c>
      <c r="AG241" s="4">
        <v>45656</v>
      </c>
      <c r="AH241" s="2">
        <f t="shared" si="28"/>
        <v>11400</v>
      </c>
      <c r="AI241" s="2">
        <v>3000</v>
      </c>
      <c r="AJ241" s="4">
        <v>45687</v>
      </c>
      <c r="AK241" s="2">
        <f t="shared" si="29"/>
        <v>8400</v>
      </c>
      <c r="AL241" s="2">
        <v>3000</v>
      </c>
      <c r="AM241" s="4">
        <v>45716</v>
      </c>
      <c r="AN241" s="2">
        <f t="shared" si="30"/>
        <v>5400</v>
      </c>
      <c r="AO241" s="2" cm="1">
        <f t="array" ref="AO241">_xlfn.IFS(AN241&gt;=5000,3000,AN241&gt;=2000,1000,AN241&gt;=500,500,AN241&lt;500,AN241)</f>
        <v>3000</v>
      </c>
      <c r="AP241" s="4">
        <v>45744</v>
      </c>
      <c r="AQ241" s="2">
        <f t="shared" si="31"/>
        <v>2400</v>
      </c>
      <c r="AR241" s="2">
        <v>2000</v>
      </c>
      <c r="AS241" s="4">
        <v>45775</v>
      </c>
      <c r="AT241" s="2">
        <f t="shared" si="32"/>
        <v>400</v>
      </c>
      <c r="AU241" s="2">
        <v>400</v>
      </c>
      <c r="AV241" s="4">
        <v>45805</v>
      </c>
      <c r="AW241" s="2">
        <v>0</v>
      </c>
      <c r="AX241" s="2">
        <f t="shared" si="33"/>
        <v>16400</v>
      </c>
      <c r="AY241" s="2">
        <f t="shared" si="34"/>
        <v>0</v>
      </c>
      <c r="AZ241" s="2" t="str">
        <f t="shared" si="35"/>
        <v>Paid</v>
      </c>
      <c r="BA241" s="9" t="str" cm="1">
        <f t="array" ref="BA241">_xlfn.IFS(AZ241="Paid","R",AZ241="Unpaid","Q")</f>
        <v>R</v>
      </c>
      <c r="BB241" s="8" t="s">
        <v>2815</v>
      </c>
    </row>
    <row r="242" spans="1:54" x14ac:dyDescent="0.25">
      <c r="A242" s="2">
        <v>241</v>
      </c>
      <c r="B242" s="2">
        <v>241</v>
      </c>
      <c r="C242" s="2" t="s">
        <v>504</v>
      </c>
      <c r="D242" s="2" t="s">
        <v>1893</v>
      </c>
      <c r="E242" s="2" t="s">
        <v>505</v>
      </c>
      <c r="F242" s="4">
        <v>45648</v>
      </c>
      <c r="G242" s="8" t="s">
        <v>21</v>
      </c>
      <c r="H242" s="8" t="s">
        <v>1252</v>
      </c>
      <c r="I242" s="2" t="s">
        <v>14</v>
      </c>
      <c r="J242" s="2" t="s">
        <v>15</v>
      </c>
      <c r="K242" s="2" t="s">
        <v>791</v>
      </c>
      <c r="L242" s="2" t="s">
        <v>1259</v>
      </c>
      <c r="M242" s="2" t="s">
        <v>1262</v>
      </c>
      <c r="N242" s="2" t="s">
        <v>2256</v>
      </c>
      <c r="O242" s="4">
        <v>37098</v>
      </c>
      <c r="P242" s="2" t="s">
        <v>2681</v>
      </c>
      <c r="Q242" s="2" t="s">
        <v>2640</v>
      </c>
      <c r="R242" s="2" t="s">
        <v>2393</v>
      </c>
      <c r="S242" s="2" t="s">
        <v>788</v>
      </c>
      <c r="T242" s="2" t="s">
        <v>1528</v>
      </c>
      <c r="U242" s="2" t="s">
        <v>1282</v>
      </c>
      <c r="V242" s="2">
        <v>6055215617</v>
      </c>
      <c r="W242" s="2" t="s">
        <v>1044</v>
      </c>
      <c r="X242" s="2" t="s">
        <v>811</v>
      </c>
      <c r="Y242" s="2" t="s">
        <v>1184</v>
      </c>
      <c r="Z242" s="2" t="s">
        <v>1185</v>
      </c>
      <c r="AA242" s="2">
        <v>3000</v>
      </c>
      <c r="AB242" s="2">
        <v>200</v>
      </c>
      <c r="AC242" s="2">
        <v>300</v>
      </c>
      <c r="AD242" s="2">
        <v>500</v>
      </c>
      <c r="AE242" s="2">
        <f t="shared" si="27"/>
        <v>3000</v>
      </c>
      <c r="AF242" s="2">
        <v>1000</v>
      </c>
      <c r="AG242" s="4">
        <v>45658</v>
      </c>
      <c r="AH242" s="2">
        <f t="shared" si="28"/>
        <v>2000</v>
      </c>
      <c r="AI242" s="2">
        <v>1000</v>
      </c>
      <c r="AJ242" s="4">
        <v>45689</v>
      </c>
      <c r="AK242" s="2">
        <f t="shared" si="29"/>
        <v>1000</v>
      </c>
      <c r="AL242" s="2">
        <v>500</v>
      </c>
      <c r="AM242" s="4">
        <v>45717</v>
      </c>
      <c r="AN242" s="2">
        <f t="shared" si="30"/>
        <v>500</v>
      </c>
      <c r="AO242" s="2" cm="1">
        <f t="array" ref="AO242">_xlfn.IFS(AN242&gt;=5000,3000,AN242&gt;=2000,1000,AN242&gt;=500,500,AN242&lt;500,AN242)</f>
        <v>500</v>
      </c>
      <c r="AP242" s="4">
        <v>45748</v>
      </c>
      <c r="AQ242" s="2">
        <f t="shared" si="31"/>
        <v>0</v>
      </c>
      <c r="AR242" s="2" t="s">
        <v>1200</v>
      </c>
      <c r="AS242" s="4" t="s">
        <v>1200</v>
      </c>
      <c r="AT242" s="2" t="str">
        <f t="shared" si="32"/>
        <v/>
      </c>
      <c r="AU242" s="2" t="s">
        <v>1200</v>
      </c>
      <c r="AV242" s="4" t="s">
        <v>1200</v>
      </c>
      <c r="AW242" s="2" t="s">
        <v>1200</v>
      </c>
      <c r="AX242" s="2">
        <f t="shared" si="33"/>
        <v>3000</v>
      </c>
      <c r="AY242" s="2">
        <f t="shared" si="34"/>
        <v>0</v>
      </c>
      <c r="AZ242" s="2" t="str">
        <f t="shared" si="35"/>
        <v>Paid</v>
      </c>
      <c r="BA242" s="9" t="str" cm="1">
        <f t="array" ref="BA242">_xlfn.IFS(AZ242="Paid","R",AZ242="Unpaid","Q")</f>
        <v>R</v>
      </c>
      <c r="BB242" s="8" t="s">
        <v>2815</v>
      </c>
    </row>
    <row r="243" spans="1:54" x14ac:dyDescent="0.25">
      <c r="A243" s="2">
        <v>242</v>
      </c>
      <c r="B243" s="2">
        <v>242</v>
      </c>
      <c r="C243" s="2" t="s">
        <v>506</v>
      </c>
      <c r="D243" s="2" t="s">
        <v>1894</v>
      </c>
      <c r="E243" s="2" t="s">
        <v>507</v>
      </c>
      <c r="F243" s="4">
        <v>45650</v>
      </c>
      <c r="G243" s="8" t="s">
        <v>45</v>
      </c>
      <c r="H243" s="8" t="s">
        <v>1250</v>
      </c>
      <c r="I243" s="2" t="s">
        <v>14</v>
      </c>
      <c r="J243" s="2" t="s">
        <v>15</v>
      </c>
      <c r="K243" s="2" t="s">
        <v>791</v>
      </c>
      <c r="L243" s="2" t="s">
        <v>1256</v>
      </c>
      <c r="M243" s="2" t="s">
        <v>1263</v>
      </c>
      <c r="N243" s="2" t="s">
        <v>2257</v>
      </c>
      <c r="O243" s="4">
        <v>38389</v>
      </c>
      <c r="P243" s="2" t="s">
        <v>2682</v>
      </c>
      <c r="Q243" s="2" t="s">
        <v>2426</v>
      </c>
      <c r="R243" s="2" t="s">
        <v>2393</v>
      </c>
      <c r="S243" s="2" t="s">
        <v>788</v>
      </c>
      <c r="T243" s="2" t="s">
        <v>1529</v>
      </c>
      <c r="U243" s="2" t="s">
        <v>1281</v>
      </c>
      <c r="V243" s="2">
        <v>8300032736</v>
      </c>
      <c r="W243" s="2" t="s">
        <v>1045</v>
      </c>
      <c r="X243" s="2" t="s">
        <v>837</v>
      </c>
      <c r="Y243" s="2" t="s">
        <v>1184</v>
      </c>
      <c r="Z243" s="2" t="s">
        <v>1185</v>
      </c>
      <c r="AA243" s="2">
        <v>2000</v>
      </c>
      <c r="AB243" s="2">
        <v>200</v>
      </c>
      <c r="AC243" s="2">
        <v>300</v>
      </c>
      <c r="AD243" s="2">
        <v>0</v>
      </c>
      <c r="AE243" s="2">
        <f t="shared" si="27"/>
        <v>2500</v>
      </c>
      <c r="AF243" s="2">
        <v>1000</v>
      </c>
      <c r="AG243" s="4">
        <v>45660</v>
      </c>
      <c r="AH243" s="2">
        <f t="shared" si="28"/>
        <v>1500</v>
      </c>
      <c r="AI243" s="2">
        <v>500</v>
      </c>
      <c r="AJ243" s="4">
        <v>45691</v>
      </c>
      <c r="AK243" s="2">
        <f t="shared" si="29"/>
        <v>1000</v>
      </c>
      <c r="AL243" s="2">
        <v>500</v>
      </c>
      <c r="AM243" s="4">
        <v>45719</v>
      </c>
      <c r="AN243" s="2">
        <f t="shared" si="30"/>
        <v>500</v>
      </c>
      <c r="AO243" s="2" cm="1">
        <f t="array" ref="AO243">_xlfn.IFS(AN243&gt;=5000,3000,AN243&gt;=2000,1000,AN243&gt;=500,500,AN243&lt;500,AN243)</f>
        <v>500</v>
      </c>
      <c r="AP243" s="4">
        <v>45750</v>
      </c>
      <c r="AQ243" s="2">
        <f t="shared" si="31"/>
        <v>0</v>
      </c>
      <c r="AR243" s="2" t="s">
        <v>1200</v>
      </c>
      <c r="AS243" s="4" t="s">
        <v>1200</v>
      </c>
      <c r="AT243" s="2" t="str">
        <f t="shared" si="32"/>
        <v/>
      </c>
      <c r="AU243" s="2" t="s">
        <v>1200</v>
      </c>
      <c r="AV243" s="4" t="s">
        <v>1200</v>
      </c>
      <c r="AW243" s="2" t="s">
        <v>1200</v>
      </c>
      <c r="AX243" s="2">
        <f t="shared" si="33"/>
        <v>2500</v>
      </c>
      <c r="AY243" s="2">
        <f t="shared" si="34"/>
        <v>0</v>
      </c>
      <c r="AZ243" s="2" t="str">
        <f t="shared" si="35"/>
        <v>Paid</v>
      </c>
      <c r="BA243" s="9" t="str" cm="1">
        <f t="array" ref="BA243">_xlfn.IFS(AZ243="Paid","R",AZ243="Unpaid","Q")</f>
        <v>R</v>
      </c>
      <c r="BB243" s="8" t="s">
        <v>2815</v>
      </c>
    </row>
    <row r="244" spans="1:54" x14ac:dyDescent="0.25">
      <c r="A244" s="2">
        <v>243</v>
      </c>
      <c r="B244" s="2">
        <v>243</v>
      </c>
      <c r="C244" s="2" t="s">
        <v>508</v>
      </c>
      <c r="D244" s="2" t="s">
        <v>1738</v>
      </c>
      <c r="E244" s="2" t="s">
        <v>509</v>
      </c>
      <c r="F244" s="4">
        <v>45653</v>
      </c>
      <c r="G244" s="8" t="s">
        <v>32</v>
      </c>
      <c r="H244" s="8" t="s">
        <v>1249</v>
      </c>
      <c r="I244" s="2" t="s">
        <v>14</v>
      </c>
      <c r="J244" s="2" t="s">
        <v>15</v>
      </c>
      <c r="K244" s="2" t="s">
        <v>791</v>
      </c>
      <c r="L244" s="2" t="s">
        <v>1256</v>
      </c>
      <c r="M244" s="2" t="s">
        <v>1263</v>
      </c>
      <c r="N244" s="2" t="s">
        <v>2258</v>
      </c>
      <c r="O244" s="4">
        <v>36999</v>
      </c>
      <c r="P244" s="2" t="s">
        <v>2683</v>
      </c>
      <c r="Q244" s="2" t="s">
        <v>2498</v>
      </c>
      <c r="R244" s="2" t="s">
        <v>2393</v>
      </c>
      <c r="S244" s="2" t="s">
        <v>788</v>
      </c>
      <c r="T244" s="2" t="s">
        <v>1530</v>
      </c>
      <c r="U244" s="2" t="s">
        <v>1280</v>
      </c>
      <c r="V244" s="2">
        <v>7623891935</v>
      </c>
      <c r="W244" s="2" t="s">
        <v>1046</v>
      </c>
      <c r="X244" s="2" t="s">
        <v>790</v>
      </c>
      <c r="Y244" s="2" t="s">
        <v>1184</v>
      </c>
      <c r="Z244" s="2" t="s">
        <v>1185</v>
      </c>
      <c r="AA244" s="2">
        <v>2000</v>
      </c>
      <c r="AB244" s="2">
        <v>200</v>
      </c>
      <c r="AC244" s="2">
        <v>300</v>
      </c>
      <c r="AD244" s="2">
        <v>500</v>
      </c>
      <c r="AE244" s="2">
        <f t="shared" si="27"/>
        <v>2000</v>
      </c>
      <c r="AF244" s="2">
        <v>500</v>
      </c>
      <c r="AG244" s="4">
        <v>45663</v>
      </c>
      <c r="AH244" s="2">
        <f t="shared" si="28"/>
        <v>1500</v>
      </c>
      <c r="AI244" s="2">
        <v>500</v>
      </c>
      <c r="AJ244" s="4">
        <v>45694</v>
      </c>
      <c r="AK244" s="2">
        <f t="shared" si="29"/>
        <v>1000</v>
      </c>
      <c r="AL244" s="2">
        <v>500</v>
      </c>
      <c r="AM244" s="4">
        <v>45722</v>
      </c>
      <c r="AN244" s="2">
        <f t="shared" si="30"/>
        <v>500</v>
      </c>
      <c r="AO244" s="2" cm="1">
        <f t="array" ref="AO244">_xlfn.IFS(AN244&gt;=5000,3000,AN244&gt;=2000,1000,AN244&gt;=500,500,AN244&lt;500,AN244)</f>
        <v>500</v>
      </c>
      <c r="AP244" s="4">
        <v>45753</v>
      </c>
      <c r="AQ244" s="2">
        <f t="shared" si="31"/>
        <v>0</v>
      </c>
      <c r="AR244" s="2" t="s">
        <v>1200</v>
      </c>
      <c r="AS244" s="4" t="s">
        <v>1200</v>
      </c>
      <c r="AT244" s="2" t="str">
        <f t="shared" si="32"/>
        <v/>
      </c>
      <c r="AU244" s="2" t="s">
        <v>1200</v>
      </c>
      <c r="AV244" s="4" t="s">
        <v>1200</v>
      </c>
      <c r="AW244" s="2" t="s">
        <v>1200</v>
      </c>
      <c r="AX244" s="2">
        <f t="shared" si="33"/>
        <v>2000</v>
      </c>
      <c r="AY244" s="2">
        <f t="shared" si="34"/>
        <v>0</v>
      </c>
      <c r="AZ244" s="2" t="str">
        <f t="shared" si="35"/>
        <v>Paid</v>
      </c>
      <c r="BA244" s="9" t="str" cm="1">
        <f t="array" ref="BA244">_xlfn.IFS(AZ244="Paid","R",AZ244="Unpaid","Q")</f>
        <v>R</v>
      </c>
      <c r="BB244" s="8" t="s">
        <v>2815</v>
      </c>
    </row>
    <row r="245" spans="1:54" x14ac:dyDescent="0.25">
      <c r="A245" s="2">
        <v>244</v>
      </c>
      <c r="B245" s="2">
        <v>244</v>
      </c>
      <c r="C245" s="2" t="s">
        <v>510</v>
      </c>
      <c r="D245" s="2" t="s">
        <v>1895</v>
      </c>
      <c r="E245" s="2" t="s">
        <v>511</v>
      </c>
      <c r="F245" s="4">
        <v>45659</v>
      </c>
      <c r="G245" s="8" t="s">
        <v>21</v>
      </c>
      <c r="H245" s="8" t="s">
        <v>1252</v>
      </c>
      <c r="I245" s="2" t="s">
        <v>14</v>
      </c>
      <c r="J245" s="2" t="s">
        <v>512</v>
      </c>
      <c r="K245" s="2" t="s">
        <v>791</v>
      </c>
      <c r="L245" s="2" t="s">
        <v>1260</v>
      </c>
      <c r="M245" s="2" t="s">
        <v>1261</v>
      </c>
      <c r="N245" s="2" t="s">
        <v>2259</v>
      </c>
      <c r="O245" s="4">
        <v>37881</v>
      </c>
      <c r="P245" s="2" t="s">
        <v>2684</v>
      </c>
      <c r="Q245" s="2" t="s">
        <v>2478</v>
      </c>
      <c r="R245" s="2" t="s">
        <v>2393</v>
      </c>
      <c r="S245" s="2" t="s">
        <v>788</v>
      </c>
      <c r="T245" s="2" t="s">
        <v>1531</v>
      </c>
      <c r="U245" s="2" t="s">
        <v>1287</v>
      </c>
      <c r="V245" s="2">
        <v>9967732384</v>
      </c>
      <c r="W245" s="2" t="s">
        <v>1047</v>
      </c>
      <c r="X245" s="2" t="s">
        <v>801</v>
      </c>
      <c r="Y245" s="2" t="s">
        <v>1184</v>
      </c>
      <c r="Z245" s="2" t="s">
        <v>1185</v>
      </c>
      <c r="AA245" s="2">
        <v>3000</v>
      </c>
      <c r="AB245" s="2">
        <v>200</v>
      </c>
      <c r="AC245" s="2">
        <v>300</v>
      </c>
      <c r="AD245" s="2">
        <v>300</v>
      </c>
      <c r="AE245" s="2">
        <f t="shared" si="27"/>
        <v>3200</v>
      </c>
      <c r="AF245" s="2">
        <v>1000</v>
      </c>
      <c r="AG245" s="4">
        <v>45669</v>
      </c>
      <c r="AH245" s="2">
        <f t="shared" si="28"/>
        <v>2200</v>
      </c>
      <c r="AI245" s="2">
        <v>1000</v>
      </c>
      <c r="AJ245" s="4">
        <v>45700</v>
      </c>
      <c r="AK245" s="2">
        <f t="shared" si="29"/>
        <v>1200</v>
      </c>
      <c r="AL245" s="2">
        <v>500</v>
      </c>
      <c r="AM245" s="4">
        <v>45728</v>
      </c>
      <c r="AN245" s="2">
        <f t="shared" si="30"/>
        <v>700</v>
      </c>
      <c r="AO245" s="2" cm="1">
        <f t="array" ref="AO245">_xlfn.IFS(AN245&gt;=5000,3000,AN245&gt;=2000,1000,AN245&gt;=500,500,AN245&lt;500,AN245)</f>
        <v>500</v>
      </c>
      <c r="AP245" s="4">
        <v>45759</v>
      </c>
      <c r="AQ245" s="2">
        <f t="shared" si="31"/>
        <v>200</v>
      </c>
      <c r="AR245" s="2">
        <v>200</v>
      </c>
      <c r="AS245" s="4">
        <v>45789</v>
      </c>
      <c r="AT245" s="2">
        <f t="shared" si="32"/>
        <v>0</v>
      </c>
      <c r="AU245" s="2" t="s">
        <v>1200</v>
      </c>
      <c r="AV245" s="4" t="s">
        <v>1200</v>
      </c>
      <c r="AW245" s="2" t="s">
        <v>1200</v>
      </c>
      <c r="AX245" s="2">
        <f t="shared" si="33"/>
        <v>3200</v>
      </c>
      <c r="AY245" s="2">
        <f t="shared" si="34"/>
        <v>0</v>
      </c>
      <c r="AZ245" s="2" t="str">
        <f t="shared" si="35"/>
        <v>Paid</v>
      </c>
      <c r="BA245" s="9" t="str" cm="1">
        <f t="array" ref="BA245">_xlfn.IFS(AZ245="Paid","R",AZ245="Unpaid","Q")</f>
        <v>R</v>
      </c>
      <c r="BB245" s="8" t="s">
        <v>2815</v>
      </c>
    </row>
    <row r="246" spans="1:54" x14ac:dyDescent="0.25">
      <c r="A246" s="2">
        <v>245</v>
      </c>
      <c r="B246" s="2">
        <v>245</v>
      </c>
      <c r="C246" s="2" t="s">
        <v>513</v>
      </c>
      <c r="D246" s="2" t="s">
        <v>1896</v>
      </c>
      <c r="E246" s="2" t="s">
        <v>514</v>
      </c>
      <c r="F246" s="4">
        <v>45662</v>
      </c>
      <c r="G246" s="8" t="s">
        <v>32</v>
      </c>
      <c r="H246" s="8" t="s">
        <v>1249</v>
      </c>
      <c r="I246" s="2" t="s">
        <v>14</v>
      </c>
      <c r="J246" s="2" t="s">
        <v>512</v>
      </c>
      <c r="K246" s="2" t="s">
        <v>791</v>
      </c>
      <c r="L246" s="2" t="s">
        <v>1260</v>
      </c>
      <c r="M246" s="2" t="s">
        <v>1261</v>
      </c>
      <c r="N246" s="2" t="s">
        <v>2260</v>
      </c>
      <c r="O246" s="4">
        <v>33234</v>
      </c>
      <c r="P246" s="2" t="s">
        <v>2685</v>
      </c>
      <c r="Q246" s="2" t="s">
        <v>2457</v>
      </c>
      <c r="R246" s="2" t="s">
        <v>2396</v>
      </c>
      <c r="S246" s="2" t="s">
        <v>788</v>
      </c>
      <c r="T246" s="2" t="s">
        <v>1532</v>
      </c>
      <c r="U246" s="2" t="s">
        <v>1273</v>
      </c>
      <c r="V246" s="2">
        <v>8590990317</v>
      </c>
      <c r="W246" s="2" t="s">
        <v>1048</v>
      </c>
      <c r="X246" s="2" t="s">
        <v>1183</v>
      </c>
      <c r="Y246" s="2" t="s">
        <v>1184</v>
      </c>
      <c r="Z246" s="2" t="s">
        <v>1185</v>
      </c>
      <c r="AA246" s="2">
        <v>2000</v>
      </c>
      <c r="AB246" s="2">
        <v>200</v>
      </c>
      <c r="AC246" s="2">
        <v>300</v>
      </c>
      <c r="AD246" s="2">
        <v>300</v>
      </c>
      <c r="AE246" s="2">
        <f t="shared" si="27"/>
        <v>2200</v>
      </c>
      <c r="AF246" s="2">
        <v>500</v>
      </c>
      <c r="AG246" s="4">
        <v>45672</v>
      </c>
      <c r="AH246" s="2">
        <f t="shared" si="28"/>
        <v>1700</v>
      </c>
      <c r="AI246" s="2">
        <v>500</v>
      </c>
      <c r="AJ246" s="4">
        <v>45703</v>
      </c>
      <c r="AK246" s="2">
        <f t="shared" si="29"/>
        <v>1200</v>
      </c>
      <c r="AL246" s="2">
        <v>500</v>
      </c>
      <c r="AM246" s="4">
        <v>45731</v>
      </c>
      <c r="AN246" s="2">
        <f t="shared" si="30"/>
        <v>700</v>
      </c>
      <c r="AO246" s="2" cm="1">
        <f t="array" ref="AO246">_xlfn.IFS(AN246&gt;=5000,3000,AN246&gt;=2000,1000,AN246&gt;=500,500,AN246&lt;500,AN246)</f>
        <v>500</v>
      </c>
      <c r="AP246" s="4">
        <v>45762</v>
      </c>
      <c r="AQ246" s="2">
        <f t="shared" si="31"/>
        <v>200</v>
      </c>
      <c r="AR246" s="2">
        <v>200</v>
      </c>
      <c r="AS246" s="4">
        <v>45792</v>
      </c>
      <c r="AT246" s="2">
        <f t="shared" si="32"/>
        <v>0</v>
      </c>
      <c r="AU246" s="2" t="s">
        <v>1200</v>
      </c>
      <c r="AV246" s="4" t="s">
        <v>1200</v>
      </c>
      <c r="AW246" s="2" t="s">
        <v>1200</v>
      </c>
      <c r="AX246" s="2">
        <f t="shared" si="33"/>
        <v>2200</v>
      </c>
      <c r="AY246" s="2">
        <f t="shared" si="34"/>
        <v>0</v>
      </c>
      <c r="AZ246" s="2" t="str">
        <f t="shared" si="35"/>
        <v>Paid</v>
      </c>
      <c r="BA246" s="9" t="str" cm="1">
        <f t="array" ref="BA246">_xlfn.IFS(AZ246="Paid","R",AZ246="Unpaid","Q")</f>
        <v>R</v>
      </c>
      <c r="BB246" s="8" t="s">
        <v>2815</v>
      </c>
    </row>
    <row r="247" spans="1:54" x14ac:dyDescent="0.25">
      <c r="A247" s="2">
        <v>246</v>
      </c>
      <c r="B247" s="2">
        <v>246</v>
      </c>
      <c r="C247" s="2" t="s">
        <v>515</v>
      </c>
      <c r="D247" s="2" t="s">
        <v>1897</v>
      </c>
      <c r="E247" s="2" t="s">
        <v>516</v>
      </c>
      <c r="F247" s="4">
        <v>45662</v>
      </c>
      <c r="G247" s="8" t="s">
        <v>21</v>
      </c>
      <c r="H247" s="8" t="s">
        <v>1252</v>
      </c>
      <c r="I247" s="2" t="s">
        <v>14</v>
      </c>
      <c r="J247" s="2" t="s">
        <v>512</v>
      </c>
      <c r="K247" s="2" t="s">
        <v>791</v>
      </c>
      <c r="L247" s="2" t="s">
        <v>1259</v>
      </c>
      <c r="M247" s="2" t="s">
        <v>1262</v>
      </c>
      <c r="N247" s="2" t="s">
        <v>2261</v>
      </c>
      <c r="O247" s="4">
        <v>40050</v>
      </c>
      <c r="P247" s="2" t="s">
        <v>2686</v>
      </c>
      <c r="Q247" s="2" t="s">
        <v>2416</v>
      </c>
      <c r="R247" s="2" t="s">
        <v>2393</v>
      </c>
      <c r="S247" s="2" t="s">
        <v>820</v>
      </c>
      <c r="T247" s="2" t="s">
        <v>1533</v>
      </c>
      <c r="U247" s="2" t="s">
        <v>1270</v>
      </c>
      <c r="V247" s="2">
        <v>7073275524</v>
      </c>
      <c r="W247" s="2" t="s">
        <v>1049</v>
      </c>
      <c r="X247" s="2" t="s">
        <v>798</v>
      </c>
      <c r="Y247" s="2" t="s">
        <v>1184</v>
      </c>
      <c r="Z247" s="2" t="s">
        <v>1185</v>
      </c>
      <c r="AA247" s="2">
        <v>3000</v>
      </c>
      <c r="AB247" s="2">
        <v>200</v>
      </c>
      <c r="AC247" s="2">
        <v>300</v>
      </c>
      <c r="AD247" s="2">
        <v>0</v>
      </c>
      <c r="AE247" s="2">
        <f t="shared" si="27"/>
        <v>3500</v>
      </c>
      <c r="AF247" s="2">
        <v>1000</v>
      </c>
      <c r="AG247" s="4">
        <v>45672</v>
      </c>
      <c r="AH247" s="2">
        <f t="shared" si="28"/>
        <v>2500</v>
      </c>
      <c r="AI247" s="2">
        <v>1000</v>
      </c>
      <c r="AJ247" s="4">
        <v>45703</v>
      </c>
      <c r="AK247" s="2">
        <f t="shared" si="29"/>
        <v>1500</v>
      </c>
      <c r="AL247" s="2">
        <v>500</v>
      </c>
      <c r="AM247" s="4">
        <v>45731</v>
      </c>
      <c r="AN247" s="2">
        <f t="shared" si="30"/>
        <v>1000</v>
      </c>
      <c r="AO247" s="2" cm="1">
        <f t="array" ref="AO247">_xlfn.IFS(AN247&gt;=5000,3000,AN247&gt;=2000,1000,AN247&gt;=500,500,AN247&lt;500,AN247)</f>
        <v>500</v>
      </c>
      <c r="AP247" s="4">
        <v>45762</v>
      </c>
      <c r="AQ247" s="2">
        <f t="shared" si="31"/>
        <v>500</v>
      </c>
      <c r="AR247" s="2">
        <v>500</v>
      </c>
      <c r="AS247" s="4">
        <v>45792</v>
      </c>
      <c r="AT247" s="2">
        <f t="shared" si="32"/>
        <v>0</v>
      </c>
      <c r="AU247" s="2" t="s">
        <v>1200</v>
      </c>
      <c r="AV247" s="4" t="s">
        <v>1200</v>
      </c>
      <c r="AW247" s="2" t="s">
        <v>1200</v>
      </c>
      <c r="AX247" s="2">
        <f t="shared" si="33"/>
        <v>3500</v>
      </c>
      <c r="AY247" s="2">
        <f t="shared" si="34"/>
        <v>0</v>
      </c>
      <c r="AZ247" s="2" t="str">
        <f t="shared" si="35"/>
        <v>Paid</v>
      </c>
      <c r="BA247" s="9" t="str" cm="1">
        <f t="array" ref="BA247">_xlfn.IFS(AZ247="Paid","R",AZ247="Unpaid","Q")</f>
        <v>R</v>
      </c>
      <c r="BB247" s="8" t="s">
        <v>2815</v>
      </c>
    </row>
    <row r="248" spans="1:54" x14ac:dyDescent="0.25">
      <c r="A248" s="2">
        <v>247</v>
      </c>
      <c r="B248" s="2">
        <v>247</v>
      </c>
      <c r="C248" s="2" t="s">
        <v>517</v>
      </c>
      <c r="D248" s="2" t="s">
        <v>1898</v>
      </c>
      <c r="E248" s="2" t="s">
        <v>518</v>
      </c>
      <c r="F248" s="4">
        <v>45665</v>
      </c>
      <c r="G248" s="8" t="s">
        <v>13</v>
      </c>
      <c r="H248" s="8" t="s">
        <v>1254</v>
      </c>
      <c r="I248" s="2" t="s">
        <v>14</v>
      </c>
      <c r="J248" s="2" t="s">
        <v>512</v>
      </c>
      <c r="K248" s="2" t="s">
        <v>791</v>
      </c>
      <c r="L248" s="2" t="s">
        <v>1256</v>
      </c>
      <c r="M248" s="2" t="s">
        <v>1263</v>
      </c>
      <c r="N248" s="2" t="s">
        <v>2262</v>
      </c>
      <c r="O248" s="4">
        <v>36906</v>
      </c>
      <c r="P248" s="2" t="s">
        <v>2687</v>
      </c>
      <c r="Q248" s="2" t="s">
        <v>2428</v>
      </c>
      <c r="R248" s="2" t="s">
        <v>2393</v>
      </c>
      <c r="S248" s="2" t="s">
        <v>796</v>
      </c>
      <c r="T248" s="2" t="s">
        <v>1534</v>
      </c>
      <c r="U248" s="2" t="s">
        <v>1273</v>
      </c>
      <c r="V248" s="2">
        <v>8519715334</v>
      </c>
      <c r="W248" s="2" t="s">
        <v>1050</v>
      </c>
      <c r="X248" s="2" t="s">
        <v>822</v>
      </c>
      <c r="Y248" s="2" t="s">
        <v>1184</v>
      </c>
      <c r="Z248" s="2" t="s">
        <v>1185</v>
      </c>
      <c r="AA248" s="2">
        <v>3000</v>
      </c>
      <c r="AB248" s="2">
        <v>200</v>
      </c>
      <c r="AC248" s="2">
        <v>500</v>
      </c>
      <c r="AD248" s="2">
        <v>0</v>
      </c>
      <c r="AE248" s="2">
        <f t="shared" si="27"/>
        <v>3700</v>
      </c>
      <c r="AF248" s="2">
        <v>1000</v>
      </c>
      <c r="AG248" s="4">
        <v>45675</v>
      </c>
      <c r="AH248" s="2">
        <f t="shared" si="28"/>
        <v>2700</v>
      </c>
      <c r="AI248" s="2">
        <v>1000</v>
      </c>
      <c r="AJ248" s="4">
        <v>45706</v>
      </c>
      <c r="AK248" s="2">
        <f t="shared" si="29"/>
        <v>1700</v>
      </c>
      <c r="AL248" s="2">
        <v>500</v>
      </c>
      <c r="AM248" s="4">
        <v>45734</v>
      </c>
      <c r="AN248" s="2">
        <f t="shared" si="30"/>
        <v>1200</v>
      </c>
      <c r="AO248" s="2" cm="1">
        <f t="array" ref="AO248">_xlfn.IFS(AN248&gt;=5000,3000,AN248&gt;=2000,1000,AN248&gt;=500,500,AN248&lt;500,AN248)</f>
        <v>500</v>
      </c>
      <c r="AP248" s="4">
        <v>45765</v>
      </c>
      <c r="AQ248" s="2">
        <f t="shared" si="31"/>
        <v>700</v>
      </c>
      <c r="AR248" s="2">
        <v>500</v>
      </c>
      <c r="AS248" s="4">
        <v>45795</v>
      </c>
      <c r="AT248" s="2">
        <f t="shared" si="32"/>
        <v>200</v>
      </c>
      <c r="AU248" s="2">
        <v>200</v>
      </c>
      <c r="AV248" s="4">
        <v>45826</v>
      </c>
      <c r="AW248" s="2">
        <v>0</v>
      </c>
      <c r="AX248" s="2">
        <f t="shared" si="33"/>
        <v>3700</v>
      </c>
      <c r="AY248" s="2">
        <f t="shared" si="34"/>
        <v>0</v>
      </c>
      <c r="AZ248" s="2" t="str">
        <f t="shared" si="35"/>
        <v>Paid</v>
      </c>
      <c r="BA248" s="9" t="str" cm="1">
        <f t="array" ref="BA248">_xlfn.IFS(AZ248="Paid","R",AZ248="Unpaid","Q")</f>
        <v>R</v>
      </c>
      <c r="BB248" s="8" t="s">
        <v>2815</v>
      </c>
    </row>
    <row r="249" spans="1:54" x14ac:dyDescent="0.25">
      <c r="A249" s="2">
        <v>248</v>
      </c>
      <c r="B249" s="2">
        <v>248</v>
      </c>
      <c r="C249" s="2" t="s">
        <v>519</v>
      </c>
      <c r="D249" s="2" t="s">
        <v>1899</v>
      </c>
      <c r="E249" s="2" t="s">
        <v>520</v>
      </c>
      <c r="F249" s="4">
        <v>45668</v>
      </c>
      <c r="G249" s="8" t="s">
        <v>29</v>
      </c>
      <c r="H249" s="8" t="s">
        <v>1248</v>
      </c>
      <c r="I249" s="2" t="s">
        <v>14</v>
      </c>
      <c r="J249" s="2" t="s">
        <v>512</v>
      </c>
      <c r="K249" s="2" t="s">
        <v>791</v>
      </c>
      <c r="L249" s="2" t="s">
        <v>1258</v>
      </c>
      <c r="M249" s="2" t="s">
        <v>1264</v>
      </c>
      <c r="N249" s="2" t="s">
        <v>2263</v>
      </c>
      <c r="O249" s="4">
        <v>37162</v>
      </c>
      <c r="P249" s="2" t="s">
        <v>2688</v>
      </c>
      <c r="Q249" s="2" t="s">
        <v>2527</v>
      </c>
      <c r="R249" s="2" t="s">
        <v>2396</v>
      </c>
      <c r="S249" s="2" t="s">
        <v>788</v>
      </c>
      <c r="T249" s="2" t="s">
        <v>1535</v>
      </c>
      <c r="U249" s="2" t="s">
        <v>1285</v>
      </c>
      <c r="V249" s="2">
        <v>7726235035</v>
      </c>
      <c r="W249" s="2" t="s">
        <v>1051</v>
      </c>
      <c r="X249" s="2" t="s">
        <v>798</v>
      </c>
      <c r="Y249" s="2" t="s">
        <v>1184</v>
      </c>
      <c r="Z249" s="2" t="s">
        <v>1185</v>
      </c>
      <c r="AA249" s="2">
        <v>2500</v>
      </c>
      <c r="AB249" s="2">
        <v>200</v>
      </c>
      <c r="AC249" s="2">
        <v>400</v>
      </c>
      <c r="AD249" s="2">
        <v>0</v>
      </c>
      <c r="AE249" s="2">
        <f t="shared" si="27"/>
        <v>3100</v>
      </c>
      <c r="AF249" s="2">
        <v>1000</v>
      </c>
      <c r="AG249" s="4">
        <v>45678</v>
      </c>
      <c r="AH249" s="2">
        <f t="shared" si="28"/>
        <v>2100</v>
      </c>
      <c r="AI249" s="2">
        <v>1000</v>
      </c>
      <c r="AJ249" s="4">
        <v>45709</v>
      </c>
      <c r="AK249" s="2">
        <f t="shared" si="29"/>
        <v>1100</v>
      </c>
      <c r="AL249" s="2">
        <v>500</v>
      </c>
      <c r="AM249" s="4">
        <v>45737</v>
      </c>
      <c r="AN249" s="2">
        <f t="shared" si="30"/>
        <v>600</v>
      </c>
      <c r="AO249" s="2" cm="1">
        <f t="array" ref="AO249">_xlfn.IFS(AN249&gt;=5000,3000,AN249&gt;=2000,1000,AN249&gt;=500,500,AN249&lt;500,AN249)</f>
        <v>500</v>
      </c>
      <c r="AP249" s="4">
        <v>45768</v>
      </c>
      <c r="AQ249" s="2">
        <f t="shared" si="31"/>
        <v>100</v>
      </c>
      <c r="AR249" s="2">
        <v>100</v>
      </c>
      <c r="AS249" s="4">
        <v>45798</v>
      </c>
      <c r="AT249" s="2">
        <f t="shared" si="32"/>
        <v>0</v>
      </c>
      <c r="AU249" s="2" t="s">
        <v>1200</v>
      </c>
      <c r="AV249" s="4" t="s">
        <v>1200</v>
      </c>
      <c r="AW249" s="2" t="s">
        <v>1200</v>
      </c>
      <c r="AX249" s="2">
        <f t="shared" si="33"/>
        <v>3100</v>
      </c>
      <c r="AY249" s="2">
        <f t="shared" si="34"/>
        <v>0</v>
      </c>
      <c r="AZ249" s="2" t="str">
        <f t="shared" si="35"/>
        <v>Paid</v>
      </c>
      <c r="BA249" s="9" t="str" cm="1">
        <f t="array" ref="BA249">_xlfn.IFS(AZ249="Paid","R",AZ249="Unpaid","Q")</f>
        <v>R</v>
      </c>
      <c r="BB249" s="8" t="s">
        <v>2815</v>
      </c>
    </row>
    <row r="250" spans="1:54" x14ac:dyDescent="0.25">
      <c r="A250" s="2">
        <v>249</v>
      </c>
      <c r="B250" s="2">
        <v>249</v>
      </c>
      <c r="C250" s="2" t="s">
        <v>521</v>
      </c>
      <c r="D250" s="2" t="s">
        <v>1900</v>
      </c>
      <c r="E250" s="2" t="s">
        <v>522</v>
      </c>
      <c r="F250" s="4">
        <v>45670</v>
      </c>
      <c r="G250" s="8" t="s">
        <v>45</v>
      </c>
      <c r="H250" s="8" t="s">
        <v>1250</v>
      </c>
      <c r="I250" s="2" t="s">
        <v>14</v>
      </c>
      <c r="J250" s="2" t="s">
        <v>512</v>
      </c>
      <c r="K250" s="2" t="s">
        <v>791</v>
      </c>
      <c r="L250" s="2" t="s">
        <v>1259</v>
      </c>
      <c r="M250" s="2" t="s">
        <v>1262</v>
      </c>
      <c r="N250" s="2" t="s">
        <v>2264</v>
      </c>
      <c r="O250" s="4">
        <v>34784</v>
      </c>
      <c r="P250" s="2" t="s">
        <v>2689</v>
      </c>
      <c r="Q250" s="2" t="s">
        <v>2490</v>
      </c>
      <c r="R250" s="2" t="s">
        <v>2393</v>
      </c>
      <c r="S250" s="2" t="s">
        <v>788</v>
      </c>
      <c r="T250" s="2" t="s">
        <v>1536</v>
      </c>
      <c r="U250" s="2" t="s">
        <v>1275</v>
      </c>
      <c r="V250" s="2">
        <v>6199683667</v>
      </c>
      <c r="W250" s="2" t="s">
        <v>1052</v>
      </c>
      <c r="X250" s="2" t="s">
        <v>809</v>
      </c>
      <c r="Y250" s="2" t="s">
        <v>1184</v>
      </c>
      <c r="Z250" s="2" t="s">
        <v>1185</v>
      </c>
      <c r="AA250" s="2">
        <v>2000</v>
      </c>
      <c r="AB250" s="2">
        <v>200</v>
      </c>
      <c r="AC250" s="2">
        <v>300</v>
      </c>
      <c r="AD250" s="2">
        <v>200</v>
      </c>
      <c r="AE250" s="2">
        <f t="shared" si="27"/>
        <v>2300</v>
      </c>
      <c r="AF250" s="2">
        <v>500</v>
      </c>
      <c r="AG250" s="4">
        <v>45680</v>
      </c>
      <c r="AH250" s="2">
        <f t="shared" si="28"/>
        <v>1800</v>
      </c>
      <c r="AI250" s="2">
        <v>500</v>
      </c>
      <c r="AJ250" s="4">
        <v>45711</v>
      </c>
      <c r="AK250" s="2">
        <f t="shared" si="29"/>
        <v>1300</v>
      </c>
      <c r="AL250" s="2">
        <v>500</v>
      </c>
      <c r="AM250" s="4">
        <v>45739</v>
      </c>
      <c r="AN250" s="2">
        <f t="shared" si="30"/>
        <v>800</v>
      </c>
      <c r="AO250" s="2" cm="1">
        <f t="array" ref="AO250">_xlfn.IFS(AN250&gt;=5000,3000,AN250&gt;=2000,1000,AN250&gt;=500,500,AN250&lt;500,AN250)</f>
        <v>500</v>
      </c>
      <c r="AP250" s="4">
        <v>45770</v>
      </c>
      <c r="AQ250" s="2">
        <f t="shared" si="31"/>
        <v>300</v>
      </c>
      <c r="AR250" s="2">
        <v>300</v>
      </c>
      <c r="AS250" s="4">
        <v>45800</v>
      </c>
      <c r="AT250" s="2">
        <f t="shared" si="32"/>
        <v>0</v>
      </c>
      <c r="AU250" s="2" t="s">
        <v>1200</v>
      </c>
      <c r="AV250" s="4" t="s">
        <v>1200</v>
      </c>
      <c r="AW250" s="2" t="s">
        <v>1200</v>
      </c>
      <c r="AX250" s="2">
        <f t="shared" si="33"/>
        <v>2300</v>
      </c>
      <c r="AY250" s="2">
        <f t="shared" si="34"/>
        <v>0</v>
      </c>
      <c r="AZ250" s="2" t="str">
        <f t="shared" si="35"/>
        <v>Paid</v>
      </c>
      <c r="BA250" s="9" t="str" cm="1">
        <f t="array" ref="BA250">_xlfn.IFS(AZ250="Paid","R",AZ250="Unpaid","Q")</f>
        <v>R</v>
      </c>
      <c r="BB250" s="8" t="s">
        <v>2815</v>
      </c>
    </row>
    <row r="251" spans="1:54" x14ac:dyDescent="0.25">
      <c r="A251" s="2">
        <v>250</v>
      </c>
      <c r="B251" s="2">
        <v>250</v>
      </c>
      <c r="C251" s="2" t="s">
        <v>523</v>
      </c>
      <c r="D251" s="2" t="s">
        <v>1901</v>
      </c>
      <c r="E251" s="2" t="s">
        <v>524</v>
      </c>
      <c r="F251" s="4">
        <v>45672</v>
      </c>
      <c r="G251" s="8" t="s">
        <v>18</v>
      </c>
      <c r="H251" s="8" t="s">
        <v>1253</v>
      </c>
      <c r="I251" s="2" t="s">
        <v>9</v>
      </c>
      <c r="J251" s="2" t="s">
        <v>512</v>
      </c>
      <c r="K251" s="2" t="s">
        <v>795</v>
      </c>
      <c r="L251" s="2" t="s">
        <v>1258</v>
      </c>
      <c r="M251" s="2" t="s">
        <v>1264</v>
      </c>
      <c r="N251" s="2" t="s">
        <v>2265</v>
      </c>
      <c r="O251" s="4">
        <v>38774</v>
      </c>
      <c r="P251" s="2" t="s">
        <v>2690</v>
      </c>
      <c r="Q251" s="2" t="s">
        <v>2407</v>
      </c>
      <c r="R251" s="2" t="s">
        <v>2393</v>
      </c>
      <c r="S251" s="2" t="s">
        <v>788</v>
      </c>
      <c r="T251" s="2" t="s">
        <v>1537</v>
      </c>
      <c r="U251" s="2" t="s">
        <v>1268</v>
      </c>
      <c r="V251" s="2">
        <v>8434470949</v>
      </c>
      <c r="W251" s="2" t="s">
        <v>1053</v>
      </c>
      <c r="X251" s="2" t="s">
        <v>798</v>
      </c>
      <c r="Y251" s="2" t="s">
        <v>1184</v>
      </c>
      <c r="Z251" s="2" t="s">
        <v>1185</v>
      </c>
      <c r="AA251" s="2">
        <v>7000</v>
      </c>
      <c r="AB251" s="2">
        <v>200</v>
      </c>
      <c r="AC251" s="2">
        <v>800</v>
      </c>
      <c r="AD251" s="2">
        <v>0</v>
      </c>
      <c r="AE251" s="2">
        <f t="shared" si="27"/>
        <v>8000</v>
      </c>
      <c r="AF251" s="2">
        <v>2500</v>
      </c>
      <c r="AG251" s="4">
        <v>45682</v>
      </c>
      <c r="AH251" s="2">
        <f t="shared" si="28"/>
        <v>5500</v>
      </c>
      <c r="AI251" s="2">
        <v>3000</v>
      </c>
      <c r="AJ251" s="4">
        <v>45713</v>
      </c>
      <c r="AK251" s="2">
        <f t="shared" si="29"/>
        <v>2500</v>
      </c>
      <c r="AL251" s="2">
        <v>1000</v>
      </c>
      <c r="AM251" s="4">
        <v>45741</v>
      </c>
      <c r="AN251" s="2">
        <f t="shared" si="30"/>
        <v>1500</v>
      </c>
      <c r="AO251" s="2" cm="1">
        <f t="array" ref="AO251">_xlfn.IFS(AN251&gt;=5000,3000,AN251&gt;=2000,1000,AN251&gt;=500,500,AN251&lt;500,AN251)</f>
        <v>500</v>
      </c>
      <c r="AP251" s="4">
        <v>45772</v>
      </c>
      <c r="AQ251" s="2">
        <f t="shared" si="31"/>
        <v>1000</v>
      </c>
      <c r="AR251" s="2">
        <v>1000</v>
      </c>
      <c r="AS251" s="4">
        <v>45802</v>
      </c>
      <c r="AT251" s="2">
        <f t="shared" si="32"/>
        <v>0</v>
      </c>
      <c r="AU251" s="2" t="s">
        <v>1200</v>
      </c>
      <c r="AV251" s="4" t="s">
        <v>1200</v>
      </c>
      <c r="AW251" s="2" t="s">
        <v>1200</v>
      </c>
      <c r="AX251" s="2">
        <f t="shared" si="33"/>
        <v>8000</v>
      </c>
      <c r="AY251" s="2">
        <f t="shared" si="34"/>
        <v>0</v>
      </c>
      <c r="AZ251" s="2" t="str">
        <f t="shared" si="35"/>
        <v>Paid</v>
      </c>
      <c r="BA251" s="9" t="str" cm="1">
        <f t="array" ref="BA251">_xlfn.IFS(AZ251="Paid","R",AZ251="Unpaid","Q")</f>
        <v>R</v>
      </c>
      <c r="BB251" s="8" t="s">
        <v>2815</v>
      </c>
    </row>
    <row r="252" spans="1:54" x14ac:dyDescent="0.25">
      <c r="A252" s="2">
        <v>251</v>
      </c>
      <c r="B252" s="2">
        <v>251</v>
      </c>
      <c r="C252" s="2" t="s">
        <v>525</v>
      </c>
      <c r="D252" s="2" t="s">
        <v>1902</v>
      </c>
      <c r="E252" s="2" t="s">
        <v>526</v>
      </c>
      <c r="F252" s="4">
        <v>45674</v>
      </c>
      <c r="G252" s="8" t="s">
        <v>13</v>
      </c>
      <c r="H252" s="8" t="s">
        <v>1254</v>
      </c>
      <c r="I252" s="2" t="s">
        <v>14</v>
      </c>
      <c r="J252" s="2" t="s">
        <v>512</v>
      </c>
      <c r="K252" s="2" t="s">
        <v>791</v>
      </c>
      <c r="L252" s="2" t="s">
        <v>1260</v>
      </c>
      <c r="M252" s="2" t="s">
        <v>1261</v>
      </c>
      <c r="N252" s="2" t="s">
        <v>2266</v>
      </c>
      <c r="O252" s="4">
        <v>39366</v>
      </c>
      <c r="P252" s="2" t="s">
        <v>2691</v>
      </c>
      <c r="Q252" s="2" t="s">
        <v>2449</v>
      </c>
      <c r="R252" s="2" t="s">
        <v>2393</v>
      </c>
      <c r="S252" s="2" t="s">
        <v>788</v>
      </c>
      <c r="T252" s="2" t="s">
        <v>1538</v>
      </c>
      <c r="U252" s="2" t="s">
        <v>1281</v>
      </c>
      <c r="V252" s="2">
        <v>9493049671</v>
      </c>
      <c r="W252" s="2" t="s">
        <v>1054</v>
      </c>
      <c r="X252" s="2" t="s">
        <v>1183</v>
      </c>
      <c r="Y252" s="2" t="s">
        <v>1184</v>
      </c>
      <c r="Z252" s="2" t="s">
        <v>1185</v>
      </c>
      <c r="AA252" s="2">
        <v>3000</v>
      </c>
      <c r="AB252" s="2">
        <v>200</v>
      </c>
      <c r="AC252" s="2">
        <v>500</v>
      </c>
      <c r="AD252" s="2">
        <v>0</v>
      </c>
      <c r="AE252" s="2">
        <f t="shared" si="27"/>
        <v>3700</v>
      </c>
      <c r="AF252" s="2">
        <v>1000</v>
      </c>
      <c r="AG252" s="4">
        <v>45684</v>
      </c>
      <c r="AH252" s="2">
        <f t="shared" si="28"/>
        <v>2700</v>
      </c>
      <c r="AI252" s="2">
        <v>1000</v>
      </c>
      <c r="AJ252" s="4">
        <v>45715</v>
      </c>
      <c r="AK252" s="2">
        <f t="shared" si="29"/>
        <v>1700</v>
      </c>
      <c r="AL252" s="2">
        <v>500</v>
      </c>
      <c r="AM252" s="4">
        <v>45743</v>
      </c>
      <c r="AN252" s="2">
        <f t="shared" si="30"/>
        <v>1200</v>
      </c>
      <c r="AO252" s="2" cm="1">
        <f t="array" ref="AO252">_xlfn.IFS(AN252&gt;=5000,3000,AN252&gt;=2000,1000,AN252&gt;=500,500,AN252&lt;500,AN252)</f>
        <v>500</v>
      </c>
      <c r="AP252" s="4">
        <v>45774</v>
      </c>
      <c r="AQ252" s="2">
        <f t="shared" si="31"/>
        <v>700</v>
      </c>
      <c r="AR252" s="2">
        <v>500</v>
      </c>
      <c r="AS252" s="4">
        <v>45804</v>
      </c>
      <c r="AT252" s="2">
        <f t="shared" si="32"/>
        <v>200</v>
      </c>
      <c r="AU252" s="2">
        <v>200</v>
      </c>
      <c r="AV252" s="4">
        <v>45835</v>
      </c>
      <c r="AW252" s="2">
        <v>0</v>
      </c>
      <c r="AX252" s="2">
        <f t="shared" si="33"/>
        <v>3700</v>
      </c>
      <c r="AY252" s="2">
        <f t="shared" si="34"/>
        <v>0</v>
      </c>
      <c r="AZ252" s="2" t="str">
        <f t="shared" si="35"/>
        <v>Paid</v>
      </c>
      <c r="BA252" s="9" t="str" cm="1">
        <f t="array" ref="BA252">_xlfn.IFS(AZ252="Paid","R",AZ252="Unpaid","Q")</f>
        <v>R</v>
      </c>
      <c r="BB252" s="8" t="s">
        <v>2815</v>
      </c>
    </row>
    <row r="253" spans="1:54" x14ac:dyDescent="0.25">
      <c r="A253" s="2">
        <v>252</v>
      </c>
      <c r="B253" s="2">
        <v>252</v>
      </c>
      <c r="C253" s="2" t="s">
        <v>527</v>
      </c>
      <c r="D253" s="2" t="s">
        <v>1903</v>
      </c>
      <c r="E253" s="2" t="s">
        <v>528</v>
      </c>
      <c r="F253" s="4">
        <v>45684</v>
      </c>
      <c r="G253" s="8" t="s">
        <v>48</v>
      </c>
      <c r="H253" s="8" t="s">
        <v>1251</v>
      </c>
      <c r="I253" s="2" t="s">
        <v>14</v>
      </c>
      <c r="J253" s="2" t="s">
        <v>512</v>
      </c>
      <c r="K253" s="2" t="s">
        <v>791</v>
      </c>
      <c r="L253" s="2" t="s">
        <v>1256</v>
      </c>
      <c r="M253" s="2" t="s">
        <v>1263</v>
      </c>
      <c r="N253" s="2" t="s">
        <v>2267</v>
      </c>
      <c r="O253" s="4">
        <v>36475</v>
      </c>
      <c r="P253" s="2" t="s">
        <v>2692</v>
      </c>
      <c r="Q253" s="2" t="s">
        <v>2442</v>
      </c>
      <c r="R253" s="2" t="s">
        <v>2393</v>
      </c>
      <c r="S253" s="2" t="s">
        <v>788</v>
      </c>
      <c r="T253" s="2" t="s">
        <v>1539</v>
      </c>
      <c r="U253" s="2" t="s">
        <v>1278</v>
      </c>
      <c r="V253" s="2">
        <v>9618288288</v>
      </c>
      <c r="W253" s="2" t="s">
        <v>1055</v>
      </c>
      <c r="X253" s="2" t="s">
        <v>1183</v>
      </c>
      <c r="Y253" s="2" t="s">
        <v>1184</v>
      </c>
      <c r="Z253" s="2" t="s">
        <v>1185</v>
      </c>
      <c r="AA253" s="2">
        <v>3000</v>
      </c>
      <c r="AB253" s="2">
        <v>200</v>
      </c>
      <c r="AC253" s="2">
        <v>500</v>
      </c>
      <c r="AD253" s="2">
        <v>0</v>
      </c>
      <c r="AE253" s="2">
        <f t="shared" si="27"/>
        <v>3700</v>
      </c>
      <c r="AF253" s="2">
        <v>1000</v>
      </c>
      <c r="AG253" s="4">
        <v>45694</v>
      </c>
      <c r="AH253" s="2">
        <f t="shared" si="28"/>
        <v>2700</v>
      </c>
      <c r="AI253" s="2">
        <v>1000</v>
      </c>
      <c r="AJ253" s="4">
        <v>45722</v>
      </c>
      <c r="AK253" s="2">
        <f t="shared" si="29"/>
        <v>1700</v>
      </c>
      <c r="AL253" s="2">
        <v>500</v>
      </c>
      <c r="AM253" s="4">
        <v>45753</v>
      </c>
      <c r="AN253" s="2">
        <f t="shared" si="30"/>
        <v>1200</v>
      </c>
      <c r="AO253" s="2" cm="1">
        <f t="array" ref="AO253">_xlfn.IFS(AN253&gt;=5000,3000,AN253&gt;=2000,1000,AN253&gt;=500,500,AN253&lt;500,AN253)</f>
        <v>500</v>
      </c>
      <c r="AP253" s="4">
        <v>45783</v>
      </c>
      <c r="AQ253" s="2">
        <f t="shared" si="31"/>
        <v>700</v>
      </c>
      <c r="AR253" s="2">
        <v>500</v>
      </c>
      <c r="AS253" s="4">
        <v>45814</v>
      </c>
      <c r="AT253" s="2">
        <f t="shared" si="32"/>
        <v>200</v>
      </c>
      <c r="AU253" s="2">
        <v>200</v>
      </c>
      <c r="AV253" s="4">
        <v>45844</v>
      </c>
      <c r="AW253" s="2">
        <v>0</v>
      </c>
      <c r="AX253" s="2">
        <f t="shared" si="33"/>
        <v>3700</v>
      </c>
      <c r="AY253" s="2">
        <f t="shared" si="34"/>
        <v>0</v>
      </c>
      <c r="AZ253" s="2" t="str">
        <f t="shared" si="35"/>
        <v>Paid</v>
      </c>
      <c r="BA253" s="9" t="str" cm="1">
        <f t="array" ref="BA253">_xlfn.IFS(AZ253="Paid","R",AZ253="Unpaid","Q")</f>
        <v>R</v>
      </c>
      <c r="BB253" s="8" t="s">
        <v>2815</v>
      </c>
    </row>
    <row r="254" spans="1:54" x14ac:dyDescent="0.25">
      <c r="A254" s="2">
        <v>253</v>
      </c>
      <c r="B254" s="2">
        <v>253</v>
      </c>
      <c r="C254" s="2" t="s">
        <v>529</v>
      </c>
      <c r="D254" s="2" t="s">
        <v>1904</v>
      </c>
      <c r="E254" s="2" t="s">
        <v>530</v>
      </c>
      <c r="F254" s="4">
        <v>45692</v>
      </c>
      <c r="G254" s="8" t="s">
        <v>35</v>
      </c>
      <c r="H254" s="8" t="s">
        <v>1244</v>
      </c>
      <c r="I254" s="2" t="s">
        <v>14</v>
      </c>
      <c r="J254" s="2" t="s">
        <v>512</v>
      </c>
      <c r="K254" s="2" t="s">
        <v>791</v>
      </c>
      <c r="L254" s="2" t="s">
        <v>1256</v>
      </c>
      <c r="M254" s="2" t="s">
        <v>1263</v>
      </c>
      <c r="N254" s="2" t="s">
        <v>2268</v>
      </c>
      <c r="O254" s="4">
        <v>38272</v>
      </c>
      <c r="P254" s="2" t="s">
        <v>2693</v>
      </c>
      <c r="Q254" s="2" t="s">
        <v>2401</v>
      </c>
      <c r="R254" s="2" t="s">
        <v>2393</v>
      </c>
      <c r="S254" s="2" t="s">
        <v>788</v>
      </c>
      <c r="T254" s="2" t="s">
        <v>1540</v>
      </c>
      <c r="U254" s="2" t="s">
        <v>1272</v>
      </c>
      <c r="V254" s="2">
        <v>6720895774</v>
      </c>
      <c r="W254" s="2" t="s">
        <v>1056</v>
      </c>
      <c r="X254" s="2" t="s">
        <v>801</v>
      </c>
      <c r="Y254" s="2" t="s">
        <v>1184</v>
      </c>
      <c r="Z254" s="2" t="s">
        <v>1185</v>
      </c>
      <c r="AA254" s="2">
        <v>3000</v>
      </c>
      <c r="AB254" s="2">
        <v>200</v>
      </c>
      <c r="AC254" s="2">
        <v>500</v>
      </c>
      <c r="AD254" s="2">
        <v>0</v>
      </c>
      <c r="AE254" s="2">
        <f t="shared" si="27"/>
        <v>3700</v>
      </c>
      <c r="AF254" s="2">
        <v>1000</v>
      </c>
      <c r="AG254" s="4">
        <v>45702</v>
      </c>
      <c r="AH254" s="2">
        <f t="shared" si="28"/>
        <v>2700</v>
      </c>
      <c r="AI254" s="2">
        <v>1000</v>
      </c>
      <c r="AJ254" s="4">
        <v>45730</v>
      </c>
      <c r="AK254" s="2">
        <f t="shared" si="29"/>
        <v>1700</v>
      </c>
      <c r="AL254" s="2">
        <v>500</v>
      </c>
      <c r="AM254" s="4">
        <v>45761</v>
      </c>
      <c r="AN254" s="2">
        <f t="shared" si="30"/>
        <v>1200</v>
      </c>
      <c r="AO254" s="2" cm="1">
        <f t="array" ref="AO254">_xlfn.IFS(AN254&gt;=5000,3000,AN254&gt;=2000,1000,AN254&gt;=500,500,AN254&lt;500,AN254)</f>
        <v>500</v>
      </c>
      <c r="AP254" s="4">
        <v>45791</v>
      </c>
      <c r="AQ254" s="2">
        <f t="shared" si="31"/>
        <v>700</v>
      </c>
      <c r="AR254" s="2">
        <v>500</v>
      </c>
      <c r="AS254" s="4">
        <v>45822</v>
      </c>
      <c r="AT254" s="2">
        <f t="shared" si="32"/>
        <v>200</v>
      </c>
      <c r="AU254" s="2">
        <v>200</v>
      </c>
      <c r="AV254" s="4">
        <v>45852</v>
      </c>
      <c r="AW254" s="2">
        <v>0</v>
      </c>
      <c r="AX254" s="2">
        <f t="shared" si="33"/>
        <v>3700</v>
      </c>
      <c r="AY254" s="2">
        <f t="shared" si="34"/>
        <v>0</v>
      </c>
      <c r="AZ254" s="2" t="str">
        <f t="shared" si="35"/>
        <v>Paid</v>
      </c>
      <c r="BA254" s="9" t="str" cm="1">
        <f t="array" ref="BA254">_xlfn.IFS(AZ254="Paid","R",AZ254="Unpaid","Q")</f>
        <v>R</v>
      </c>
      <c r="BB254" s="8" t="s">
        <v>2815</v>
      </c>
    </row>
    <row r="255" spans="1:54" x14ac:dyDescent="0.25">
      <c r="A255" s="2">
        <v>254</v>
      </c>
      <c r="B255" s="2">
        <v>254</v>
      </c>
      <c r="C255" s="2" t="s">
        <v>531</v>
      </c>
      <c r="D255" s="2" t="s">
        <v>1905</v>
      </c>
      <c r="E255" s="2" t="s">
        <v>532</v>
      </c>
      <c r="F255" s="4">
        <v>45693</v>
      </c>
      <c r="G255" s="8" t="s">
        <v>48</v>
      </c>
      <c r="H255" s="8" t="s">
        <v>1251</v>
      </c>
      <c r="I255" s="2" t="s">
        <v>14</v>
      </c>
      <c r="J255" s="2" t="s">
        <v>512</v>
      </c>
      <c r="K255" s="2" t="s">
        <v>791</v>
      </c>
      <c r="L255" s="2" t="s">
        <v>1258</v>
      </c>
      <c r="M255" s="2" t="s">
        <v>1264</v>
      </c>
      <c r="N255" s="2" t="s">
        <v>2269</v>
      </c>
      <c r="O255" s="4">
        <v>38954</v>
      </c>
      <c r="P255" s="2" t="s">
        <v>2694</v>
      </c>
      <c r="Q255" s="2" t="s">
        <v>2470</v>
      </c>
      <c r="R255" s="2" t="s">
        <v>2396</v>
      </c>
      <c r="S255" s="2" t="s">
        <v>788</v>
      </c>
      <c r="T255" s="2" t="s">
        <v>1541</v>
      </c>
      <c r="U255" s="2" t="s">
        <v>1282</v>
      </c>
      <c r="V255" s="2">
        <v>6992474225</v>
      </c>
      <c r="W255" s="2" t="s">
        <v>1057</v>
      </c>
      <c r="X255" s="2" t="s">
        <v>790</v>
      </c>
      <c r="Y255" s="2" t="s">
        <v>1184</v>
      </c>
      <c r="Z255" s="2" t="s">
        <v>1185</v>
      </c>
      <c r="AA255" s="2">
        <v>3000</v>
      </c>
      <c r="AB255" s="2">
        <v>200</v>
      </c>
      <c r="AC255" s="2">
        <v>500</v>
      </c>
      <c r="AD255" s="2">
        <v>0</v>
      </c>
      <c r="AE255" s="2">
        <f t="shared" si="27"/>
        <v>3700</v>
      </c>
      <c r="AF255" s="2">
        <v>1000</v>
      </c>
      <c r="AG255" s="4">
        <v>45703</v>
      </c>
      <c r="AH255" s="2">
        <f t="shared" si="28"/>
        <v>2700</v>
      </c>
      <c r="AI255" s="2">
        <v>1000</v>
      </c>
      <c r="AJ255" s="4">
        <v>45731</v>
      </c>
      <c r="AK255" s="2">
        <f t="shared" si="29"/>
        <v>1700</v>
      </c>
      <c r="AL255" s="2">
        <v>500</v>
      </c>
      <c r="AM255" s="4">
        <v>45762</v>
      </c>
      <c r="AN255" s="2">
        <f t="shared" si="30"/>
        <v>1200</v>
      </c>
      <c r="AO255" s="2" cm="1">
        <f t="array" ref="AO255">_xlfn.IFS(AN255&gt;=5000,3000,AN255&gt;=2000,1000,AN255&gt;=500,500,AN255&lt;500,AN255)</f>
        <v>500</v>
      </c>
      <c r="AP255" s="4">
        <v>45792</v>
      </c>
      <c r="AQ255" s="2">
        <f t="shared" si="31"/>
        <v>700</v>
      </c>
      <c r="AR255" s="2">
        <v>500</v>
      </c>
      <c r="AS255" s="4">
        <v>45823</v>
      </c>
      <c r="AT255" s="2">
        <f t="shared" si="32"/>
        <v>200</v>
      </c>
      <c r="AU255" s="2">
        <v>200</v>
      </c>
      <c r="AV255" s="4">
        <v>45853</v>
      </c>
      <c r="AW255" s="2">
        <v>0</v>
      </c>
      <c r="AX255" s="2">
        <f t="shared" si="33"/>
        <v>3700</v>
      </c>
      <c r="AY255" s="2">
        <f t="shared" si="34"/>
        <v>0</v>
      </c>
      <c r="AZ255" s="2" t="str">
        <f t="shared" si="35"/>
        <v>Paid</v>
      </c>
      <c r="BA255" s="9" t="str" cm="1">
        <f t="array" ref="BA255">_xlfn.IFS(AZ255="Paid","R",AZ255="Unpaid","Q")</f>
        <v>R</v>
      </c>
      <c r="BB255" s="8" t="s">
        <v>2815</v>
      </c>
    </row>
    <row r="256" spans="1:54" x14ac:dyDescent="0.25">
      <c r="A256" s="2">
        <v>255</v>
      </c>
      <c r="B256" s="2">
        <v>255</v>
      </c>
      <c r="C256" s="2" t="s">
        <v>533</v>
      </c>
      <c r="D256" s="2" t="s">
        <v>1906</v>
      </c>
      <c r="E256" s="2" t="s">
        <v>534</v>
      </c>
      <c r="F256" s="4">
        <v>45697</v>
      </c>
      <c r="G256" s="8" t="s">
        <v>45</v>
      </c>
      <c r="H256" s="8" t="s">
        <v>1250</v>
      </c>
      <c r="I256" s="2" t="s">
        <v>14</v>
      </c>
      <c r="J256" s="2" t="s">
        <v>512</v>
      </c>
      <c r="K256" s="2" t="s">
        <v>791</v>
      </c>
      <c r="L256" s="2" t="s">
        <v>1260</v>
      </c>
      <c r="M256" s="2" t="s">
        <v>1261</v>
      </c>
      <c r="N256" s="2" t="s">
        <v>2270</v>
      </c>
      <c r="O256" s="4">
        <v>38971</v>
      </c>
      <c r="P256" s="2" t="s">
        <v>2695</v>
      </c>
      <c r="Q256" s="2" t="s">
        <v>2441</v>
      </c>
      <c r="R256" s="2" t="s">
        <v>2393</v>
      </c>
      <c r="S256" s="2" t="s">
        <v>788</v>
      </c>
      <c r="T256" s="2" t="s">
        <v>1542</v>
      </c>
      <c r="U256" s="2" t="s">
        <v>1284</v>
      </c>
      <c r="V256" s="2">
        <v>8261941338</v>
      </c>
      <c r="W256" s="2" t="s">
        <v>1058</v>
      </c>
      <c r="X256" s="2" t="s">
        <v>822</v>
      </c>
      <c r="Y256" s="2" t="s">
        <v>1184</v>
      </c>
      <c r="Z256" s="2" t="s">
        <v>1185</v>
      </c>
      <c r="AA256" s="2">
        <v>2000</v>
      </c>
      <c r="AB256" s="2">
        <v>200</v>
      </c>
      <c r="AC256" s="2">
        <v>300</v>
      </c>
      <c r="AD256" s="2">
        <v>0</v>
      </c>
      <c r="AE256" s="2">
        <f t="shared" si="27"/>
        <v>2500</v>
      </c>
      <c r="AF256" s="2">
        <v>1000</v>
      </c>
      <c r="AG256" s="4">
        <v>45707</v>
      </c>
      <c r="AH256" s="2">
        <f t="shared" si="28"/>
        <v>1500</v>
      </c>
      <c r="AI256" s="2">
        <v>500</v>
      </c>
      <c r="AJ256" s="4">
        <v>45735</v>
      </c>
      <c r="AK256" s="2">
        <f t="shared" si="29"/>
        <v>1000</v>
      </c>
      <c r="AL256" s="2">
        <v>500</v>
      </c>
      <c r="AM256" s="4">
        <v>45766</v>
      </c>
      <c r="AN256" s="2">
        <f t="shared" si="30"/>
        <v>500</v>
      </c>
      <c r="AO256" s="2" cm="1">
        <f t="array" ref="AO256">_xlfn.IFS(AN256&gt;=5000,3000,AN256&gt;=2000,1000,AN256&gt;=500,500,AN256&lt;500,AN256)</f>
        <v>500</v>
      </c>
      <c r="AP256" s="4">
        <v>45796</v>
      </c>
      <c r="AQ256" s="2">
        <f t="shared" si="31"/>
        <v>0</v>
      </c>
      <c r="AR256" s="2" t="s">
        <v>1200</v>
      </c>
      <c r="AS256" s="4" t="s">
        <v>1200</v>
      </c>
      <c r="AT256" s="2" t="str">
        <f t="shared" si="32"/>
        <v/>
      </c>
      <c r="AU256" s="2" t="s">
        <v>1200</v>
      </c>
      <c r="AV256" s="4" t="s">
        <v>1200</v>
      </c>
      <c r="AW256" s="2" t="s">
        <v>1200</v>
      </c>
      <c r="AX256" s="2">
        <f t="shared" si="33"/>
        <v>2500</v>
      </c>
      <c r="AY256" s="2">
        <f t="shared" si="34"/>
        <v>0</v>
      </c>
      <c r="AZ256" s="2" t="str">
        <f t="shared" si="35"/>
        <v>Paid</v>
      </c>
      <c r="BA256" s="9" t="str" cm="1">
        <f t="array" ref="BA256">_xlfn.IFS(AZ256="Paid","R",AZ256="Unpaid","Q")</f>
        <v>R</v>
      </c>
      <c r="BB256" s="8" t="s">
        <v>2815</v>
      </c>
    </row>
    <row r="257" spans="1:54" x14ac:dyDescent="0.25">
      <c r="A257" s="2">
        <v>256</v>
      </c>
      <c r="B257" s="2">
        <v>256</v>
      </c>
      <c r="C257" s="2" t="s">
        <v>535</v>
      </c>
      <c r="D257" s="2" t="s">
        <v>1907</v>
      </c>
      <c r="E257" s="2" t="s">
        <v>536</v>
      </c>
      <c r="F257" s="4">
        <v>45697</v>
      </c>
      <c r="G257" s="8" t="s">
        <v>21</v>
      </c>
      <c r="H257" s="8" t="s">
        <v>1252</v>
      </c>
      <c r="I257" s="2" t="s">
        <v>14</v>
      </c>
      <c r="J257" s="2" t="s">
        <v>512</v>
      </c>
      <c r="K257" s="2" t="s">
        <v>791</v>
      </c>
      <c r="L257" s="2" t="s">
        <v>1258</v>
      </c>
      <c r="M257" s="2" t="s">
        <v>1264</v>
      </c>
      <c r="N257" s="2" t="s">
        <v>2271</v>
      </c>
      <c r="O257" s="4">
        <v>37828</v>
      </c>
      <c r="P257" s="2" t="s">
        <v>2696</v>
      </c>
      <c r="Q257" s="2" t="s">
        <v>2619</v>
      </c>
      <c r="R257" s="2" t="s">
        <v>2393</v>
      </c>
      <c r="S257" s="2" t="s">
        <v>792</v>
      </c>
      <c r="T257" s="2" t="s">
        <v>1543</v>
      </c>
      <c r="U257" s="2" t="s">
        <v>1281</v>
      </c>
      <c r="V257" s="2">
        <v>6430649106</v>
      </c>
      <c r="W257" s="2" t="s">
        <v>1059</v>
      </c>
      <c r="X257" s="2" t="s">
        <v>798</v>
      </c>
      <c r="Y257" s="2" t="s">
        <v>1184</v>
      </c>
      <c r="Z257" s="2" t="s">
        <v>1185</v>
      </c>
      <c r="AA257" s="2">
        <v>3000</v>
      </c>
      <c r="AB257" s="2">
        <v>200</v>
      </c>
      <c r="AC257" s="2">
        <v>300</v>
      </c>
      <c r="AD257" s="2">
        <v>300</v>
      </c>
      <c r="AE257" s="2">
        <f t="shared" si="27"/>
        <v>3200</v>
      </c>
      <c r="AF257" s="2">
        <v>1000</v>
      </c>
      <c r="AG257" s="4">
        <v>45707</v>
      </c>
      <c r="AH257" s="2">
        <f t="shared" si="28"/>
        <v>2200</v>
      </c>
      <c r="AI257" s="2">
        <v>1000</v>
      </c>
      <c r="AJ257" s="4">
        <v>45735</v>
      </c>
      <c r="AK257" s="2">
        <f t="shared" si="29"/>
        <v>1200</v>
      </c>
      <c r="AL257" s="2">
        <v>500</v>
      </c>
      <c r="AM257" s="4">
        <v>45766</v>
      </c>
      <c r="AN257" s="2">
        <f t="shared" si="30"/>
        <v>700</v>
      </c>
      <c r="AO257" s="2" cm="1">
        <f t="array" ref="AO257">_xlfn.IFS(AN257&gt;=5000,3000,AN257&gt;=2000,1000,AN257&gt;=500,500,AN257&lt;500,AN257)</f>
        <v>500</v>
      </c>
      <c r="AP257" s="4">
        <v>45796</v>
      </c>
      <c r="AQ257" s="2">
        <f t="shared" si="31"/>
        <v>200</v>
      </c>
      <c r="AR257" s="2">
        <v>200</v>
      </c>
      <c r="AS257" s="4">
        <v>45827</v>
      </c>
      <c r="AT257" s="2">
        <f t="shared" si="32"/>
        <v>0</v>
      </c>
      <c r="AU257" s="2" t="s">
        <v>1200</v>
      </c>
      <c r="AV257" s="4" t="s">
        <v>1200</v>
      </c>
      <c r="AW257" s="2" t="s">
        <v>1200</v>
      </c>
      <c r="AX257" s="2">
        <f t="shared" si="33"/>
        <v>3200</v>
      </c>
      <c r="AY257" s="2">
        <f t="shared" si="34"/>
        <v>0</v>
      </c>
      <c r="AZ257" s="2" t="str">
        <f t="shared" si="35"/>
        <v>Paid</v>
      </c>
      <c r="BA257" s="9" t="str" cm="1">
        <f t="array" ref="BA257">_xlfn.IFS(AZ257="Paid","R",AZ257="Unpaid","Q")</f>
        <v>R</v>
      </c>
      <c r="BB257" s="8" t="s">
        <v>2815</v>
      </c>
    </row>
    <row r="258" spans="1:54" x14ac:dyDescent="0.25">
      <c r="A258" s="2">
        <v>257</v>
      </c>
      <c r="B258" s="2">
        <v>257</v>
      </c>
      <c r="C258" s="2" t="s">
        <v>537</v>
      </c>
      <c r="D258" s="2" t="s">
        <v>1908</v>
      </c>
      <c r="E258" s="2" t="s">
        <v>538</v>
      </c>
      <c r="F258" s="4">
        <v>45698</v>
      </c>
      <c r="G258" s="8" t="s">
        <v>21</v>
      </c>
      <c r="H258" s="8" t="s">
        <v>1252</v>
      </c>
      <c r="I258" s="2" t="s">
        <v>14</v>
      </c>
      <c r="J258" s="2" t="s">
        <v>512</v>
      </c>
      <c r="K258" s="2" t="s">
        <v>791</v>
      </c>
      <c r="L258" s="2" t="s">
        <v>1259</v>
      </c>
      <c r="M258" s="2" t="s">
        <v>1262</v>
      </c>
      <c r="N258" s="2" t="s">
        <v>2272</v>
      </c>
      <c r="O258" s="4">
        <v>32818</v>
      </c>
      <c r="P258" s="2" t="s">
        <v>2335</v>
      </c>
      <c r="Q258" s="2" t="s">
        <v>2414</v>
      </c>
      <c r="R258" s="2" t="s">
        <v>2393</v>
      </c>
      <c r="S258" s="2" t="s">
        <v>820</v>
      </c>
      <c r="T258" s="2" t="s">
        <v>1544</v>
      </c>
      <c r="U258" s="2" t="s">
        <v>1268</v>
      </c>
      <c r="V258" s="2">
        <v>7072455441</v>
      </c>
      <c r="W258" s="2" t="s">
        <v>1060</v>
      </c>
      <c r="X258" s="2" t="s">
        <v>811</v>
      </c>
      <c r="Y258" s="2" t="s">
        <v>1184</v>
      </c>
      <c r="Z258" s="2" t="s">
        <v>1185</v>
      </c>
      <c r="AA258" s="2">
        <v>3000</v>
      </c>
      <c r="AB258" s="2">
        <v>200</v>
      </c>
      <c r="AC258" s="2">
        <v>300</v>
      </c>
      <c r="AD258" s="2">
        <v>300</v>
      </c>
      <c r="AE258" s="2">
        <f t="shared" si="27"/>
        <v>3200</v>
      </c>
      <c r="AF258" s="2">
        <v>1000</v>
      </c>
      <c r="AG258" s="4">
        <v>45708</v>
      </c>
      <c r="AH258" s="2">
        <f t="shared" si="28"/>
        <v>2200</v>
      </c>
      <c r="AI258" s="2">
        <v>1000</v>
      </c>
      <c r="AJ258" s="4">
        <v>45736</v>
      </c>
      <c r="AK258" s="2">
        <f t="shared" si="29"/>
        <v>1200</v>
      </c>
      <c r="AL258" s="2">
        <v>500</v>
      </c>
      <c r="AM258" s="4">
        <v>45767</v>
      </c>
      <c r="AN258" s="2">
        <f t="shared" si="30"/>
        <v>700</v>
      </c>
      <c r="AO258" s="2" cm="1">
        <f t="array" ref="AO258">_xlfn.IFS(AN258&gt;=5000,3000,AN258&gt;=2000,1000,AN258&gt;=500,500,AN258&lt;500,AN258)</f>
        <v>500</v>
      </c>
      <c r="AP258" s="4">
        <v>45797</v>
      </c>
      <c r="AQ258" s="2">
        <f t="shared" si="31"/>
        <v>200</v>
      </c>
      <c r="AR258" s="2">
        <v>200</v>
      </c>
      <c r="AS258" s="4">
        <v>45828</v>
      </c>
      <c r="AT258" s="2">
        <f t="shared" si="32"/>
        <v>0</v>
      </c>
      <c r="AU258" s="2" t="s">
        <v>1200</v>
      </c>
      <c r="AV258" s="4" t="s">
        <v>1200</v>
      </c>
      <c r="AW258" s="2" t="s">
        <v>1200</v>
      </c>
      <c r="AX258" s="2">
        <f t="shared" si="33"/>
        <v>3200</v>
      </c>
      <c r="AY258" s="2">
        <f t="shared" si="34"/>
        <v>0</v>
      </c>
      <c r="AZ258" s="2" t="str">
        <f t="shared" si="35"/>
        <v>Paid</v>
      </c>
      <c r="BA258" s="9" t="str" cm="1">
        <f t="array" ref="BA258">_xlfn.IFS(AZ258="Paid","R",AZ258="Unpaid","Q")</f>
        <v>R</v>
      </c>
      <c r="BB258" s="8" t="s">
        <v>2815</v>
      </c>
    </row>
    <row r="259" spans="1:54" x14ac:dyDescent="0.25">
      <c r="A259" s="2">
        <v>258</v>
      </c>
      <c r="B259" s="2">
        <v>258</v>
      </c>
      <c r="C259" s="2" t="s">
        <v>539</v>
      </c>
      <c r="D259" s="2" t="s">
        <v>1909</v>
      </c>
      <c r="E259" s="2" t="s">
        <v>540</v>
      </c>
      <c r="F259" s="4">
        <v>45700</v>
      </c>
      <c r="G259" s="8" t="s">
        <v>13</v>
      </c>
      <c r="H259" s="8" t="s">
        <v>1254</v>
      </c>
      <c r="I259" s="2" t="s">
        <v>14</v>
      </c>
      <c r="J259" s="2" t="s">
        <v>512</v>
      </c>
      <c r="K259" s="2" t="s">
        <v>791</v>
      </c>
      <c r="L259" s="2" t="s">
        <v>1260</v>
      </c>
      <c r="M259" s="2" t="s">
        <v>1261</v>
      </c>
      <c r="N259" s="2" t="s">
        <v>2273</v>
      </c>
      <c r="O259" s="4">
        <v>34410</v>
      </c>
      <c r="P259" s="2" t="s">
        <v>2697</v>
      </c>
      <c r="Q259" s="2" t="s">
        <v>2478</v>
      </c>
      <c r="R259" s="2" t="s">
        <v>2396</v>
      </c>
      <c r="S259" s="2" t="s">
        <v>788</v>
      </c>
      <c r="T259" s="2" t="s">
        <v>1545</v>
      </c>
      <c r="U259" s="2" t="s">
        <v>1279</v>
      </c>
      <c r="V259" s="2">
        <v>7604129787</v>
      </c>
      <c r="W259" s="2" t="s">
        <v>1061</v>
      </c>
      <c r="X259" s="2" t="s">
        <v>809</v>
      </c>
      <c r="Y259" s="2" t="s">
        <v>1184</v>
      </c>
      <c r="Z259" s="2" t="s">
        <v>1185</v>
      </c>
      <c r="AA259" s="2">
        <v>3000</v>
      </c>
      <c r="AB259" s="2">
        <v>200</v>
      </c>
      <c r="AC259" s="2">
        <v>500</v>
      </c>
      <c r="AD259" s="2">
        <v>500</v>
      </c>
      <c r="AE259" s="2">
        <f t="shared" ref="AE259:AE322" si="36">SUM(AA259:AC259) -AD259</f>
        <v>3200</v>
      </c>
      <c r="AF259" s="2">
        <v>1000</v>
      </c>
      <c r="AG259" s="4">
        <v>45710</v>
      </c>
      <c r="AH259" s="2">
        <f t="shared" ref="AH259:AH322" si="37">AE259-AF259</f>
        <v>2200</v>
      </c>
      <c r="AI259" s="2">
        <v>1000</v>
      </c>
      <c r="AJ259" s="4">
        <v>45738</v>
      </c>
      <c r="AK259" s="2">
        <f t="shared" ref="AK259:AK322" si="38">AH259-AI259</f>
        <v>1200</v>
      </c>
      <c r="AL259" s="2">
        <v>500</v>
      </c>
      <c r="AM259" s="4">
        <v>45769</v>
      </c>
      <c r="AN259" s="2">
        <f t="shared" ref="AN259:AN322" si="39">AK259-AL259</f>
        <v>700</v>
      </c>
      <c r="AO259" s="2" cm="1">
        <f t="array" ref="AO259">_xlfn.IFS(AN259&gt;=5000,3000,AN259&gt;=2000,1000,AN259&gt;=500,500,AN259&lt;500,AN259)</f>
        <v>500</v>
      </c>
      <c r="AP259" s="4">
        <v>45799</v>
      </c>
      <c r="AQ259" s="2">
        <f t="shared" ref="AQ259:AQ322" si="40">AN259-AO259</f>
        <v>200</v>
      </c>
      <c r="AR259" s="2">
        <v>200</v>
      </c>
      <c r="AS259" s="4">
        <v>45830</v>
      </c>
      <c r="AT259" s="2">
        <f t="shared" ref="AT259:AT322" si="41">IFERROR(AQ259-AR259,"")</f>
        <v>0</v>
      </c>
      <c r="AU259" s="2" t="s">
        <v>1200</v>
      </c>
      <c r="AV259" s="4" t="s">
        <v>1200</v>
      </c>
      <c r="AW259" s="2" t="s">
        <v>1200</v>
      </c>
      <c r="AX259" s="2">
        <f t="shared" ref="AX259:AX322" si="42">SUM(AF259,AI259,AL259,AO259,AR259,AU259)</f>
        <v>3200</v>
      </c>
      <c r="AY259" s="2">
        <f t="shared" ref="AY259:AY322" si="43">AE259-AX259</f>
        <v>0</v>
      </c>
      <c r="AZ259" s="2" t="str">
        <f t="shared" ref="AZ259:AZ322" si="44">IF(AY259=0,"Paid","Unpaid")</f>
        <v>Paid</v>
      </c>
      <c r="BA259" s="9" t="str" cm="1">
        <f t="array" ref="BA259">_xlfn.IFS(AZ259="Paid","R",AZ259="Unpaid","Q")</f>
        <v>R</v>
      </c>
      <c r="BB259" s="8" t="s">
        <v>2815</v>
      </c>
    </row>
    <row r="260" spans="1:54" x14ac:dyDescent="0.25">
      <c r="A260" s="2">
        <v>259</v>
      </c>
      <c r="B260" s="2">
        <v>259</v>
      </c>
      <c r="C260" s="2" t="s">
        <v>541</v>
      </c>
      <c r="D260" s="2" t="s">
        <v>1910</v>
      </c>
      <c r="E260" s="2" t="s">
        <v>542</v>
      </c>
      <c r="F260" s="4">
        <v>45708</v>
      </c>
      <c r="G260" s="8" t="s">
        <v>95</v>
      </c>
      <c r="H260" s="8" t="s">
        <v>1245</v>
      </c>
      <c r="I260" s="2" t="s">
        <v>14</v>
      </c>
      <c r="J260" s="2" t="s">
        <v>512</v>
      </c>
      <c r="K260" s="2" t="s">
        <v>791</v>
      </c>
      <c r="L260" s="2" t="s">
        <v>1256</v>
      </c>
      <c r="M260" s="2" t="s">
        <v>1263</v>
      </c>
      <c r="N260" s="2" t="s">
        <v>2274</v>
      </c>
      <c r="O260" s="4">
        <v>34360</v>
      </c>
      <c r="P260" s="2" t="s">
        <v>2698</v>
      </c>
      <c r="Q260" s="2" t="s">
        <v>2434</v>
      </c>
      <c r="R260" s="2" t="s">
        <v>2393</v>
      </c>
      <c r="S260" s="2" t="s">
        <v>820</v>
      </c>
      <c r="T260" s="2" t="s">
        <v>1546</v>
      </c>
      <c r="U260" s="2" t="s">
        <v>1279</v>
      </c>
      <c r="V260" s="2">
        <v>9355101234</v>
      </c>
      <c r="W260" s="2" t="s">
        <v>1062</v>
      </c>
      <c r="X260" s="2" t="s">
        <v>790</v>
      </c>
      <c r="Y260" s="2" t="s">
        <v>1184</v>
      </c>
      <c r="Z260" s="2" t="s">
        <v>1185</v>
      </c>
      <c r="AA260" s="2">
        <v>3500</v>
      </c>
      <c r="AB260" s="2">
        <v>200</v>
      </c>
      <c r="AC260" s="2">
        <v>500</v>
      </c>
      <c r="AD260" s="2">
        <v>0</v>
      </c>
      <c r="AE260" s="2">
        <f t="shared" si="36"/>
        <v>4200</v>
      </c>
      <c r="AF260" s="2">
        <v>1000</v>
      </c>
      <c r="AG260" s="4">
        <v>45718</v>
      </c>
      <c r="AH260" s="2">
        <f t="shared" si="37"/>
        <v>3200</v>
      </c>
      <c r="AI260" s="2">
        <v>1000</v>
      </c>
      <c r="AJ260" s="4">
        <v>45749</v>
      </c>
      <c r="AK260" s="2">
        <f t="shared" si="38"/>
        <v>2200</v>
      </c>
      <c r="AL260" s="2">
        <v>1000</v>
      </c>
      <c r="AM260" s="4">
        <v>45779</v>
      </c>
      <c r="AN260" s="2">
        <f t="shared" si="39"/>
        <v>1200</v>
      </c>
      <c r="AO260" s="2" cm="1">
        <f t="array" ref="AO260">_xlfn.IFS(AN260&gt;=5000,3000,AN260&gt;=2000,1000,AN260&gt;=500,500,AN260&lt;500,AN260)</f>
        <v>500</v>
      </c>
      <c r="AP260" s="4">
        <v>45810</v>
      </c>
      <c r="AQ260" s="2">
        <f t="shared" si="40"/>
        <v>700</v>
      </c>
      <c r="AR260" s="2">
        <v>500</v>
      </c>
      <c r="AS260" s="4">
        <v>45840</v>
      </c>
      <c r="AT260" s="2">
        <f t="shared" si="41"/>
        <v>200</v>
      </c>
      <c r="AU260" s="2">
        <v>200</v>
      </c>
      <c r="AV260" s="4">
        <v>45871</v>
      </c>
      <c r="AW260" s="2">
        <v>0</v>
      </c>
      <c r="AX260" s="2">
        <f t="shared" si="42"/>
        <v>4200</v>
      </c>
      <c r="AY260" s="2">
        <f t="shared" si="43"/>
        <v>0</v>
      </c>
      <c r="AZ260" s="2" t="str">
        <f t="shared" si="44"/>
        <v>Paid</v>
      </c>
      <c r="BA260" s="9" t="str" cm="1">
        <f t="array" ref="BA260">_xlfn.IFS(AZ260="Paid","R",AZ260="Unpaid","Q")</f>
        <v>R</v>
      </c>
      <c r="BB260" s="8" t="s">
        <v>2815</v>
      </c>
    </row>
    <row r="261" spans="1:54" x14ac:dyDescent="0.25">
      <c r="A261" s="2">
        <v>260</v>
      </c>
      <c r="B261" s="2">
        <v>260</v>
      </c>
      <c r="C261" s="2" t="s">
        <v>543</v>
      </c>
      <c r="D261" s="2" t="s">
        <v>1911</v>
      </c>
      <c r="E261" s="2" t="s">
        <v>544</v>
      </c>
      <c r="F261" s="4">
        <v>45709</v>
      </c>
      <c r="G261" s="8" t="s">
        <v>65</v>
      </c>
      <c r="H261" s="8" t="s">
        <v>65</v>
      </c>
      <c r="I261" s="2" t="s">
        <v>14</v>
      </c>
      <c r="J261" s="2" t="s">
        <v>512</v>
      </c>
      <c r="K261" s="2" t="s">
        <v>791</v>
      </c>
      <c r="L261" s="2" t="s">
        <v>1257</v>
      </c>
      <c r="M261" s="2" t="s">
        <v>1261</v>
      </c>
      <c r="N261" s="2" t="s">
        <v>2275</v>
      </c>
      <c r="O261" s="4">
        <v>39954</v>
      </c>
      <c r="P261" s="2" t="s">
        <v>2699</v>
      </c>
      <c r="Q261" s="2" t="s">
        <v>2640</v>
      </c>
      <c r="R261" s="2" t="s">
        <v>2393</v>
      </c>
      <c r="S261" s="2" t="s">
        <v>788</v>
      </c>
      <c r="T261" s="2" t="s">
        <v>1547</v>
      </c>
      <c r="U261" s="2" t="s">
        <v>1274</v>
      </c>
      <c r="V261" s="2">
        <v>6049352808</v>
      </c>
      <c r="W261" s="2" t="s">
        <v>1063</v>
      </c>
      <c r="X261" s="2" t="s">
        <v>809</v>
      </c>
      <c r="Y261" s="2" t="s">
        <v>1184</v>
      </c>
      <c r="Z261" s="2" t="s">
        <v>1185</v>
      </c>
      <c r="AA261" s="2">
        <v>2500</v>
      </c>
      <c r="AB261" s="2">
        <v>200</v>
      </c>
      <c r="AC261" s="2">
        <v>500</v>
      </c>
      <c r="AD261" s="2">
        <v>500</v>
      </c>
      <c r="AE261" s="2">
        <f t="shared" si="36"/>
        <v>2700</v>
      </c>
      <c r="AF261" s="2">
        <v>1000</v>
      </c>
      <c r="AG261" s="4">
        <v>45719</v>
      </c>
      <c r="AH261" s="2">
        <f t="shared" si="37"/>
        <v>1700</v>
      </c>
      <c r="AI261" s="2"/>
      <c r="AJ261" s="4">
        <v>45750</v>
      </c>
      <c r="AK261" s="2">
        <f t="shared" si="38"/>
        <v>1700</v>
      </c>
      <c r="AL261" s="2"/>
      <c r="AM261" s="4">
        <v>45780</v>
      </c>
      <c r="AN261" s="2">
        <f t="shared" si="39"/>
        <v>1700</v>
      </c>
      <c r="AO261" s="2"/>
      <c r="AP261" s="4">
        <v>45811</v>
      </c>
      <c r="AQ261" s="2">
        <f t="shared" si="40"/>
        <v>1700</v>
      </c>
      <c r="AR261" s="2"/>
      <c r="AS261" s="4">
        <v>45841</v>
      </c>
      <c r="AT261" s="2">
        <f t="shared" si="41"/>
        <v>1700</v>
      </c>
      <c r="AU261" s="2" t="s">
        <v>1200</v>
      </c>
      <c r="AV261" s="4" t="s">
        <v>1200</v>
      </c>
      <c r="AW261" s="2" t="s">
        <v>1200</v>
      </c>
      <c r="AX261" s="2">
        <f t="shared" si="42"/>
        <v>1000</v>
      </c>
      <c r="AY261" s="2">
        <f t="shared" si="43"/>
        <v>1700</v>
      </c>
      <c r="AZ261" s="2" t="str">
        <f t="shared" si="44"/>
        <v>Unpaid</v>
      </c>
      <c r="BA261" s="9" t="str" cm="1">
        <f t="array" ref="BA261">_xlfn.IFS(AZ261="Paid","R",AZ261="Unpaid","Q")</f>
        <v>Q</v>
      </c>
      <c r="BB261" s="8" t="s">
        <v>2816</v>
      </c>
    </row>
    <row r="262" spans="1:54" x14ac:dyDescent="0.25">
      <c r="A262" s="2">
        <v>261</v>
      </c>
      <c r="B262" s="2">
        <v>261</v>
      </c>
      <c r="C262" s="2" t="s">
        <v>545</v>
      </c>
      <c r="D262" s="2" t="s">
        <v>1912</v>
      </c>
      <c r="E262" s="2" t="s">
        <v>546</v>
      </c>
      <c r="F262" s="4">
        <v>45717</v>
      </c>
      <c r="G262" s="8" t="s">
        <v>65</v>
      </c>
      <c r="H262" s="8" t="s">
        <v>65</v>
      </c>
      <c r="I262" s="2" t="s">
        <v>14</v>
      </c>
      <c r="J262" s="2" t="s">
        <v>512</v>
      </c>
      <c r="K262" s="2" t="s">
        <v>791</v>
      </c>
      <c r="L262" s="2" t="s">
        <v>1256</v>
      </c>
      <c r="M262" s="2" t="s">
        <v>1263</v>
      </c>
      <c r="N262" s="2" t="s">
        <v>2276</v>
      </c>
      <c r="O262" s="4">
        <v>35415</v>
      </c>
      <c r="P262" s="2" t="s">
        <v>2700</v>
      </c>
      <c r="Q262" s="2" t="s">
        <v>2416</v>
      </c>
      <c r="R262" s="2" t="s">
        <v>2396</v>
      </c>
      <c r="S262" s="2" t="s">
        <v>788</v>
      </c>
      <c r="T262" s="2" t="s">
        <v>1548</v>
      </c>
      <c r="U262" s="2" t="s">
        <v>1268</v>
      </c>
      <c r="V262" s="2">
        <v>6854312189</v>
      </c>
      <c r="W262" s="2" t="s">
        <v>1064</v>
      </c>
      <c r="X262" s="2" t="s">
        <v>1183</v>
      </c>
      <c r="Y262" s="2" t="s">
        <v>1184</v>
      </c>
      <c r="Z262" s="2" t="s">
        <v>1185</v>
      </c>
      <c r="AA262" s="2">
        <v>2500</v>
      </c>
      <c r="AB262" s="2">
        <v>200</v>
      </c>
      <c r="AC262" s="2">
        <v>500</v>
      </c>
      <c r="AD262" s="2">
        <v>0</v>
      </c>
      <c r="AE262" s="2">
        <f t="shared" si="36"/>
        <v>3200</v>
      </c>
      <c r="AF262" s="2">
        <v>1000</v>
      </c>
      <c r="AG262" s="4">
        <v>45727</v>
      </c>
      <c r="AH262" s="2">
        <f t="shared" si="37"/>
        <v>2200</v>
      </c>
      <c r="AI262" s="2"/>
      <c r="AJ262" s="4">
        <v>45758</v>
      </c>
      <c r="AK262" s="2">
        <f t="shared" si="38"/>
        <v>2200</v>
      </c>
      <c r="AL262" s="2"/>
      <c r="AM262" s="4">
        <v>45788</v>
      </c>
      <c r="AN262" s="2">
        <f t="shared" si="39"/>
        <v>2200</v>
      </c>
      <c r="AO262" s="2"/>
      <c r="AP262" s="4">
        <v>45819</v>
      </c>
      <c r="AQ262" s="2">
        <f t="shared" si="40"/>
        <v>2200</v>
      </c>
      <c r="AR262" s="2"/>
      <c r="AS262" s="4">
        <v>45849</v>
      </c>
      <c r="AT262" s="2">
        <f t="shared" si="41"/>
        <v>2200</v>
      </c>
      <c r="AU262" s="2" t="s">
        <v>1200</v>
      </c>
      <c r="AV262" s="4" t="s">
        <v>1200</v>
      </c>
      <c r="AW262" s="2" t="s">
        <v>1200</v>
      </c>
      <c r="AX262" s="2">
        <f t="shared" si="42"/>
        <v>1000</v>
      </c>
      <c r="AY262" s="2">
        <f t="shared" si="43"/>
        <v>2200</v>
      </c>
      <c r="AZ262" s="2" t="str">
        <f t="shared" si="44"/>
        <v>Unpaid</v>
      </c>
      <c r="BA262" s="9" t="str" cm="1">
        <f t="array" ref="BA262">_xlfn.IFS(AZ262="Paid","R",AZ262="Unpaid","Q")</f>
        <v>Q</v>
      </c>
      <c r="BB262" s="8" t="s">
        <v>2816</v>
      </c>
    </row>
    <row r="263" spans="1:54" x14ac:dyDescent="0.25">
      <c r="A263" s="2">
        <v>262</v>
      </c>
      <c r="B263" s="2">
        <v>262</v>
      </c>
      <c r="C263" s="2" t="s">
        <v>547</v>
      </c>
      <c r="D263" s="2" t="s">
        <v>1913</v>
      </c>
      <c r="E263" s="2" t="s">
        <v>548</v>
      </c>
      <c r="F263" s="4">
        <v>45718</v>
      </c>
      <c r="G263" s="8" t="s">
        <v>45</v>
      </c>
      <c r="H263" s="8" t="s">
        <v>1250</v>
      </c>
      <c r="I263" s="2" t="s">
        <v>14</v>
      </c>
      <c r="J263" s="2" t="s">
        <v>512</v>
      </c>
      <c r="K263" s="2" t="s">
        <v>791</v>
      </c>
      <c r="L263" s="2" t="s">
        <v>1256</v>
      </c>
      <c r="M263" s="2" t="s">
        <v>1263</v>
      </c>
      <c r="N263" s="2" t="s">
        <v>2277</v>
      </c>
      <c r="O263" s="4">
        <v>39208</v>
      </c>
      <c r="P263" s="2" t="s">
        <v>2701</v>
      </c>
      <c r="Q263" s="2" t="s">
        <v>2401</v>
      </c>
      <c r="R263" s="2" t="s">
        <v>2393</v>
      </c>
      <c r="S263" s="2" t="s">
        <v>792</v>
      </c>
      <c r="T263" s="2" t="s">
        <v>1549</v>
      </c>
      <c r="U263" s="2" t="s">
        <v>1284</v>
      </c>
      <c r="V263" s="2">
        <v>6257076974</v>
      </c>
      <c r="W263" s="2" t="s">
        <v>1065</v>
      </c>
      <c r="X263" s="2" t="s">
        <v>1183</v>
      </c>
      <c r="Y263" s="2" t="s">
        <v>1184</v>
      </c>
      <c r="Z263" s="2" t="s">
        <v>1185</v>
      </c>
      <c r="AA263" s="2">
        <v>2000</v>
      </c>
      <c r="AB263" s="2">
        <v>200</v>
      </c>
      <c r="AC263" s="2">
        <v>300</v>
      </c>
      <c r="AD263" s="2">
        <v>200</v>
      </c>
      <c r="AE263" s="2">
        <f t="shared" si="36"/>
        <v>2300</v>
      </c>
      <c r="AF263" s="2">
        <v>500</v>
      </c>
      <c r="AG263" s="4">
        <v>45728</v>
      </c>
      <c r="AH263" s="2">
        <f t="shared" si="37"/>
        <v>1800</v>
      </c>
      <c r="AI263" s="2">
        <v>500</v>
      </c>
      <c r="AJ263" s="4">
        <v>45759</v>
      </c>
      <c r="AK263" s="2">
        <f t="shared" si="38"/>
        <v>1300</v>
      </c>
      <c r="AL263" s="2">
        <v>500</v>
      </c>
      <c r="AM263" s="4">
        <v>45789</v>
      </c>
      <c r="AN263" s="2">
        <f t="shared" si="39"/>
        <v>800</v>
      </c>
      <c r="AO263" s="2" cm="1">
        <f t="array" ref="AO263">_xlfn.IFS(AN263&gt;=5000,3000,AN263&gt;=2000,1000,AN263&gt;=500,500,AN263&lt;500,AN263)</f>
        <v>500</v>
      </c>
      <c r="AP263" s="4">
        <v>45820</v>
      </c>
      <c r="AQ263" s="2">
        <f t="shared" si="40"/>
        <v>300</v>
      </c>
      <c r="AR263" s="2">
        <v>300</v>
      </c>
      <c r="AS263" s="4">
        <v>45850</v>
      </c>
      <c r="AT263" s="2">
        <f t="shared" si="41"/>
        <v>0</v>
      </c>
      <c r="AU263" s="2" t="s">
        <v>1200</v>
      </c>
      <c r="AV263" s="4" t="s">
        <v>1200</v>
      </c>
      <c r="AW263" s="2" t="s">
        <v>1200</v>
      </c>
      <c r="AX263" s="2">
        <f t="shared" si="42"/>
        <v>2300</v>
      </c>
      <c r="AY263" s="2">
        <f t="shared" si="43"/>
        <v>0</v>
      </c>
      <c r="AZ263" s="2" t="str">
        <f t="shared" si="44"/>
        <v>Paid</v>
      </c>
      <c r="BA263" s="9" t="str" cm="1">
        <f t="array" ref="BA263">_xlfn.IFS(AZ263="Paid","R",AZ263="Unpaid","Q")</f>
        <v>R</v>
      </c>
      <c r="BB263" s="8" t="s">
        <v>2815</v>
      </c>
    </row>
    <row r="264" spans="1:54" x14ac:dyDescent="0.25">
      <c r="A264" s="2">
        <v>263</v>
      </c>
      <c r="B264" s="2">
        <v>263</v>
      </c>
      <c r="C264" s="2" t="s">
        <v>549</v>
      </c>
      <c r="D264" s="2" t="s">
        <v>1914</v>
      </c>
      <c r="E264" s="2" t="s">
        <v>550</v>
      </c>
      <c r="F264" s="4">
        <v>45724</v>
      </c>
      <c r="G264" s="8" t="s">
        <v>8</v>
      </c>
      <c r="H264" s="8" t="s">
        <v>1242</v>
      </c>
      <c r="I264" s="2" t="s">
        <v>9</v>
      </c>
      <c r="J264" s="2" t="s">
        <v>551</v>
      </c>
      <c r="K264" s="2" t="s">
        <v>787</v>
      </c>
      <c r="L264" s="2" t="s">
        <v>1260</v>
      </c>
      <c r="M264" s="2" t="s">
        <v>1261</v>
      </c>
      <c r="N264" s="2" t="s">
        <v>2278</v>
      </c>
      <c r="O264" s="4">
        <v>34143</v>
      </c>
      <c r="P264" s="2" t="s">
        <v>2702</v>
      </c>
      <c r="Q264" s="2" t="s">
        <v>2496</v>
      </c>
      <c r="R264" s="2" t="s">
        <v>2393</v>
      </c>
      <c r="S264" s="2" t="s">
        <v>788</v>
      </c>
      <c r="T264" s="2" t="s">
        <v>1550</v>
      </c>
      <c r="U264" s="2" t="s">
        <v>1269</v>
      </c>
      <c r="V264" s="2">
        <v>8307686357</v>
      </c>
      <c r="W264" s="2" t="s">
        <v>1066</v>
      </c>
      <c r="X264" s="2" t="s">
        <v>809</v>
      </c>
      <c r="Y264" s="2" t="s">
        <v>1184</v>
      </c>
      <c r="Z264" s="2" t="s">
        <v>1185</v>
      </c>
      <c r="AA264" s="2">
        <v>12500</v>
      </c>
      <c r="AB264" s="2">
        <v>200</v>
      </c>
      <c r="AC264" s="2">
        <v>1200</v>
      </c>
      <c r="AD264" s="2">
        <v>0</v>
      </c>
      <c r="AE264" s="2">
        <f t="shared" si="36"/>
        <v>13900</v>
      </c>
      <c r="AF264" s="2">
        <v>5000</v>
      </c>
      <c r="AG264" s="4">
        <v>45734</v>
      </c>
      <c r="AH264" s="2">
        <f t="shared" si="37"/>
        <v>8900</v>
      </c>
      <c r="AI264" s="2">
        <v>3000</v>
      </c>
      <c r="AJ264" s="4">
        <v>45765</v>
      </c>
      <c r="AK264" s="2">
        <f t="shared" si="38"/>
        <v>5900</v>
      </c>
      <c r="AL264" s="2">
        <v>3000</v>
      </c>
      <c r="AM264" s="4">
        <v>45795</v>
      </c>
      <c r="AN264" s="2">
        <f t="shared" si="39"/>
        <v>2900</v>
      </c>
      <c r="AO264" s="2" cm="1">
        <f t="array" ref="AO264">_xlfn.IFS(AN264&gt;=5000,3000,AN264&gt;=2000,1000,AN264&gt;=500,500,AN264&lt;500,AN264)</f>
        <v>1000</v>
      </c>
      <c r="AP264" s="4">
        <v>45826</v>
      </c>
      <c r="AQ264" s="2">
        <f t="shared" si="40"/>
        <v>1900</v>
      </c>
      <c r="AR264" s="2">
        <v>1000</v>
      </c>
      <c r="AS264" s="4">
        <v>45856</v>
      </c>
      <c r="AT264" s="2">
        <f t="shared" si="41"/>
        <v>900</v>
      </c>
      <c r="AU264" s="2">
        <v>900</v>
      </c>
      <c r="AV264" s="4">
        <v>45887</v>
      </c>
      <c r="AW264" s="2">
        <v>0</v>
      </c>
      <c r="AX264" s="2">
        <f t="shared" si="42"/>
        <v>13900</v>
      </c>
      <c r="AY264" s="2">
        <f t="shared" si="43"/>
        <v>0</v>
      </c>
      <c r="AZ264" s="2" t="str">
        <f t="shared" si="44"/>
        <v>Paid</v>
      </c>
      <c r="BA264" s="9" t="str" cm="1">
        <f t="array" ref="BA264">_xlfn.IFS(AZ264="Paid","R",AZ264="Unpaid","Q")</f>
        <v>R</v>
      </c>
      <c r="BB264" s="8" t="s">
        <v>2815</v>
      </c>
    </row>
    <row r="265" spans="1:54" x14ac:dyDescent="0.25">
      <c r="A265" s="2">
        <v>264</v>
      </c>
      <c r="B265" s="2">
        <v>264</v>
      </c>
      <c r="C265" s="2" t="s">
        <v>552</v>
      </c>
      <c r="D265" s="2" t="s">
        <v>1915</v>
      </c>
      <c r="E265" s="2" t="s">
        <v>553</v>
      </c>
      <c r="F265" s="4">
        <v>45727</v>
      </c>
      <c r="G265" s="8" t="s">
        <v>48</v>
      </c>
      <c r="H265" s="8" t="s">
        <v>1251</v>
      </c>
      <c r="I265" s="2" t="s">
        <v>14</v>
      </c>
      <c r="J265" s="2" t="s">
        <v>512</v>
      </c>
      <c r="K265" s="2" t="s">
        <v>791</v>
      </c>
      <c r="L265" s="2" t="s">
        <v>1258</v>
      </c>
      <c r="M265" s="2" t="s">
        <v>1264</v>
      </c>
      <c r="N265" s="2" t="s">
        <v>2279</v>
      </c>
      <c r="O265" s="4">
        <v>38534</v>
      </c>
      <c r="P265" s="2" t="s">
        <v>2703</v>
      </c>
      <c r="Q265" s="2" t="s">
        <v>2527</v>
      </c>
      <c r="R265" s="2" t="s">
        <v>2393</v>
      </c>
      <c r="S265" s="2" t="s">
        <v>796</v>
      </c>
      <c r="T265" s="2" t="s">
        <v>1551</v>
      </c>
      <c r="U265" s="2" t="s">
        <v>1273</v>
      </c>
      <c r="V265" s="2">
        <v>7989331263</v>
      </c>
      <c r="W265" s="2" t="s">
        <v>1067</v>
      </c>
      <c r="X265" s="2" t="s">
        <v>822</v>
      </c>
      <c r="Y265" s="2" t="s">
        <v>1184</v>
      </c>
      <c r="Z265" s="2" t="s">
        <v>1185</v>
      </c>
      <c r="AA265" s="2">
        <v>3000</v>
      </c>
      <c r="AB265" s="2">
        <v>200</v>
      </c>
      <c r="AC265" s="2">
        <v>500</v>
      </c>
      <c r="AD265" s="2">
        <v>500</v>
      </c>
      <c r="AE265" s="2">
        <f t="shared" si="36"/>
        <v>3200</v>
      </c>
      <c r="AF265" s="2">
        <v>1000</v>
      </c>
      <c r="AG265" s="4">
        <v>45737</v>
      </c>
      <c r="AH265" s="2">
        <f t="shared" si="37"/>
        <v>2200</v>
      </c>
      <c r="AI265" s="2">
        <v>1000</v>
      </c>
      <c r="AJ265" s="4">
        <v>45768</v>
      </c>
      <c r="AK265" s="2">
        <f t="shared" si="38"/>
        <v>1200</v>
      </c>
      <c r="AL265" s="2">
        <v>500</v>
      </c>
      <c r="AM265" s="4">
        <v>45798</v>
      </c>
      <c r="AN265" s="2">
        <f t="shared" si="39"/>
        <v>700</v>
      </c>
      <c r="AO265" s="2" cm="1">
        <f t="array" ref="AO265">_xlfn.IFS(AN265&gt;=5000,3000,AN265&gt;=2000,1000,AN265&gt;=500,500,AN265&lt;500,AN265)</f>
        <v>500</v>
      </c>
      <c r="AP265" s="4">
        <v>45829</v>
      </c>
      <c r="AQ265" s="2">
        <f t="shared" si="40"/>
        <v>200</v>
      </c>
      <c r="AR265" s="2">
        <v>200</v>
      </c>
      <c r="AS265" s="4">
        <v>45859</v>
      </c>
      <c r="AT265" s="2">
        <f t="shared" si="41"/>
        <v>0</v>
      </c>
      <c r="AU265" s="2" t="s">
        <v>1200</v>
      </c>
      <c r="AV265" s="4" t="s">
        <v>1200</v>
      </c>
      <c r="AW265" s="2" t="s">
        <v>1200</v>
      </c>
      <c r="AX265" s="2">
        <f t="shared" si="42"/>
        <v>3200</v>
      </c>
      <c r="AY265" s="2">
        <f t="shared" si="43"/>
        <v>0</v>
      </c>
      <c r="AZ265" s="2" t="str">
        <f t="shared" si="44"/>
        <v>Paid</v>
      </c>
      <c r="BA265" s="9" t="str" cm="1">
        <f t="array" ref="BA265">_xlfn.IFS(AZ265="Paid","R",AZ265="Unpaid","Q")</f>
        <v>R</v>
      </c>
      <c r="BB265" s="8" t="s">
        <v>2815</v>
      </c>
    </row>
    <row r="266" spans="1:54" x14ac:dyDescent="0.25">
      <c r="A266" s="2">
        <v>265</v>
      </c>
      <c r="B266" s="2">
        <v>265</v>
      </c>
      <c r="C266" s="2" t="s">
        <v>554</v>
      </c>
      <c r="D266" s="2" t="s">
        <v>1916</v>
      </c>
      <c r="E266" s="2" t="s">
        <v>555</v>
      </c>
      <c r="F266" s="4">
        <v>45727</v>
      </c>
      <c r="G266" s="8" t="s">
        <v>38</v>
      </c>
      <c r="H266" s="8" t="s">
        <v>1246</v>
      </c>
      <c r="I266" s="2" t="s">
        <v>9</v>
      </c>
      <c r="J266" s="2" t="s">
        <v>512</v>
      </c>
      <c r="K266" s="2" t="s">
        <v>795</v>
      </c>
      <c r="L266" s="2" t="s">
        <v>1258</v>
      </c>
      <c r="M266" s="2" t="s">
        <v>1264</v>
      </c>
      <c r="N266" s="2" t="s">
        <v>2280</v>
      </c>
      <c r="O266" s="4">
        <v>34627</v>
      </c>
      <c r="P266" s="2" t="s">
        <v>2704</v>
      </c>
      <c r="Q266" s="2" t="s">
        <v>2523</v>
      </c>
      <c r="R266" s="2" t="s">
        <v>2396</v>
      </c>
      <c r="S266" s="2" t="s">
        <v>788</v>
      </c>
      <c r="T266" s="2" t="s">
        <v>1552</v>
      </c>
      <c r="U266" s="2" t="s">
        <v>1284</v>
      </c>
      <c r="V266" s="2">
        <v>8917872879</v>
      </c>
      <c r="W266" s="2" t="s">
        <v>1068</v>
      </c>
      <c r="X266" s="2" t="s">
        <v>809</v>
      </c>
      <c r="Y266" s="2" t="s">
        <v>1184</v>
      </c>
      <c r="Z266" s="2" t="s">
        <v>1185</v>
      </c>
      <c r="AA266" s="2">
        <v>6000</v>
      </c>
      <c r="AB266" s="2">
        <v>200</v>
      </c>
      <c r="AC266" s="2">
        <v>800</v>
      </c>
      <c r="AD266" s="2">
        <v>0</v>
      </c>
      <c r="AE266" s="2">
        <f t="shared" si="36"/>
        <v>7000</v>
      </c>
      <c r="AF266" s="2">
        <v>2500</v>
      </c>
      <c r="AG266" s="4">
        <v>45737</v>
      </c>
      <c r="AH266" s="2">
        <f t="shared" si="37"/>
        <v>4500</v>
      </c>
      <c r="AI266" s="2">
        <v>1000</v>
      </c>
      <c r="AJ266" s="4">
        <v>45768</v>
      </c>
      <c r="AK266" s="2">
        <f t="shared" si="38"/>
        <v>3500</v>
      </c>
      <c r="AL266" s="2">
        <v>1000</v>
      </c>
      <c r="AM266" s="4">
        <v>45798</v>
      </c>
      <c r="AN266" s="2">
        <f t="shared" si="39"/>
        <v>2500</v>
      </c>
      <c r="AO266" s="2" cm="1">
        <f t="array" ref="AO266">_xlfn.IFS(AN266&gt;=5000,3000,AN266&gt;=2000,1000,AN266&gt;=500,500,AN266&lt;500,AN266)</f>
        <v>1000</v>
      </c>
      <c r="AP266" s="4">
        <v>45829</v>
      </c>
      <c r="AQ266" s="2">
        <f t="shared" si="40"/>
        <v>1500</v>
      </c>
      <c r="AR266" s="2">
        <v>1000</v>
      </c>
      <c r="AS266" s="4">
        <v>45859</v>
      </c>
      <c r="AT266" s="2">
        <f t="shared" si="41"/>
        <v>500</v>
      </c>
      <c r="AU266" s="2">
        <v>500</v>
      </c>
      <c r="AV266" s="4">
        <v>45890</v>
      </c>
      <c r="AW266" s="2">
        <v>0</v>
      </c>
      <c r="AX266" s="2">
        <f t="shared" si="42"/>
        <v>7000</v>
      </c>
      <c r="AY266" s="2">
        <f t="shared" si="43"/>
        <v>0</v>
      </c>
      <c r="AZ266" s="2" t="str">
        <f t="shared" si="44"/>
        <v>Paid</v>
      </c>
      <c r="BA266" s="9" t="str" cm="1">
        <f t="array" ref="BA266">_xlfn.IFS(AZ266="Paid","R",AZ266="Unpaid","Q")</f>
        <v>R</v>
      </c>
      <c r="BB266" s="8" t="s">
        <v>2815</v>
      </c>
    </row>
    <row r="267" spans="1:54" x14ac:dyDescent="0.25">
      <c r="A267" s="2">
        <v>266</v>
      </c>
      <c r="B267" s="2">
        <v>266</v>
      </c>
      <c r="C267" s="2" t="s">
        <v>556</v>
      </c>
      <c r="D267" s="2" t="s">
        <v>1917</v>
      </c>
      <c r="E267" s="2" t="s">
        <v>557</v>
      </c>
      <c r="F267" s="4">
        <v>45728</v>
      </c>
      <c r="G267" s="8" t="s">
        <v>48</v>
      </c>
      <c r="H267" s="8" t="s">
        <v>1251</v>
      </c>
      <c r="I267" s="2" t="s">
        <v>14</v>
      </c>
      <c r="J267" s="2" t="s">
        <v>512</v>
      </c>
      <c r="K267" s="2" t="s">
        <v>791</v>
      </c>
      <c r="L267" s="2" t="s">
        <v>1259</v>
      </c>
      <c r="M267" s="2" t="s">
        <v>1262</v>
      </c>
      <c r="N267" s="2" t="s">
        <v>2281</v>
      </c>
      <c r="O267" s="4">
        <v>34411</v>
      </c>
      <c r="P267" s="2" t="s">
        <v>2705</v>
      </c>
      <c r="Q267" s="2" t="s">
        <v>2459</v>
      </c>
      <c r="R267" s="2" t="s">
        <v>2393</v>
      </c>
      <c r="S267" s="2" t="s">
        <v>788</v>
      </c>
      <c r="T267" s="2" t="s">
        <v>1553</v>
      </c>
      <c r="U267" s="2" t="s">
        <v>1273</v>
      </c>
      <c r="V267" s="2">
        <v>8127803613</v>
      </c>
      <c r="W267" s="2" t="s">
        <v>1069</v>
      </c>
      <c r="X267" s="2" t="s">
        <v>813</v>
      </c>
      <c r="Y267" s="2" t="s">
        <v>1184</v>
      </c>
      <c r="Z267" s="2" t="s">
        <v>1185</v>
      </c>
      <c r="AA267" s="2">
        <v>3000</v>
      </c>
      <c r="AB267" s="2">
        <v>200</v>
      </c>
      <c r="AC267" s="2">
        <v>500</v>
      </c>
      <c r="AD267" s="2">
        <v>300</v>
      </c>
      <c r="AE267" s="2">
        <f t="shared" si="36"/>
        <v>3400</v>
      </c>
      <c r="AF267" s="2">
        <v>1000</v>
      </c>
      <c r="AG267" s="4">
        <v>45738</v>
      </c>
      <c r="AH267" s="2">
        <f t="shared" si="37"/>
        <v>2400</v>
      </c>
      <c r="AI267" s="2">
        <v>1000</v>
      </c>
      <c r="AJ267" s="4">
        <v>45769</v>
      </c>
      <c r="AK267" s="2">
        <f t="shared" si="38"/>
        <v>1400</v>
      </c>
      <c r="AL267" s="2">
        <v>500</v>
      </c>
      <c r="AM267" s="4">
        <v>45799</v>
      </c>
      <c r="AN267" s="2">
        <f t="shared" si="39"/>
        <v>900</v>
      </c>
      <c r="AO267" s="2" cm="1">
        <f t="array" ref="AO267">_xlfn.IFS(AN267&gt;=5000,3000,AN267&gt;=2000,1000,AN267&gt;=500,500,AN267&lt;500,AN267)</f>
        <v>500</v>
      </c>
      <c r="AP267" s="4">
        <v>45830</v>
      </c>
      <c r="AQ267" s="2">
        <f t="shared" si="40"/>
        <v>400</v>
      </c>
      <c r="AR267" s="2">
        <v>400</v>
      </c>
      <c r="AS267" s="4">
        <v>45860</v>
      </c>
      <c r="AT267" s="2">
        <f t="shared" si="41"/>
        <v>0</v>
      </c>
      <c r="AU267" s="2" t="s">
        <v>1200</v>
      </c>
      <c r="AV267" s="4" t="s">
        <v>1200</v>
      </c>
      <c r="AW267" s="2" t="s">
        <v>1200</v>
      </c>
      <c r="AX267" s="2">
        <f t="shared" si="42"/>
        <v>3400</v>
      </c>
      <c r="AY267" s="2">
        <f t="shared" si="43"/>
        <v>0</v>
      </c>
      <c r="AZ267" s="2" t="str">
        <f t="shared" si="44"/>
        <v>Paid</v>
      </c>
      <c r="BA267" s="9" t="str" cm="1">
        <f t="array" ref="BA267">_xlfn.IFS(AZ267="Paid","R",AZ267="Unpaid","Q")</f>
        <v>R</v>
      </c>
      <c r="BB267" s="8" t="s">
        <v>2815</v>
      </c>
    </row>
    <row r="268" spans="1:54" x14ac:dyDescent="0.25">
      <c r="A268" s="2">
        <v>267</v>
      </c>
      <c r="B268" s="2">
        <v>267</v>
      </c>
      <c r="C268" s="2" t="s">
        <v>558</v>
      </c>
      <c r="D268" s="2" t="s">
        <v>1918</v>
      </c>
      <c r="E268" s="2" t="s">
        <v>559</v>
      </c>
      <c r="F268" s="4">
        <v>45728</v>
      </c>
      <c r="G268" s="8" t="s">
        <v>70</v>
      </c>
      <c r="H268" s="8" t="s">
        <v>1247</v>
      </c>
      <c r="I268" s="2" t="s">
        <v>9</v>
      </c>
      <c r="J268" s="2" t="s">
        <v>512</v>
      </c>
      <c r="K268" s="2" t="s">
        <v>795</v>
      </c>
      <c r="L268" s="2" t="s">
        <v>1260</v>
      </c>
      <c r="M268" s="2" t="s">
        <v>1261</v>
      </c>
      <c r="N268" s="2" t="s">
        <v>2282</v>
      </c>
      <c r="O268" s="4">
        <v>38454</v>
      </c>
      <c r="P268" s="2" t="s">
        <v>2706</v>
      </c>
      <c r="Q268" s="2" t="s">
        <v>2414</v>
      </c>
      <c r="R268" s="2" t="s">
        <v>2393</v>
      </c>
      <c r="S268" s="2" t="s">
        <v>796</v>
      </c>
      <c r="T268" s="2" t="s">
        <v>1554</v>
      </c>
      <c r="U268" s="2" t="s">
        <v>1281</v>
      </c>
      <c r="V268" s="2">
        <v>9367528193</v>
      </c>
      <c r="W268" s="2" t="s">
        <v>1070</v>
      </c>
      <c r="X268" s="2" t="s">
        <v>798</v>
      </c>
      <c r="Y268" s="2" t="s">
        <v>1184</v>
      </c>
      <c r="Z268" s="2" t="s">
        <v>1185</v>
      </c>
      <c r="AA268" s="2">
        <v>8000</v>
      </c>
      <c r="AB268" s="2">
        <v>200</v>
      </c>
      <c r="AC268" s="2">
        <v>1000</v>
      </c>
      <c r="AD268" s="2">
        <v>300</v>
      </c>
      <c r="AE268" s="2">
        <f t="shared" si="36"/>
        <v>8900</v>
      </c>
      <c r="AF268" s="2">
        <v>2500</v>
      </c>
      <c r="AG268" s="4">
        <v>45738</v>
      </c>
      <c r="AH268" s="2">
        <f t="shared" si="37"/>
        <v>6400</v>
      </c>
      <c r="AI268" s="2">
        <v>3000</v>
      </c>
      <c r="AJ268" s="4">
        <v>45769</v>
      </c>
      <c r="AK268" s="2">
        <f t="shared" si="38"/>
        <v>3400</v>
      </c>
      <c r="AL268" s="2">
        <v>1000</v>
      </c>
      <c r="AM268" s="4">
        <v>45799</v>
      </c>
      <c r="AN268" s="2">
        <f t="shared" si="39"/>
        <v>2400</v>
      </c>
      <c r="AO268" s="2" cm="1">
        <f t="array" ref="AO268">_xlfn.IFS(AN268&gt;=5000,3000,AN268&gt;=2000,1000,AN268&gt;=500,500,AN268&lt;500,AN268)</f>
        <v>1000</v>
      </c>
      <c r="AP268" s="4">
        <v>45830</v>
      </c>
      <c r="AQ268" s="2">
        <f t="shared" si="40"/>
        <v>1400</v>
      </c>
      <c r="AR268" s="2">
        <v>1000</v>
      </c>
      <c r="AS268" s="4">
        <v>45860</v>
      </c>
      <c r="AT268" s="2">
        <f t="shared" si="41"/>
        <v>400</v>
      </c>
      <c r="AU268" s="2">
        <v>400</v>
      </c>
      <c r="AV268" s="4">
        <v>45891</v>
      </c>
      <c r="AW268" s="2">
        <v>0</v>
      </c>
      <c r="AX268" s="2">
        <f t="shared" si="42"/>
        <v>8900</v>
      </c>
      <c r="AY268" s="2">
        <f t="shared" si="43"/>
        <v>0</v>
      </c>
      <c r="AZ268" s="2" t="str">
        <f t="shared" si="44"/>
        <v>Paid</v>
      </c>
      <c r="BA268" s="9" t="str" cm="1">
        <f t="array" ref="BA268">_xlfn.IFS(AZ268="Paid","R",AZ268="Unpaid","Q")</f>
        <v>R</v>
      </c>
      <c r="BB268" s="8" t="s">
        <v>2815</v>
      </c>
    </row>
    <row r="269" spans="1:54" x14ac:dyDescent="0.25">
      <c r="A269" s="2">
        <v>268</v>
      </c>
      <c r="B269" s="2">
        <v>268</v>
      </c>
      <c r="C269" s="2" t="s">
        <v>560</v>
      </c>
      <c r="D269" s="2" t="s">
        <v>1919</v>
      </c>
      <c r="E269" s="2" t="s">
        <v>561</v>
      </c>
      <c r="F269" s="4">
        <v>45729</v>
      </c>
      <c r="G269" s="8" t="s">
        <v>38</v>
      </c>
      <c r="H269" s="8" t="s">
        <v>1246</v>
      </c>
      <c r="I269" s="2" t="s">
        <v>9</v>
      </c>
      <c r="J269" s="2" t="s">
        <v>512</v>
      </c>
      <c r="K269" s="2" t="s">
        <v>795</v>
      </c>
      <c r="L269" s="2" t="s">
        <v>1257</v>
      </c>
      <c r="M269" s="2" t="s">
        <v>1261</v>
      </c>
      <c r="N269" s="2" t="s">
        <v>2283</v>
      </c>
      <c r="O269" s="4">
        <v>33412</v>
      </c>
      <c r="P269" s="2" t="s">
        <v>2707</v>
      </c>
      <c r="Q269" s="2" t="s">
        <v>2523</v>
      </c>
      <c r="R269" s="2" t="s">
        <v>2393</v>
      </c>
      <c r="S269" s="2" t="s">
        <v>788</v>
      </c>
      <c r="T269" s="2" t="s">
        <v>1555</v>
      </c>
      <c r="U269" s="2" t="s">
        <v>1268</v>
      </c>
      <c r="V269" s="2">
        <v>6348884063</v>
      </c>
      <c r="W269" s="2" t="s">
        <v>1071</v>
      </c>
      <c r="X269" s="2" t="s">
        <v>798</v>
      </c>
      <c r="Y269" s="2" t="s">
        <v>1184</v>
      </c>
      <c r="Z269" s="2" t="s">
        <v>1185</v>
      </c>
      <c r="AA269" s="2">
        <v>6000</v>
      </c>
      <c r="AB269" s="2">
        <v>200</v>
      </c>
      <c r="AC269" s="2">
        <v>800</v>
      </c>
      <c r="AD269" s="2">
        <v>300</v>
      </c>
      <c r="AE269" s="2">
        <f t="shared" si="36"/>
        <v>6700</v>
      </c>
      <c r="AF269" s="2">
        <v>2500</v>
      </c>
      <c r="AG269" s="4">
        <v>45739</v>
      </c>
      <c r="AH269" s="2">
        <f t="shared" si="37"/>
        <v>4200</v>
      </c>
      <c r="AI269" s="2">
        <v>1000</v>
      </c>
      <c r="AJ269" s="4">
        <v>45770</v>
      </c>
      <c r="AK269" s="2">
        <f t="shared" si="38"/>
        <v>3200</v>
      </c>
      <c r="AL269" s="2">
        <v>1000</v>
      </c>
      <c r="AM269" s="4">
        <v>45800</v>
      </c>
      <c r="AN269" s="2">
        <f t="shared" si="39"/>
        <v>2200</v>
      </c>
      <c r="AO269" s="2" cm="1">
        <f t="array" ref="AO269">_xlfn.IFS(AN269&gt;=5000,3000,AN269&gt;=2000,1000,AN269&gt;=500,500,AN269&lt;500,AN269)</f>
        <v>1000</v>
      </c>
      <c r="AP269" s="4">
        <v>45831</v>
      </c>
      <c r="AQ269" s="2">
        <f t="shared" si="40"/>
        <v>1200</v>
      </c>
      <c r="AR269" s="2">
        <v>1000</v>
      </c>
      <c r="AS269" s="4">
        <v>45861</v>
      </c>
      <c r="AT269" s="2">
        <f t="shared" si="41"/>
        <v>200</v>
      </c>
      <c r="AU269" s="2">
        <v>200</v>
      </c>
      <c r="AV269" s="4">
        <v>45892</v>
      </c>
      <c r="AW269" s="2">
        <v>0</v>
      </c>
      <c r="AX269" s="2">
        <f t="shared" si="42"/>
        <v>6700</v>
      </c>
      <c r="AY269" s="2">
        <f t="shared" si="43"/>
        <v>0</v>
      </c>
      <c r="AZ269" s="2" t="str">
        <f t="shared" si="44"/>
        <v>Paid</v>
      </c>
      <c r="BA269" s="9" t="str" cm="1">
        <f t="array" ref="BA269">_xlfn.IFS(AZ269="Paid","R",AZ269="Unpaid","Q")</f>
        <v>R</v>
      </c>
      <c r="BB269" s="8" t="s">
        <v>2815</v>
      </c>
    </row>
    <row r="270" spans="1:54" x14ac:dyDescent="0.25">
      <c r="A270" s="2">
        <v>269</v>
      </c>
      <c r="B270" s="2">
        <v>269</v>
      </c>
      <c r="C270" s="2" t="s">
        <v>562</v>
      </c>
      <c r="D270" s="2" t="s">
        <v>1920</v>
      </c>
      <c r="E270" s="2" t="s">
        <v>563</v>
      </c>
      <c r="F270" s="4">
        <v>45730</v>
      </c>
      <c r="G270" s="8" t="s">
        <v>13</v>
      </c>
      <c r="H270" s="8" t="s">
        <v>1254</v>
      </c>
      <c r="I270" s="2" t="s">
        <v>14</v>
      </c>
      <c r="J270" s="2" t="s">
        <v>512</v>
      </c>
      <c r="K270" s="2" t="s">
        <v>791</v>
      </c>
      <c r="L270" s="2" t="s">
        <v>1257</v>
      </c>
      <c r="M270" s="2" t="s">
        <v>1261</v>
      </c>
      <c r="N270" s="2" t="s">
        <v>2284</v>
      </c>
      <c r="O270" s="4">
        <v>33797</v>
      </c>
      <c r="P270" s="2" t="s">
        <v>2708</v>
      </c>
      <c r="Q270" s="2" t="s">
        <v>2434</v>
      </c>
      <c r="R270" s="2" t="s">
        <v>2393</v>
      </c>
      <c r="S270" s="2" t="s">
        <v>788</v>
      </c>
      <c r="T270" s="2" t="s">
        <v>1556</v>
      </c>
      <c r="U270" s="2" t="s">
        <v>1280</v>
      </c>
      <c r="V270" s="2">
        <v>7426290561</v>
      </c>
      <c r="W270" s="2" t="s">
        <v>1072</v>
      </c>
      <c r="X270" s="2" t="s">
        <v>798</v>
      </c>
      <c r="Y270" s="2" t="s">
        <v>1184</v>
      </c>
      <c r="Z270" s="2" t="s">
        <v>1185</v>
      </c>
      <c r="AA270" s="2">
        <v>3000</v>
      </c>
      <c r="AB270" s="2">
        <v>200</v>
      </c>
      <c r="AC270" s="2">
        <v>500</v>
      </c>
      <c r="AD270" s="2">
        <v>0</v>
      </c>
      <c r="AE270" s="2">
        <f t="shared" si="36"/>
        <v>3700</v>
      </c>
      <c r="AF270" s="2">
        <v>1000</v>
      </c>
      <c r="AG270" s="4">
        <v>45740</v>
      </c>
      <c r="AH270" s="2">
        <f t="shared" si="37"/>
        <v>2700</v>
      </c>
      <c r="AI270" s="2">
        <v>1000</v>
      </c>
      <c r="AJ270" s="4">
        <v>45771</v>
      </c>
      <c r="AK270" s="2">
        <f t="shared" si="38"/>
        <v>1700</v>
      </c>
      <c r="AL270" s="2">
        <v>500</v>
      </c>
      <c r="AM270" s="4">
        <v>45801</v>
      </c>
      <c r="AN270" s="2">
        <f t="shared" si="39"/>
        <v>1200</v>
      </c>
      <c r="AO270" s="2" cm="1">
        <f t="array" ref="AO270">_xlfn.IFS(AN270&gt;=5000,3000,AN270&gt;=2000,1000,AN270&gt;=500,500,AN270&lt;500,AN270)</f>
        <v>500</v>
      </c>
      <c r="AP270" s="4">
        <v>45832</v>
      </c>
      <c r="AQ270" s="2">
        <f t="shared" si="40"/>
        <v>700</v>
      </c>
      <c r="AR270" s="2">
        <v>500</v>
      </c>
      <c r="AS270" s="4">
        <v>45862</v>
      </c>
      <c r="AT270" s="2">
        <f t="shared" si="41"/>
        <v>200</v>
      </c>
      <c r="AU270" s="2">
        <v>200</v>
      </c>
      <c r="AV270" s="4">
        <v>45893</v>
      </c>
      <c r="AW270" s="2">
        <v>0</v>
      </c>
      <c r="AX270" s="2">
        <f t="shared" si="42"/>
        <v>3700</v>
      </c>
      <c r="AY270" s="2">
        <f t="shared" si="43"/>
        <v>0</v>
      </c>
      <c r="AZ270" s="2" t="str">
        <f t="shared" si="44"/>
        <v>Paid</v>
      </c>
      <c r="BA270" s="9" t="str" cm="1">
        <f t="array" ref="BA270">_xlfn.IFS(AZ270="Paid","R",AZ270="Unpaid","Q")</f>
        <v>R</v>
      </c>
      <c r="BB270" s="8" t="s">
        <v>2815</v>
      </c>
    </row>
    <row r="271" spans="1:54" x14ac:dyDescent="0.25">
      <c r="A271" s="2">
        <v>270</v>
      </c>
      <c r="B271" s="2">
        <v>270</v>
      </c>
      <c r="C271" s="2" t="s">
        <v>564</v>
      </c>
      <c r="D271" s="2" t="s">
        <v>1921</v>
      </c>
      <c r="E271" s="2" t="s">
        <v>565</v>
      </c>
      <c r="F271" s="4">
        <v>45741</v>
      </c>
      <c r="G271" s="8" t="s">
        <v>18</v>
      </c>
      <c r="H271" s="8" t="s">
        <v>1253</v>
      </c>
      <c r="I271" s="2" t="s">
        <v>9</v>
      </c>
      <c r="J271" s="2" t="s">
        <v>512</v>
      </c>
      <c r="K271" s="2" t="s">
        <v>795</v>
      </c>
      <c r="L271" s="2" t="s">
        <v>1257</v>
      </c>
      <c r="M271" s="2" t="s">
        <v>1261</v>
      </c>
      <c r="N271" s="2" t="s">
        <v>2285</v>
      </c>
      <c r="O271" s="4">
        <v>39331</v>
      </c>
      <c r="P271" s="2" t="s">
        <v>2709</v>
      </c>
      <c r="Q271" s="2" t="s">
        <v>2414</v>
      </c>
      <c r="R271" s="2" t="s">
        <v>2393</v>
      </c>
      <c r="S271" s="2" t="s">
        <v>788</v>
      </c>
      <c r="T271" s="2" t="s">
        <v>1557</v>
      </c>
      <c r="U271" s="2" t="s">
        <v>1272</v>
      </c>
      <c r="V271" s="2">
        <v>7108069568</v>
      </c>
      <c r="W271" s="2" t="s">
        <v>1073</v>
      </c>
      <c r="X271" s="2" t="s">
        <v>822</v>
      </c>
      <c r="Y271" s="2" t="s">
        <v>1184</v>
      </c>
      <c r="Z271" s="2" t="s">
        <v>1185</v>
      </c>
      <c r="AA271" s="2">
        <v>7000</v>
      </c>
      <c r="AB271" s="2">
        <v>200</v>
      </c>
      <c r="AC271" s="2">
        <v>800</v>
      </c>
      <c r="AD271" s="2">
        <v>0</v>
      </c>
      <c r="AE271" s="2">
        <f t="shared" si="36"/>
        <v>8000</v>
      </c>
      <c r="AF271" s="2">
        <v>2500</v>
      </c>
      <c r="AG271" s="4">
        <v>45751</v>
      </c>
      <c r="AH271" s="2">
        <f t="shared" si="37"/>
        <v>5500</v>
      </c>
      <c r="AI271" s="2">
        <v>3000</v>
      </c>
      <c r="AJ271" s="4">
        <v>45781</v>
      </c>
      <c r="AK271" s="2">
        <f t="shared" si="38"/>
        <v>2500</v>
      </c>
      <c r="AL271" s="2">
        <v>1000</v>
      </c>
      <c r="AM271" s="4">
        <v>45812</v>
      </c>
      <c r="AN271" s="2">
        <f t="shared" si="39"/>
        <v>1500</v>
      </c>
      <c r="AO271" s="2" cm="1">
        <f t="array" ref="AO271">_xlfn.IFS(AN271&gt;=5000,3000,AN271&gt;=2000,1000,AN271&gt;=500,500,AN271&lt;500,AN271)</f>
        <v>500</v>
      </c>
      <c r="AP271" s="4">
        <v>45842</v>
      </c>
      <c r="AQ271" s="2">
        <f t="shared" si="40"/>
        <v>1000</v>
      </c>
      <c r="AR271" s="2">
        <v>1000</v>
      </c>
      <c r="AS271" s="4">
        <v>45873</v>
      </c>
      <c r="AT271" s="2">
        <f t="shared" si="41"/>
        <v>0</v>
      </c>
      <c r="AU271" s="2" t="s">
        <v>1200</v>
      </c>
      <c r="AV271" s="4" t="s">
        <v>1200</v>
      </c>
      <c r="AW271" s="2" t="s">
        <v>1200</v>
      </c>
      <c r="AX271" s="2">
        <f t="shared" si="42"/>
        <v>8000</v>
      </c>
      <c r="AY271" s="2">
        <f t="shared" si="43"/>
        <v>0</v>
      </c>
      <c r="AZ271" s="2" t="str">
        <f t="shared" si="44"/>
        <v>Paid</v>
      </c>
      <c r="BA271" s="9" t="str" cm="1">
        <f t="array" ref="BA271">_xlfn.IFS(AZ271="Paid","R",AZ271="Unpaid","Q")</f>
        <v>R</v>
      </c>
      <c r="BB271" s="8" t="s">
        <v>2815</v>
      </c>
    </row>
    <row r="272" spans="1:54" x14ac:dyDescent="0.25">
      <c r="A272" s="2">
        <v>271</v>
      </c>
      <c r="B272" s="2">
        <v>271</v>
      </c>
      <c r="C272" s="2" t="s">
        <v>566</v>
      </c>
      <c r="D272" s="2" t="s">
        <v>1922</v>
      </c>
      <c r="E272" s="2" t="s">
        <v>567</v>
      </c>
      <c r="F272" s="4">
        <v>45741</v>
      </c>
      <c r="G272" s="8" t="s">
        <v>48</v>
      </c>
      <c r="H272" s="8" t="s">
        <v>1251</v>
      </c>
      <c r="I272" s="2" t="s">
        <v>14</v>
      </c>
      <c r="J272" s="2" t="s">
        <v>512</v>
      </c>
      <c r="K272" s="2" t="s">
        <v>791</v>
      </c>
      <c r="L272" s="2" t="s">
        <v>1256</v>
      </c>
      <c r="M272" s="2" t="s">
        <v>1263</v>
      </c>
      <c r="N272" s="2" t="s">
        <v>2286</v>
      </c>
      <c r="O272" s="4">
        <v>32624</v>
      </c>
      <c r="P272" s="2" t="s">
        <v>2710</v>
      </c>
      <c r="Q272" s="2" t="s">
        <v>2449</v>
      </c>
      <c r="R272" s="2" t="s">
        <v>2393</v>
      </c>
      <c r="S272" s="2" t="s">
        <v>788</v>
      </c>
      <c r="T272" s="2" t="s">
        <v>1558</v>
      </c>
      <c r="U272" s="2" t="s">
        <v>1268</v>
      </c>
      <c r="V272" s="2">
        <v>9917139153</v>
      </c>
      <c r="W272" s="2" t="s">
        <v>1074</v>
      </c>
      <c r="X272" s="2" t="s">
        <v>790</v>
      </c>
      <c r="Y272" s="2" t="s">
        <v>1184</v>
      </c>
      <c r="Z272" s="2" t="s">
        <v>1185</v>
      </c>
      <c r="AA272" s="2">
        <v>3000</v>
      </c>
      <c r="AB272" s="2">
        <v>200</v>
      </c>
      <c r="AC272" s="2">
        <v>500</v>
      </c>
      <c r="AD272" s="2">
        <v>0</v>
      </c>
      <c r="AE272" s="2">
        <f t="shared" si="36"/>
        <v>3700</v>
      </c>
      <c r="AF272" s="2">
        <v>1000</v>
      </c>
      <c r="AG272" s="4">
        <v>45751</v>
      </c>
      <c r="AH272" s="2">
        <f t="shared" si="37"/>
        <v>2700</v>
      </c>
      <c r="AI272" s="2">
        <v>1000</v>
      </c>
      <c r="AJ272" s="4">
        <v>45781</v>
      </c>
      <c r="AK272" s="2">
        <f t="shared" si="38"/>
        <v>1700</v>
      </c>
      <c r="AL272" s="2">
        <v>500</v>
      </c>
      <c r="AM272" s="4">
        <v>45812</v>
      </c>
      <c r="AN272" s="2">
        <f t="shared" si="39"/>
        <v>1200</v>
      </c>
      <c r="AO272" s="2" cm="1">
        <f t="array" ref="AO272">_xlfn.IFS(AN272&gt;=5000,3000,AN272&gt;=2000,1000,AN272&gt;=500,500,AN272&lt;500,AN272)</f>
        <v>500</v>
      </c>
      <c r="AP272" s="4">
        <v>45842</v>
      </c>
      <c r="AQ272" s="2">
        <f t="shared" si="40"/>
        <v>700</v>
      </c>
      <c r="AR272" s="2">
        <v>500</v>
      </c>
      <c r="AS272" s="4">
        <v>45873</v>
      </c>
      <c r="AT272" s="2">
        <f t="shared" si="41"/>
        <v>200</v>
      </c>
      <c r="AU272" s="2">
        <v>200</v>
      </c>
      <c r="AV272" s="4">
        <v>45904</v>
      </c>
      <c r="AW272" s="2">
        <v>0</v>
      </c>
      <c r="AX272" s="2">
        <f t="shared" si="42"/>
        <v>3700</v>
      </c>
      <c r="AY272" s="2">
        <f t="shared" si="43"/>
        <v>0</v>
      </c>
      <c r="AZ272" s="2" t="str">
        <f t="shared" si="44"/>
        <v>Paid</v>
      </c>
      <c r="BA272" s="9" t="str" cm="1">
        <f t="array" ref="BA272">_xlfn.IFS(AZ272="Paid","R",AZ272="Unpaid","Q")</f>
        <v>R</v>
      </c>
      <c r="BB272" s="8" t="s">
        <v>2815</v>
      </c>
    </row>
    <row r="273" spans="1:54" x14ac:dyDescent="0.25">
      <c r="A273" s="2">
        <v>272</v>
      </c>
      <c r="B273" s="2">
        <v>272</v>
      </c>
      <c r="C273" s="2" t="s">
        <v>568</v>
      </c>
      <c r="D273" s="2" t="s">
        <v>1923</v>
      </c>
      <c r="E273" s="2" t="s">
        <v>569</v>
      </c>
      <c r="F273" s="4">
        <v>45744</v>
      </c>
      <c r="G273" s="8" t="s">
        <v>8</v>
      </c>
      <c r="H273" s="8" t="s">
        <v>1242</v>
      </c>
      <c r="I273" s="2" t="s">
        <v>9</v>
      </c>
      <c r="J273" s="2" t="s">
        <v>551</v>
      </c>
      <c r="K273" s="2" t="s">
        <v>787</v>
      </c>
      <c r="L273" s="2" t="s">
        <v>1260</v>
      </c>
      <c r="M273" s="2" t="s">
        <v>1261</v>
      </c>
      <c r="N273" s="2" t="s">
        <v>2287</v>
      </c>
      <c r="O273" s="4">
        <v>36874</v>
      </c>
      <c r="P273" s="2" t="s">
        <v>2711</v>
      </c>
      <c r="Q273" s="2" t="s">
        <v>2505</v>
      </c>
      <c r="R273" s="2" t="s">
        <v>2393</v>
      </c>
      <c r="S273" s="2" t="s">
        <v>820</v>
      </c>
      <c r="T273" s="2" t="s">
        <v>1559</v>
      </c>
      <c r="U273" s="2" t="s">
        <v>1268</v>
      </c>
      <c r="V273" s="2">
        <v>9237929726</v>
      </c>
      <c r="W273" s="2" t="s">
        <v>1075</v>
      </c>
      <c r="X273" s="2" t="s">
        <v>811</v>
      </c>
      <c r="Y273" s="2" t="s">
        <v>1184</v>
      </c>
      <c r="Z273" s="2" t="s">
        <v>1185</v>
      </c>
      <c r="AA273" s="2">
        <v>12500</v>
      </c>
      <c r="AB273" s="2">
        <v>200</v>
      </c>
      <c r="AC273" s="2">
        <v>1200</v>
      </c>
      <c r="AD273" s="2">
        <v>0</v>
      </c>
      <c r="AE273" s="2">
        <f t="shared" si="36"/>
        <v>13900</v>
      </c>
      <c r="AF273" s="2">
        <v>5000</v>
      </c>
      <c r="AG273" s="4">
        <v>45754</v>
      </c>
      <c r="AH273" s="2">
        <f t="shared" si="37"/>
        <v>8900</v>
      </c>
      <c r="AI273" s="2">
        <v>3000</v>
      </c>
      <c r="AJ273" s="4">
        <v>45784</v>
      </c>
      <c r="AK273" s="2">
        <f t="shared" si="38"/>
        <v>5900</v>
      </c>
      <c r="AL273" s="2">
        <v>3000</v>
      </c>
      <c r="AM273" s="4">
        <v>45815</v>
      </c>
      <c r="AN273" s="2">
        <f t="shared" si="39"/>
        <v>2900</v>
      </c>
      <c r="AO273" s="2" cm="1">
        <f t="array" ref="AO273">_xlfn.IFS(AN273&gt;=5000,3000,AN273&gt;=2000,1000,AN273&gt;=500,500,AN273&lt;500,AN273)</f>
        <v>1000</v>
      </c>
      <c r="AP273" s="4">
        <v>45845</v>
      </c>
      <c r="AQ273" s="2">
        <f t="shared" si="40"/>
        <v>1900</v>
      </c>
      <c r="AR273" s="2">
        <v>1000</v>
      </c>
      <c r="AS273" s="4">
        <v>45876</v>
      </c>
      <c r="AT273" s="2">
        <f t="shared" si="41"/>
        <v>900</v>
      </c>
      <c r="AU273" s="2">
        <v>900</v>
      </c>
      <c r="AV273" s="4">
        <v>45907</v>
      </c>
      <c r="AW273" s="2">
        <v>0</v>
      </c>
      <c r="AX273" s="2">
        <f t="shared" si="42"/>
        <v>13900</v>
      </c>
      <c r="AY273" s="2">
        <f t="shared" si="43"/>
        <v>0</v>
      </c>
      <c r="AZ273" s="2" t="str">
        <f t="shared" si="44"/>
        <v>Paid</v>
      </c>
      <c r="BA273" s="9" t="str" cm="1">
        <f t="array" ref="BA273">_xlfn.IFS(AZ273="Paid","R",AZ273="Unpaid","Q")</f>
        <v>R</v>
      </c>
      <c r="BB273" s="8" t="s">
        <v>2815</v>
      </c>
    </row>
    <row r="274" spans="1:54" x14ac:dyDescent="0.25">
      <c r="A274" s="2">
        <v>273</v>
      </c>
      <c r="B274" s="2">
        <v>273</v>
      </c>
      <c r="C274" s="2" t="s">
        <v>570</v>
      </c>
      <c r="D274" s="2" t="s">
        <v>1924</v>
      </c>
      <c r="E274" s="2" t="s">
        <v>571</v>
      </c>
      <c r="F274" s="4">
        <v>45749</v>
      </c>
      <c r="G274" s="8" t="s">
        <v>18</v>
      </c>
      <c r="H274" s="8" t="s">
        <v>1253</v>
      </c>
      <c r="I274" s="2" t="s">
        <v>9</v>
      </c>
      <c r="J274" s="2" t="s">
        <v>512</v>
      </c>
      <c r="K274" s="2" t="s">
        <v>795</v>
      </c>
      <c r="L274" s="2" t="s">
        <v>1258</v>
      </c>
      <c r="M274" s="2" t="s">
        <v>1264</v>
      </c>
      <c r="N274" s="2" t="s">
        <v>2288</v>
      </c>
      <c r="O274" s="4">
        <v>32428</v>
      </c>
      <c r="P274" s="2" t="s">
        <v>2610</v>
      </c>
      <c r="Q274" s="2" t="s">
        <v>2498</v>
      </c>
      <c r="R274" s="2" t="s">
        <v>2393</v>
      </c>
      <c r="S274" s="2" t="s">
        <v>792</v>
      </c>
      <c r="T274" s="2" t="s">
        <v>1560</v>
      </c>
      <c r="U274" s="2" t="s">
        <v>1286</v>
      </c>
      <c r="V274" s="2">
        <v>8381754488</v>
      </c>
      <c r="W274" s="2" t="s">
        <v>1076</v>
      </c>
      <c r="X274" s="2" t="s">
        <v>1183</v>
      </c>
      <c r="Y274" s="2" t="s">
        <v>1184</v>
      </c>
      <c r="Z274" s="2" t="s">
        <v>1185</v>
      </c>
      <c r="AA274" s="2">
        <v>7000</v>
      </c>
      <c r="AB274" s="2">
        <v>200</v>
      </c>
      <c r="AC274" s="2">
        <v>800</v>
      </c>
      <c r="AD274" s="2">
        <v>200</v>
      </c>
      <c r="AE274" s="2">
        <f t="shared" si="36"/>
        <v>7800</v>
      </c>
      <c r="AF274" s="2">
        <v>2500</v>
      </c>
      <c r="AG274" s="4">
        <v>45759</v>
      </c>
      <c r="AH274" s="2">
        <f t="shared" si="37"/>
        <v>5300</v>
      </c>
      <c r="AI274" s="2">
        <v>3000</v>
      </c>
      <c r="AJ274" s="4">
        <v>45789</v>
      </c>
      <c r="AK274" s="2">
        <f t="shared" si="38"/>
        <v>2300</v>
      </c>
      <c r="AL274" s="2">
        <v>1000</v>
      </c>
      <c r="AM274" s="4">
        <v>45820</v>
      </c>
      <c r="AN274" s="2">
        <f t="shared" si="39"/>
        <v>1300</v>
      </c>
      <c r="AO274" s="2" cm="1">
        <f t="array" ref="AO274">_xlfn.IFS(AN274&gt;=5000,3000,AN274&gt;=2000,1000,AN274&gt;=500,500,AN274&lt;500,AN274)</f>
        <v>500</v>
      </c>
      <c r="AP274" s="4">
        <v>45850</v>
      </c>
      <c r="AQ274" s="2">
        <f t="shared" si="40"/>
        <v>800</v>
      </c>
      <c r="AR274" s="2">
        <v>500</v>
      </c>
      <c r="AS274" s="4">
        <v>45881</v>
      </c>
      <c r="AT274" s="2">
        <f t="shared" si="41"/>
        <v>300</v>
      </c>
      <c r="AU274" s="2">
        <v>300</v>
      </c>
      <c r="AV274" s="4">
        <v>45912</v>
      </c>
      <c r="AW274" s="2">
        <v>0</v>
      </c>
      <c r="AX274" s="2">
        <f t="shared" si="42"/>
        <v>7800</v>
      </c>
      <c r="AY274" s="2">
        <f t="shared" si="43"/>
        <v>0</v>
      </c>
      <c r="AZ274" s="2" t="str">
        <f t="shared" si="44"/>
        <v>Paid</v>
      </c>
      <c r="BA274" s="9" t="str" cm="1">
        <f t="array" ref="BA274">_xlfn.IFS(AZ274="Paid","R",AZ274="Unpaid","Q")</f>
        <v>R</v>
      </c>
      <c r="BB274" s="8" t="s">
        <v>2815</v>
      </c>
    </row>
    <row r="275" spans="1:54" x14ac:dyDescent="0.25">
      <c r="A275" s="2">
        <v>274</v>
      </c>
      <c r="B275" s="2">
        <v>274</v>
      </c>
      <c r="C275" s="2" t="s">
        <v>572</v>
      </c>
      <c r="D275" s="2" t="s">
        <v>1925</v>
      </c>
      <c r="E275" s="2" t="s">
        <v>573</v>
      </c>
      <c r="F275" s="4">
        <v>45750</v>
      </c>
      <c r="G275" s="8" t="s">
        <v>29</v>
      </c>
      <c r="H275" s="8" t="s">
        <v>1248</v>
      </c>
      <c r="I275" s="2" t="s">
        <v>14</v>
      </c>
      <c r="J275" s="2" t="s">
        <v>512</v>
      </c>
      <c r="K275" s="2" t="s">
        <v>791</v>
      </c>
      <c r="L275" s="2" t="s">
        <v>1257</v>
      </c>
      <c r="M275" s="2" t="s">
        <v>1261</v>
      </c>
      <c r="N275" s="2" t="s">
        <v>2289</v>
      </c>
      <c r="O275" s="4">
        <v>38815</v>
      </c>
      <c r="P275" s="2" t="s">
        <v>2712</v>
      </c>
      <c r="Q275" s="2" t="s">
        <v>2428</v>
      </c>
      <c r="R275" s="2" t="s">
        <v>2393</v>
      </c>
      <c r="S275" s="2" t="s">
        <v>796</v>
      </c>
      <c r="T275" s="2" t="s">
        <v>1561</v>
      </c>
      <c r="U275" s="2" t="s">
        <v>1269</v>
      </c>
      <c r="V275" s="2">
        <v>9986352271</v>
      </c>
      <c r="W275" s="2" t="s">
        <v>1077</v>
      </c>
      <c r="X275" s="2" t="s">
        <v>798</v>
      </c>
      <c r="Y275" s="2" t="s">
        <v>1184</v>
      </c>
      <c r="Z275" s="2" t="s">
        <v>1185</v>
      </c>
      <c r="AA275" s="2">
        <v>2500</v>
      </c>
      <c r="AB275" s="2">
        <v>200</v>
      </c>
      <c r="AC275" s="2">
        <v>400</v>
      </c>
      <c r="AD275" s="2">
        <v>500</v>
      </c>
      <c r="AE275" s="2">
        <f t="shared" si="36"/>
        <v>2600</v>
      </c>
      <c r="AF275" s="2">
        <v>1000</v>
      </c>
      <c r="AG275" s="4">
        <v>45760</v>
      </c>
      <c r="AH275" s="2">
        <f t="shared" si="37"/>
        <v>1600</v>
      </c>
      <c r="AI275" s="2">
        <v>500</v>
      </c>
      <c r="AJ275" s="4">
        <v>45790</v>
      </c>
      <c r="AK275" s="2">
        <f t="shared" si="38"/>
        <v>1100</v>
      </c>
      <c r="AL275" s="2">
        <v>500</v>
      </c>
      <c r="AM275" s="4">
        <v>45821</v>
      </c>
      <c r="AN275" s="2">
        <f t="shared" si="39"/>
        <v>600</v>
      </c>
      <c r="AO275" s="2" cm="1">
        <f t="array" ref="AO275">_xlfn.IFS(AN275&gt;=5000,3000,AN275&gt;=2000,1000,AN275&gt;=500,500,AN275&lt;500,AN275)</f>
        <v>500</v>
      </c>
      <c r="AP275" s="4">
        <v>45851</v>
      </c>
      <c r="AQ275" s="2">
        <f t="shared" si="40"/>
        <v>100</v>
      </c>
      <c r="AR275" s="2">
        <v>100</v>
      </c>
      <c r="AS275" s="4">
        <v>45882</v>
      </c>
      <c r="AT275" s="2">
        <f t="shared" si="41"/>
        <v>0</v>
      </c>
      <c r="AU275" s="2" t="s">
        <v>1200</v>
      </c>
      <c r="AV275" s="4" t="s">
        <v>1200</v>
      </c>
      <c r="AW275" s="2" t="s">
        <v>1200</v>
      </c>
      <c r="AX275" s="2">
        <f t="shared" si="42"/>
        <v>2600</v>
      </c>
      <c r="AY275" s="2">
        <f t="shared" si="43"/>
        <v>0</v>
      </c>
      <c r="AZ275" s="2" t="str">
        <f t="shared" si="44"/>
        <v>Paid</v>
      </c>
      <c r="BA275" s="9" t="str" cm="1">
        <f t="array" ref="BA275">_xlfn.IFS(AZ275="Paid","R",AZ275="Unpaid","Q")</f>
        <v>R</v>
      </c>
      <c r="BB275" s="8" t="s">
        <v>2815</v>
      </c>
    </row>
    <row r="276" spans="1:54" x14ac:dyDescent="0.25">
      <c r="A276" s="2">
        <v>275</v>
      </c>
      <c r="B276" s="2">
        <v>275</v>
      </c>
      <c r="C276" s="2" t="s">
        <v>574</v>
      </c>
      <c r="D276" s="2" t="s">
        <v>1926</v>
      </c>
      <c r="E276" s="2" t="s">
        <v>575</v>
      </c>
      <c r="F276" s="4">
        <v>45752</v>
      </c>
      <c r="G276" s="8" t="s">
        <v>21</v>
      </c>
      <c r="H276" s="8" t="s">
        <v>1252</v>
      </c>
      <c r="I276" s="2" t="s">
        <v>14</v>
      </c>
      <c r="J276" s="2" t="s">
        <v>512</v>
      </c>
      <c r="K276" s="2" t="s">
        <v>791</v>
      </c>
      <c r="L276" s="2" t="s">
        <v>1256</v>
      </c>
      <c r="M276" s="2" t="s">
        <v>1263</v>
      </c>
      <c r="N276" s="2" t="s">
        <v>2290</v>
      </c>
      <c r="O276" s="4">
        <v>38488</v>
      </c>
      <c r="P276" s="2" t="s">
        <v>2713</v>
      </c>
      <c r="Q276" s="2" t="s">
        <v>2500</v>
      </c>
      <c r="R276" s="2" t="s">
        <v>2393</v>
      </c>
      <c r="S276" s="2" t="s">
        <v>788</v>
      </c>
      <c r="T276" s="2" t="s">
        <v>1562</v>
      </c>
      <c r="U276" s="2" t="s">
        <v>1284</v>
      </c>
      <c r="V276" s="2">
        <v>7246882897</v>
      </c>
      <c r="W276" s="2" t="s">
        <v>1078</v>
      </c>
      <c r="X276" s="2" t="s">
        <v>807</v>
      </c>
      <c r="Y276" s="2" t="s">
        <v>1184</v>
      </c>
      <c r="Z276" s="2" t="s">
        <v>1185</v>
      </c>
      <c r="AA276" s="2">
        <v>3000</v>
      </c>
      <c r="AB276" s="2">
        <v>200</v>
      </c>
      <c r="AC276" s="2">
        <v>300</v>
      </c>
      <c r="AD276" s="2">
        <v>300</v>
      </c>
      <c r="AE276" s="2">
        <f t="shared" si="36"/>
        <v>3200</v>
      </c>
      <c r="AF276" s="2">
        <v>1000</v>
      </c>
      <c r="AG276" s="4">
        <v>45762</v>
      </c>
      <c r="AH276" s="2">
        <f t="shared" si="37"/>
        <v>2200</v>
      </c>
      <c r="AI276" s="2">
        <v>1000</v>
      </c>
      <c r="AJ276" s="4">
        <v>45792</v>
      </c>
      <c r="AK276" s="2">
        <f t="shared" si="38"/>
        <v>1200</v>
      </c>
      <c r="AL276" s="2">
        <v>500</v>
      </c>
      <c r="AM276" s="4">
        <v>45823</v>
      </c>
      <c r="AN276" s="2">
        <f t="shared" si="39"/>
        <v>700</v>
      </c>
      <c r="AO276" s="2" cm="1">
        <f t="array" ref="AO276">_xlfn.IFS(AN276&gt;=5000,3000,AN276&gt;=2000,1000,AN276&gt;=500,500,AN276&lt;500,AN276)</f>
        <v>500</v>
      </c>
      <c r="AP276" s="4">
        <v>45853</v>
      </c>
      <c r="AQ276" s="2">
        <f t="shared" si="40"/>
        <v>200</v>
      </c>
      <c r="AR276" s="2">
        <v>200</v>
      </c>
      <c r="AS276" s="4">
        <v>45884</v>
      </c>
      <c r="AT276" s="2">
        <f t="shared" si="41"/>
        <v>0</v>
      </c>
      <c r="AU276" s="2" t="s">
        <v>1200</v>
      </c>
      <c r="AV276" s="4" t="s">
        <v>1200</v>
      </c>
      <c r="AW276" s="2" t="s">
        <v>1200</v>
      </c>
      <c r="AX276" s="2">
        <f t="shared" si="42"/>
        <v>3200</v>
      </c>
      <c r="AY276" s="2">
        <f t="shared" si="43"/>
        <v>0</v>
      </c>
      <c r="AZ276" s="2" t="str">
        <f t="shared" si="44"/>
        <v>Paid</v>
      </c>
      <c r="BA276" s="9" t="str" cm="1">
        <f t="array" ref="BA276">_xlfn.IFS(AZ276="Paid","R",AZ276="Unpaid","Q")</f>
        <v>R</v>
      </c>
      <c r="BB276" s="8" t="s">
        <v>2815</v>
      </c>
    </row>
    <row r="277" spans="1:54" x14ac:dyDescent="0.25">
      <c r="A277" s="2">
        <v>276</v>
      </c>
      <c r="B277" s="2">
        <v>276</v>
      </c>
      <c r="C277" s="2" t="s">
        <v>576</v>
      </c>
      <c r="D277" s="2" t="s">
        <v>1927</v>
      </c>
      <c r="E277" s="2" t="s">
        <v>577</v>
      </c>
      <c r="F277" s="4">
        <v>45755</v>
      </c>
      <c r="G277" s="8" t="s">
        <v>21</v>
      </c>
      <c r="H277" s="8" t="s">
        <v>1252</v>
      </c>
      <c r="I277" s="2" t="s">
        <v>14</v>
      </c>
      <c r="J277" s="2" t="s">
        <v>512</v>
      </c>
      <c r="K277" s="2" t="s">
        <v>791</v>
      </c>
      <c r="L277" s="2" t="s">
        <v>1256</v>
      </c>
      <c r="M277" s="2" t="s">
        <v>1263</v>
      </c>
      <c r="N277" s="2" t="s">
        <v>2291</v>
      </c>
      <c r="O277" s="4">
        <v>36244</v>
      </c>
      <c r="P277" s="2" t="s">
        <v>2714</v>
      </c>
      <c r="Q277" s="2" t="s">
        <v>2513</v>
      </c>
      <c r="R277" s="2" t="s">
        <v>2393</v>
      </c>
      <c r="S277" s="2" t="s">
        <v>796</v>
      </c>
      <c r="T277" s="2" t="s">
        <v>1563</v>
      </c>
      <c r="U277" s="2" t="s">
        <v>1276</v>
      </c>
      <c r="V277" s="2">
        <v>8395036208</v>
      </c>
      <c r="W277" s="2" t="s">
        <v>1079</v>
      </c>
      <c r="X277" s="2" t="s">
        <v>801</v>
      </c>
      <c r="Y277" s="2" t="s">
        <v>1184</v>
      </c>
      <c r="Z277" s="2" t="s">
        <v>1185</v>
      </c>
      <c r="AA277" s="2">
        <v>3000</v>
      </c>
      <c r="AB277" s="2">
        <v>200</v>
      </c>
      <c r="AC277" s="2">
        <v>300</v>
      </c>
      <c r="AD277" s="2">
        <v>300</v>
      </c>
      <c r="AE277" s="2">
        <f t="shared" si="36"/>
        <v>3200</v>
      </c>
      <c r="AF277" s="2">
        <v>1000</v>
      </c>
      <c r="AG277" s="4">
        <v>45765</v>
      </c>
      <c r="AH277" s="2">
        <f t="shared" si="37"/>
        <v>2200</v>
      </c>
      <c r="AI277" s="2">
        <v>1000</v>
      </c>
      <c r="AJ277" s="4">
        <v>45795</v>
      </c>
      <c r="AK277" s="2">
        <f t="shared" si="38"/>
        <v>1200</v>
      </c>
      <c r="AL277" s="2">
        <v>500</v>
      </c>
      <c r="AM277" s="4">
        <v>45826</v>
      </c>
      <c r="AN277" s="2">
        <f t="shared" si="39"/>
        <v>700</v>
      </c>
      <c r="AO277" s="2" cm="1">
        <f t="array" ref="AO277">_xlfn.IFS(AN277&gt;=5000,3000,AN277&gt;=2000,1000,AN277&gt;=500,500,AN277&lt;500,AN277)</f>
        <v>500</v>
      </c>
      <c r="AP277" s="4">
        <v>45856</v>
      </c>
      <c r="AQ277" s="2">
        <f t="shared" si="40"/>
        <v>200</v>
      </c>
      <c r="AR277" s="2">
        <v>200</v>
      </c>
      <c r="AS277" s="4">
        <v>45887</v>
      </c>
      <c r="AT277" s="2">
        <f t="shared" si="41"/>
        <v>0</v>
      </c>
      <c r="AU277" s="2" t="s">
        <v>1200</v>
      </c>
      <c r="AV277" s="4" t="s">
        <v>1200</v>
      </c>
      <c r="AW277" s="2" t="s">
        <v>1200</v>
      </c>
      <c r="AX277" s="2">
        <f t="shared" si="42"/>
        <v>3200</v>
      </c>
      <c r="AY277" s="2">
        <f t="shared" si="43"/>
        <v>0</v>
      </c>
      <c r="AZ277" s="2" t="str">
        <f t="shared" si="44"/>
        <v>Paid</v>
      </c>
      <c r="BA277" s="9" t="str" cm="1">
        <f t="array" ref="BA277">_xlfn.IFS(AZ277="Paid","R",AZ277="Unpaid","Q")</f>
        <v>R</v>
      </c>
      <c r="BB277" s="8" t="s">
        <v>2815</v>
      </c>
    </row>
    <row r="278" spans="1:54" x14ac:dyDescent="0.25">
      <c r="A278" s="2">
        <v>277</v>
      </c>
      <c r="B278" s="2">
        <v>277</v>
      </c>
      <c r="C278" s="2" t="s">
        <v>578</v>
      </c>
      <c r="D278" s="2" t="s">
        <v>1928</v>
      </c>
      <c r="E278" s="2" t="s">
        <v>579</v>
      </c>
      <c r="F278" s="4">
        <v>45756</v>
      </c>
      <c r="G278" s="8" t="s">
        <v>18</v>
      </c>
      <c r="H278" s="8" t="s">
        <v>1253</v>
      </c>
      <c r="I278" s="2" t="s">
        <v>9</v>
      </c>
      <c r="J278" s="2" t="s">
        <v>512</v>
      </c>
      <c r="K278" s="2" t="s">
        <v>795</v>
      </c>
      <c r="L278" s="2" t="s">
        <v>1260</v>
      </c>
      <c r="M278" s="2" t="s">
        <v>1261</v>
      </c>
      <c r="N278" s="2" t="s">
        <v>2292</v>
      </c>
      <c r="O278" s="4">
        <v>38386</v>
      </c>
      <c r="P278" s="2" t="s">
        <v>2715</v>
      </c>
      <c r="Q278" s="2" t="s">
        <v>2442</v>
      </c>
      <c r="R278" s="2" t="s">
        <v>2393</v>
      </c>
      <c r="S278" s="2" t="s">
        <v>820</v>
      </c>
      <c r="T278" s="2" t="s">
        <v>1564</v>
      </c>
      <c r="U278" s="2" t="s">
        <v>1272</v>
      </c>
      <c r="V278" s="2">
        <v>9997800109</v>
      </c>
      <c r="W278" s="2" t="s">
        <v>1080</v>
      </c>
      <c r="X278" s="2" t="s">
        <v>801</v>
      </c>
      <c r="Y278" s="2" t="s">
        <v>1184</v>
      </c>
      <c r="Z278" s="2" t="s">
        <v>1185</v>
      </c>
      <c r="AA278" s="2">
        <v>7000</v>
      </c>
      <c r="AB278" s="2">
        <v>200</v>
      </c>
      <c r="AC278" s="2">
        <v>800</v>
      </c>
      <c r="AD278" s="2">
        <v>300</v>
      </c>
      <c r="AE278" s="2">
        <f t="shared" si="36"/>
        <v>7700</v>
      </c>
      <c r="AF278" s="2">
        <v>2500</v>
      </c>
      <c r="AG278" s="4">
        <v>45766</v>
      </c>
      <c r="AH278" s="2">
        <f t="shared" si="37"/>
        <v>5200</v>
      </c>
      <c r="AI278" s="2">
        <v>3000</v>
      </c>
      <c r="AJ278" s="4">
        <v>45796</v>
      </c>
      <c r="AK278" s="2">
        <f t="shared" si="38"/>
        <v>2200</v>
      </c>
      <c r="AL278" s="2">
        <v>1000</v>
      </c>
      <c r="AM278" s="4">
        <v>45827</v>
      </c>
      <c r="AN278" s="2">
        <f t="shared" si="39"/>
        <v>1200</v>
      </c>
      <c r="AO278" s="2" cm="1">
        <f t="array" ref="AO278">_xlfn.IFS(AN278&gt;=5000,3000,AN278&gt;=2000,1000,AN278&gt;=500,500,AN278&lt;500,AN278)</f>
        <v>500</v>
      </c>
      <c r="AP278" s="4">
        <v>45857</v>
      </c>
      <c r="AQ278" s="2">
        <f t="shared" si="40"/>
        <v>700</v>
      </c>
      <c r="AR278" s="2">
        <v>500</v>
      </c>
      <c r="AS278" s="4">
        <v>45888</v>
      </c>
      <c r="AT278" s="2">
        <f t="shared" si="41"/>
        <v>200</v>
      </c>
      <c r="AU278" s="2">
        <v>200</v>
      </c>
      <c r="AV278" s="4">
        <v>45919</v>
      </c>
      <c r="AW278" s="2">
        <v>0</v>
      </c>
      <c r="AX278" s="2">
        <f t="shared" si="42"/>
        <v>7700</v>
      </c>
      <c r="AY278" s="2">
        <f t="shared" si="43"/>
        <v>0</v>
      </c>
      <c r="AZ278" s="2" t="str">
        <f t="shared" si="44"/>
        <v>Paid</v>
      </c>
      <c r="BA278" s="9" t="str" cm="1">
        <f t="array" ref="BA278">_xlfn.IFS(AZ278="Paid","R",AZ278="Unpaid","Q")</f>
        <v>R</v>
      </c>
      <c r="BB278" s="8" t="s">
        <v>2815</v>
      </c>
    </row>
    <row r="279" spans="1:54" x14ac:dyDescent="0.25">
      <c r="A279" s="2">
        <v>278</v>
      </c>
      <c r="B279" s="2">
        <v>278</v>
      </c>
      <c r="C279" s="2" t="s">
        <v>580</v>
      </c>
      <c r="D279" s="2" t="s">
        <v>1929</v>
      </c>
      <c r="E279" s="2" t="s">
        <v>581</v>
      </c>
      <c r="F279" s="4">
        <v>45762</v>
      </c>
      <c r="G279" s="8" t="s">
        <v>18</v>
      </c>
      <c r="H279" s="8" t="s">
        <v>1253</v>
      </c>
      <c r="I279" s="2" t="s">
        <v>9</v>
      </c>
      <c r="J279" s="2" t="s">
        <v>512</v>
      </c>
      <c r="K279" s="2" t="s">
        <v>795</v>
      </c>
      <c r="L279" s="2" t="s">
        <v>1259</v>
      </c>
      <c r="M279" s="2" t="s">
        <v>1262</v>
      </c>
      <c r="N279" s="2" t="s">
        <v>2293</v>
      </c>
      <c r="O279" s="4">
        <v>35678</v>
      </c>
      <c r="P279" s="2" t="s">
        <v>2716</v>
      </c>
      <c r="Q279" s="2" t="s">
        <v>2586</v>
      </c>
      <c r="R279" s="2" t="s">
        <v>2396</v>
      </c>
      <c r="S279" s="2" t="s">
        <v>820</v>
      </c>
      <c r="T279" s="2" t="s">
        <v>1565</v>
      </c>
      <c r="U279" s="2" t="s">
        <v>1272</v>
      </c>
      <c r="V279" s="2">
        <v>7366286090</v>
      </c>
      <c r="W279" s="2" t="s">
        <v>1081</v>
      </c>
      <c r="X279" s="2" t="s">
        <v>1183</v>
      </c>
      <c r="Y279" s="2" t="s">
        <v>1184</v>
      </c>
      <c r="Z279" s="2" t="s">
        <v>1185</v>
      </c>
      <c r="AA279" s="2">
        <v>7000</v>
      </c>
      <c r="AB279" s="2">
        <v>200</v>
      </c>
      <c r="AC279" s="2">
        <v>800</v>
      </c>
      <c r="AD279" s="2">
        <v>0</v>
      </c>
      <c r="AE279" s="2">
        <f t="shared" si="36"/>
        <v>8000</v>
      </c>
      <c r="AF279" s="2">
        <v>2500</v>
      </c>
      <c r="AG279" s="4">
        <v>45772</v>
      </c>
      <c r="AH279" s="2">
        <f t="shared" si="37"/>
        <v>5500</v>
      </c>
      <c r="AI279" s="2">
        <v>3000</v>
      </c>
      <c r="AJ279" s="4">
        <v>45802</v>
      </c>
      <c r="AK279" s="2">
        <f t="shared" si="38"/>
        <v>2500</v>
      </c>
      <c r="AL279" s="2">
        <v>1000</v>
      </c>
      <c r="AM279" s="4">
        <v>45833</v>
      </c>
      <c r="AN279" s="2">
        <f t="shared" si="39"/>
        <v>1500</v>
      </c>
      <c r="AO279" s="2" cm="1">
        <f t="array" ref="AO279">_xlfn.IFS(AN279&gt;=5000,3000,AN279&gt;=2000,1000,AN279&gt;=500,500,AN279&lt;500,AN279)</f>
        <v>500</v>
      </c>
      <c r="AP279" s="4">
        <v>45863</v>
      </c>
      <c r="AQ279" s="2">
        <f t="shared" si="40"/>
        <v>1000</v>
      </c>
      <c r="AR279" s="2">
        <v>1000</v>
      </c>
      <c r="AS279" s="4">
        <v>45894</v>
      </c>
      <c r="AT279" s="2">
        <f t="shared" si="41"/>
        <v>0</v>
      </c>
      <c r="AU279" s="2" t="s">
        <v>1200</v>
      </c>
      <c r="AV279" s="4" t="s">
        <v>1200</v>
      </c>
      <c r="AW279" s="2" t="s">
        <v>1200</v>
      </c>
      <c r="AX279" s="2">
        <f t="shared" si="42"/>
        <v>8000</v>
      </c>
      <c r="AY279" s="2">
        <f t="shared" si="43"/>
        <v>0</v>
      </c>
      <c r="AZ279" s="2" t="str">
        <f t="shared" si="44"/>
        <v>Paid</v>
      </c>
      <c r="BA279" s="9" t="str" cm="1">
        <f t="array" ref="BA279">_xlfn.IFS(AZ279="Paid","R",AZ279="Unpaid","Q")</f>
        <v>R</v>
      </c>
      <c r="BB279" s="8" t="s">
        <v>2815</v>
      </c>
    </row>
    <row r="280" spans="1:54" x14ac:dyDescent="0.25">
      <c r="A280" s="2">
        <v>279</v>
      </c>
      <c r="B280" s="2">
        <v>279</v>
      </c>
      <c r="C280" s="2" t="s">
        <v>582</v>
      </c>
      <c r="D280" s="2" t="s">
        <v>1930</v>
      </c>
      <c r="E280" s="2" t="s">
        <v>583</v>
      </c>
      <c r="F280" s="4">
        <v>45762</v>
      </c>
      <c r="G280" s="8" t="s">
        <v>45</v>
      </c>
      <c r="H280" s="8" t="s">
        <v>1250</v>
      </c>
      <c r="I280" s="2" t="s">
        <v>14</v>
      </c>
      <c r="J280" s="2" t="s">
        <v>512</v>
      </c>
      <c r="K280" s="2" t="s">
        <v>791</v>
      </c>
      <c r="L280" s="2" t="s">
        <v>1256</v>
      </c>
      <c r="M280" s="2" t="s">
        <v>1263</v>
      </c>
      <c r="N280" s="2" t="s">
        <v>2294</v>
      </c>
      <c r="O280" s="4">
        <v>33336</v>
      </c>
      <c r="P280" s="2" t="s">
        <v>2717</v>
      </c>
      <c r="Q280" s="2" t="s">
        <v>2546</v>
      </c>
      <c r="R280" s="2" t="s">
        <v>2393</v>
      </c>
      <c r="S280" s="2" t="s">
        <v>788</v>
      </c>
      <c r="T280" s="2" t="s">
        <v>1566</v>
      </c>
      <c r="U280" s="2" t="s">
        <v>1284</v>
      </c>
      <c r="V280" s="2">
        <v>9858087180</v>
      </c>
      <c r="W280" s="2" t="s">
        <v>1082</v>
      </c>
      <c r="X280" s="2" t="s">
        <v>811</v>
      </c>
      <c r="Y280" s="2" t="s">
        <v>1184</v>
      </c>
      <c r="Z280" s="2" t="s">
        <v>1185</v>
      </c>
      <c r="AA280" s="2">
        <v>2000</v>
      </c>
      <c r="AB280" s="2">
        <v>200</v>
      </c>
      <c r="AC280" s="2">
        <v>300</v>
      </c>
      <c r="AD280" s="2">
        <v>200</v>
      </c>
      <c r="AE280" s="2">
        <f t="shared" si="36"/>
        <v>2300</v>
      </c>
      <c r="AF280" s="2">
        <v>500</v>
      </c>
      <c r="AG280" s="4">
        <v>45772</v>
      </c>
      <c r="AH280" s="2">
        <f t="shared" si="37"/>
        <v>1800</v>
      </c>
      <c r="AI280" s="2">
        <v>500</v>
      </c>
      <c r="AJ280" s="4">
        <v>45802</v>
      </c>
      <c r="AK280" s="2">
        <f t="shared" si="38"/>
        <v>1300</v>
      </c>
      <c r="AL280" s="2">
        <v>500</v>
      </c>
      <c r="AM280" s="4">
        <v>45833</v>
      </c>
      <c r="AN280" s="2">
        <f t="shared" si="39"/>
        <v>800</v>
      </c>
      <c r="AO280" s="2" cm="1">
        <f t="array" ref="AO280">_xlfn.IFS(AN280&gt;=5000,3000,AN280&gt;=2000,1000,AN280&gt;=500,500,AN280&lt;500,AN280)</f>
        <v>500</v>
      </c>
      <c r="AP280" s="4">
        <v>45863</v>
      </c>
      <c r="AQ280" s="2">
        <f t="shared" si="40"/>
        <v>300</v>
      </c>
      <c r="AR280" s="2">
        <v>300</v>
      </c>
      <c r="AS280" s="4">
        <v>45894</v>
      </c>
      <c r="AT280" s="2">
        <f t="shared" si="41"/>
        <v>0</v>
      </c>
      <c r="AU280" s="2" t="s">
        <v>1200</v>
      </c>
      <c r="AV280" s="4" t="s">
        <v>1200</v>
      </c>
      <c r="AW280" s="2" t="s">
        <v>1200</v>
      </c>
      <c r="AX280" s="2">
        <f t="shared" si="42"/>
        <v>2300</v>
      </c>
      <c r="AY280" s="2">
        <f t="shared" si="43"/>
        <v>0</v>
      </c>
      <c r="AZ280" s="2" t="str">
        <f t="shared" si="44"/>
        <v>Paid</v>
      </c>
      <c r="BA280" s="9" t="str" cm="1">
        <f t="array" ref="BA280">_xlfn.IFS(AZ280="Paid","R",AZ280="Unpaid","Q")</f>
        <v>R</v>
      </c>
      <c r="BB280" s="8" t="s">
        <v>2815</v>
      </c>
    </row>
    <row r="281" spans="1:54" x14ac:dyDescent="0.25">
      <c r="A281" s="2">
        <v>280</v>
      </c>
      <c r="B281" s="2">
        <v>280</v>
      </c>
      <c r="C281" s="2" t="s">
        <v>584</v>
      </c>
      <c r="D281" s="2" t="s">
        <v>1931</v>
      </c>
      <c r="E281" s="2" t="s">
        <v>585</v>
      </c>
      <c r="F281" s="4">
        <v>45764</v>
      </c>
      <c r="G281" s="8" t="s">
        <v>70</v>
      </c>
      <c r="H281" s="8" t="s">
        <v>1247</v>
      </c>
      <c r="I281" s="2" t="s">
        <v>9</v>
      </c>
      <c r="J281" s="2" t="s">
        <v>512</v>
      </c>
      <c r="K281" s="2" t="s">
        <v>795</v>
      </c>
      <c r="L281" s="2" t="s">
        <v>1258</v>
      </c>
      <c r="M281" s="2" t="s">
        <v>1264</v>
      </c>
      <c r="N281" s="2" t="s">
        <v>2295</v>
      </c>
      <c r="O281" s="4">
        <v>35929</v>
      </c>
      <c r="P281" s="2" t="s">
        <v>2718</v>
      </c>
      <c r="Q281" s="2" t="s">
        <v>2409</v>
      </c>
      <c r="R281" s="2" t="s">
        <v>2393</v>
      </c>
      <c r="S281" s="2" t="s">
        <v>788</v>
      </c>
      <c r="T281" s="2" t="s">
        <v>1567</v>
      </c>
      <c r="U281" s="2" t="s">
        <v>1268</v>
      </c>
      <c r="V281" s="2">
        <v>7859446403</v>
      </c>
      <c r="W281" s="2" t="s">
        <v>1083</v>
      </c>
      <c r="X281" s="2" t="s">
        <v>809</v>
      </c>
      <c r="Y281" s="2" t="s">
        <v>1184</v>
      </c>
      <c r="Z281" s="2" t="s">
        <v>1185</v>
      </c>
      <c r="AA281" s="2">
        <v>8000</v>
      </c>
      <c r="AB281" s="2">
        <v>200</v>
      </c>
      <c r="AC281" s="2">
        <v>1000</v>
      </c>
      <c r="AD281" s="2">
        <v>500</v>
      </c>
      <c r="AE281" s="2">
        <f t="shared" si="36"/>
        <v>8700</v>
      </c>
      <c r="AF281" s="2">
        <v>2500</v>
      </c>
      <c r="AG281" s="4">
        <v>45774</v>
      </c>
      <c r="AH281" s="2">
        <f t="shared" si="37"/>
        <v>6200</v>
      </c>
      <c r="AI281" s="2">
        <v>3000</v>
      </c>
      <c r="AJ281" s="4">
        <v>45804</v>
      </c>
      <c r="AK281" s="2">
        <f t="shared" si="38"/>
        <v>3200</v>
      </c>
      <c r="AL281" s="2">
        <v>1000</v>
      </c>
      <c r="AM281" s="4">
        <v>45835</v>
      </c>
      <c r="AN281" s="2">
        <f t="shared" si="39"/>
        <v>2200</v>
      </c>
      <c r="AO281" s="2" cm="1">
        <f t="array" ref="AO281">_xlfn.IFS(AN281&gt;=5000,3000,AN281&gt;=2000,1000,AN281&gt;=500,500,AN281&lt;500,AN281)</f>
        <v>1000</v>
      </c>
      <c r="AP281" s="4">
        <v>45865</v>
      </c>
      <c r="AQ281" s="2">
        <f t="shared" si="40"/>
        <v>1200</v>
      </c>
      <c r="AR281" s="2">
        <v>1000</v>
      </c>
      <c r="AS281" s="4">
        <v>45896</v>
      </c>
      <c r="AT281" s="2">
        <f t="shared" si="41"/>
        <v>200</v>
      </c>
      <c r="AU281" s="2">
        <v>200</v>
      </c>
      <c r="AV281" s="4">
        <v>45927</v>
      </c>
      <c r="AW281" s="2">
        <v>0</v>
      </c>
      <c r="AX281" s="2">
        <f t="shared" si="42"/>
        <v>8700</v>
      </c>
      <c r="AY281" s="2">
        <f t="shared" si="43"/>
        <v>0</v>
      </c>
      <c r="AZ281" s="2" t="str">
        <f t="shared" si="44"/>
        <v>Paid</v>
      </c>
      <c r="BA281" s="9" t="str" cm="1">
        <f t="array" ref="BA281">_xlfn.IFS(AZ281="Paid","R",AZ281="Unpaid","Q")</f>
        <v>R</v>
      </c>
      <c r="BB281" s="8" t="s">
        <v>2815</v>
      </c>
    </row>
    <row r="282" spans="1:54" x14ac:dyDescent="0.25">
      <c r="A282" s="2">
        <v>281</v>
      </c>
      <c r="B282" s="2">
        <v>281</v>
      </c>
      <c r="C282" s="2" t="s">
        <v>586</v>
      </c>
      <c r="D282" s="2" t="s">
        <v>1932</v>
      </c>
      <c r="E282" s="2" t="s">
        <v>587</v>
      </c>
      <c r="F282" s="4">
        <v>45766</v>
      </c>
      <c r="G282" s="8" t="s">
        <v>8</v>
      </c>
      <c r="H282" s="8" t="s">
        <v>1242</v>
      </c>
      <c r="I282" s="2" t="s">
        <v>9</v>
      </c>
      <c r="J282" s="2" t="s">
        <v>551</v>
      </c>
      <c r="K282" s="2" t="s">
        <v>787</v>
      </c>
      <c r="L282" s="2" t="s">
        <v>1258</v>
      </c>
      <c r="M282" s="2" t="s">
        <v>1264</v>
      </c>
      <c r="N282" s="2" t="s">
        <v>2296</v>
      </c>
      <c r="O282" s="4">
        <v>35254</v>
      </c>
      <c r="P282" s="2" t="s">
        <v>2719</v>
      </c>
      <c r="Q282" s="2" t="s">
        <v>2635</v>
      </c>
      <c r="R282" s="2" t="s">
        <v>2393</v>
      </c>
      <c r="S282" s="2" t="s">
        <v>788</v>
      </c>
      <c r="T282" s="2" t="s">
        <v>1568</v>
      </c>
      <c r="U282" s="2" t="s">
        <v>1268</v>
      </c>
      <c r="V282" s="2">
        <v>8527130552</v>
      </c>
      <c r="W282" s="2" t="s">
        <v>1084</v>
      </c>
      <c r="X282" s="2" t="s">
        <v>809</v>
      </c>
      <c r="Y282" s="2" t="s">
        <v>1184</v>
      </c>
      <c r="Z282" s="2" t="s">
        <v>1185</v>
      </c>
      <c r="AA282" s="2">
        <v>12500</v>
      </c>
      <c r="AB282" s="2">
        <v>200</v>
      </c>
      <c r="AC282" s="2">
        <v>1200</v>
      </c>
      <c r="AD282" s="2">
        <v>300</v>
      </c>
      <c r="AE282" s="2">
        <f t="shared" si="36"/>
        <v>13600</v>
      </c>
      <c r="AF282" s="2">
        <v>5000</v>
      </c>
      <c r="AG282" s="4">
        <v>45776</v>
      </c>
      <c r="AH282" s="2">
        <f t="shared" si="37"/>
        <v>8600</v>
      </c>
      <c r="AI282" s="2">
        <v>3000</v>
      </c>
      <c r="AJ282" s="4">
        <v>45806</v>
      </c>
      <c r="AK282" s="2">
        <f t="shared" si="38"/>
        <v>5600</v>
      </c>
      <c r="AL282" s="2">
        <v>3000</v>
      </c>
      <c r="AM282" s="4">
        <v>45837</v>
      </c>
      <c r="AN282" s="2">
        <f t="shared" si="39"/>
        <v>2600</v>
      </c>
      <c r="AO282" s="2" cm="1">
        <f t="array" ref="AO282">_xlfn.IFS(AN282&gt;=5000,3000,AN282&gt;=2000,1000,AN282&gt;=500,500,AN282&lt;500,AN282)</f>
        <v>1000</v>
      </c>
      <c r="AP282" s="4">
        <v>45867</v>
      </c>
      <c r="AQ282" s="2">
        <f t="shared" si="40"/>
        <v>1600</v>
      </c>
      <c r="AR282" s="2">
        <v>1000</v>
      </c>
      <c r="AS282" s="4">
        <v>45898</v>
      </c>
      <c r="AT282" s="2">
        <f t="shared" si="41"/>
        <v>600</v>
      </c>
      <c r="AU282" s="2">
        <v>600</v>
      </c>
      <c r="AV282" s="4">
        <v>45929</v>
      </c>
      <c r="AW282" s="2">
        <v>0</v>
      </c>
      <c r="AX282" s="2">
        <f t="shared" si="42"/>
        <v>13600</v>
      </c>
      <c r="AY282" s="2">
        <f t="shared" si="43"/>
        <v>0</v>
      </c>
      <c r="AZ282" s="2" t="str">
        <f t="shared" si="44"/>
        <v>Paid</v>
      </c>
      <c r="BA282" s="9" t="str" cm="1">
        <f t="array" ref="BA282">_xlfn.IFS(AZ282="Paid","R",AZ282="Unpaid","Q")</f>
        <v>R</v>
      </c>
      <c r="BB282" s="8" t="s">
        <v>2815</v>
      </c>
    </row>
    <row r="283" spans="1:54" x14ac:dyDescent="0.25">
      <c r="A283" s="2">
        <v>282</v>
      </c>
      <c r="B283" s="2">
        <v>282</v>
      </c>
      <c r="C283" s="2" t="s">
        <v>588</v>
      </c>
      <c r="D283" s="2" t="s">
        <v>1933</v>
      </c>
      <c r="E283" s="2" t="s">
        <v>589</v>
      </c>
      <c r="F283" s="4">
        <v>45769</v>
      </c>
      <c r="G283" s="8" t="s">
        <v>29</v>
      </c>
      <c r="H283" s="8" t="s">
        <v>1248</v>
      </c>
      <c r="I283" s="2" t="s">
        <v>14</v>
      </c>
      <c r="J283" s="2" t="s">
        <v>512</v>
      </c>
      <c r="K283" s="2" t="s">
        <v>791</v>
      </c>
      <c r="L283" s="2" t="s">
        <v>1258</v>
      </c>
      <c r="M283" s="2" t="s">
        <v>1264</v>
      </c>
      <c r="N283" s="2" t="s">
        <v>2297</v>
      </c>
      <c r="O283" s="4">
        <v>36997</v>
      </c>
      <c r="P283" s="2" t="s">
        <v>2720</v>
      </c>
      <c r="Q283" s="2" t="s">
        <v>2409</v>
      </c>
      <c r="R283" s="2" t="s">
        <v>2393</v>
      </c>
      <c r="S283" s="2" t="s">
        <v>788</v>
      </c>
      <c r="T283" s="2" t="s">
        <v>1569</v>
      </c>
      <c r="U283" s="2" t="s">
        <v>1268</v>
      </c>
      <c r="V283" s="2">
        <v>6459243444</v>
      </c>
      <c r="W283" s="2" t="s">
        <v>1085</v>
      </c>
      <c r="X283" s="2" t="s">
        <v>809</v>
      </c>
      <c r="Y283" s="2" t="s">
        <v>1184</v>
      </c>
      <c r="Z283" s="2" t="s">
        <v>1185</v>
      </c>
      <c r="AA283" s="2">
        <v>2500</v>
      </c>
      <c r="AB283" s="2">
        <v>200</v>
      </c>
      <c r="AC283" s="2">
        <v>400</v>
      </c>
      <c r="AD283" s="2">
        <v>300</v>
      </c>
      <c r="AE283" s="2">
        <f t="shared" si="36"/>
        <v>2800</v>
      </c>
      <c r="AF283" s="2">
        <v>1000</v>
      </c>
      <c r="AG283" s="4">
        <v>45779</v>
      </c>
      <c r="AH283" s="2">
        <f t="shared" si="37"/>
        <v>1800</v>
      </c>
      <c r="AI283" s="2">
        <v>500</v>
      </c>
      <c r="AJ283" s="4">
        <v>45810</v>
      </c>
      <c r="AK283" s="2">
        <f t="shared" si="38"/>
        <v>1300</v>
      </c>
      <c r="AL283" s="2">
        <v>500</v>
      </c>
      <c r="AM283" s="4">
        <v>45840</v>
      </c>
      <c r="AN283" s="2">
        <f t="shared" si="39"/>
        <v>800</v>
      </c>
      <c r="AO283" s="2" cm="1">
        <f t="array" ref="AO283">_xlfn.IFS(AN283&gt;=5000,3000,AN283&gt;=2000,1000,AN283&gt;=500,500,AN283&lt;500,AN283)</f>
        <v>500</v>
      </c>
      <c r="AP283" s="4">
        <v>45871</v>
      </c>
      <c r="AQ283" s="2">
        <f t="shared" si="40"/>
        <v>300</v>
      </c>
      <c r="AR283" s="2">
        <v>300</v>
      </c>
      <c r="AS283" s="4">
        <v>45902</v>
      </c>
      <c r="AT283" s="2">
        <f t="shared" si="41"/>
        <v>0</v>
      </c>
      <c r="AU283" s="2" t="s">
        <v>1200</v>
      </c>
      <c r="AV283" s="4" t="s">
        <v>1200</v>
      </c>
      <c r="AW283" s="2" t="s">
        <v>1200</v>
      </c>
      <c r="AX283" s="2">
        <f t="shared" si="42"/>
        <v>2800</v>
      </c>
      <c r="AY283" s="2">
        <f t="shared" si="43"/>
        <v>0</v>
      </c>
      <c r="AZ283" s="2" t="str">
        <f t="shared" si="44"/>
        <v>Paid</v>
      </c>
      <c r="BA283" s="9" t="str" cm="1">
        <f t="array" ref="BA283">_xlfn.IFS(AZ283="Paid","R",AZ283="Unpaid","Q")</f>
        <v>R</v>
      </c>
      <c r="BB283" s="8" t="s">
        <v>2815</v>
      </c>
    </row>
    <row r="284" spans="1:54" x14ac:dyDescent="0.25">
      <c r="A284" s="2">
        <v>283</v>
      </c>
      <c r="B284" s="2">
        <v>283</v>
      </c>
      <c r="C284" s="2" t="s">
        <v>590</v>
      </c>
      <c r="D284" s="2" t="s">
        <v>1934</v>
      </c>
      <c r="E284" s="2" t="s">
        <v>591</v>
      </c>
      <c r="F284" s="4">
        <v>45779</v>
      </c>
      <c r="G284" s="8" t="s">
        <v>21</v>
      </c>
      <c r="H284" s="8" t="s">
        <v>1252</v>
      </c>
      <c r="I284" s="2" t="s">
        <v>14</v>
      </c>
      <c r="J284" s="2" t="s">
        <v>512</v>
      </c>
      <c r="K284" s="2" t="s">
        <v>791</v>
      </c>
      <c r="L284" s="2" t="s">
        <v>1259</v>
      </c>
      <c r="M284" s="2" t="s">
        <v>1262</v>
      </c>
      <c r="N284" s="2" t="s">
        <v>2298</v>
      </c>
      <c r="O284" s="4">
        <v>36115</v>
      </c>
      <c r="P284" s="2" t="s">
        <v>2721</v>
      </c>
      <c r="Q284" s="2" t="s">
        <v>2418</v>
      </c>
      <c r="R284" s="2" t="s">
        <v>2393</v>
      </c>
      <c r="S284" s="2" t="s">
        <v>788</v>
      </c>
      <c r="T284" s="2" t="s">
        <v>1570</v>
      </c>
      <c r="U284" s="2" t="s">
        <v>1270</v>
      </c>
      <c r="V284" s="2">
        <v>9886362827</v>
      </c>
      <c r="W284" s="2" t="s">
        <v>1086</v>
      </c>
      <c r="X284" s="2" t="s">
        <v>1183</v>
      </c>
      <c r="Y284" s="2" t="s">
        <v>1184</v>
      </c>
      <c r="Z284" s="2" t="s">
        <v>1185</v>
      </c>
      <c r="AA284" s="2">
        <v>3000</v>
      </c>
      <c r="AB284" s="2">
        <v>200</v>
      </c>
      <c r="AC284" s="2">
        <v>300</v>
      </c>
      <c r="AD284" s="2">
        <v>0</v>
      </c>
      <c r="AE284" s="2">
        <f t="shared" si="36"/>
        <v>3500</v>
      </c>
      <c r="AF284" s="2">
        <v>1000</v>
      </c>
      <c r="AG284" s="4">
        <v>45789</v>
      </c>
      <c r="AH284" s="2">
        <f t="shared" si="37"/>
        <v>2500</v>
      </c>
      <c r="AI284" s="2">
        <v>1000</v>
      </c>
      <c r="AJ284" s="4">
        <v>45820</v>
      </c>
      <c r="AK284" s="2">
        <f t="shared" si="38"/>
        <v>1500</v>
      </c>
      <c r="AL284" s="2">
        <v>500</v>
      </c>
      <c r="AM284" s="4">
        <v>45850</v>
      </c>
      <c r="AN284" s="2">
        <f t="shared" si="39"/>
        <v>1000</v>
      </c>
      <c r="AO284" s="2" cm="1">
        <f t="array" ref="AO284">_xlfn.IFS(AN284&gt;=5000,3000,AN284&gt;=2000,1000,AN284&gt;=500,500,AN284&lt;500,AN284)</f>
        <v>500</v>
      </c>
      <c r="AP284" s="4">
        <v>45881</v>
      </c>
      <c r="AQ284" s="2">
        <f t="shared" si="40"/>
        <v>500</v>
      </c>
      <c r="AR284" s="2">
        <v>500</v>
      </c>
      <c r="AS284" s="4">
        <v>45912</v>
      </c>
      <c r="AT284" s="2">
        <f t="shared" si="41"/>
        <v>0</v>
      </c>
      <c r="AU284" s="2" t="s">
        <v>1200</v>
      </c>
      <c r="AV284" s="4" t="s">
        <v>1200</v>
      </c>
      <c r="AW284" s="2" t="s">
        <v>1200</v>
      </c>
      <c r="AX284" s="2">
        <f t="shared" si="42"/>
        <v>3500</v>
      </c>
      <c r="AY284" s="2">
        <f t="shared" si="43"/>
        <v>0</v>
      </c>
      <c r="AZ284" s="2" t="str">
        <f t="shared" si="44"/>
        <v>Paid</v>
      </c>
      <c r="BA284" s="9" t="str" cm="1">
        <f t="array" ref="BA284">_xlfn.IFS(AZ284="Paid","R",AZ284="Unpaid","Q")</f>
        <v>R</v>
      </c>
      <c r="BB284" s="8" t="s">
        <v>2815</v>
      </c>
    </row>
    <row r="285" spans="1:54" x14ac:dyDescent="0.25">
      <c r="A285" s="2">
        <v>284</v>
      </c>
      <c r="B285" s="2">
        <v>284</v>
      </c>
      <c r="C285" s="2" t="s">
        <v>592</v>
      </c>
      <c r="D285" s="2" t="s">
        <v>1935</v>
      </c>
      <c r="E285" s="2" t="s">
        <v>593</v>
      </c>
      <c r="F285" s="4">
        <v>45779</v>
      </c>
      <c r="G285" s="8" t="s">
        <v>26</v>
      </c>
      <c r="H285" s="8" t="s">
        <v>1243</v>
      </c>
      <c r="I285" s="2" t="s">
        <v>9</v>
      </c>
      <c r="J285" s="2" t="s">
        <v>551</v>
      </c>
      <c r="K285" s="2" t="s">
        <v>787</v>
      </c>
      <c r="L285" s="2" t="s">
        <v>1257</v>
      </c>
      <c r="M285" s="2" t="s">
        <v>1261</v>
      </c>
      <c r="N285" s="2" t="s">
        <v>2299</v>
      </c>
      <c r="O285" s="4">
        <v>32692</v>
      </c>
      <c r="P285" s="2" t="s">
        <v>2722</v>
      </c>
      <c r="Q285" s="2" t="s">
        <v>2449</v>
      </c>
      <c r="R285" s="2" t="s">
        <v>2393</v>
      </c>
      <c r="S285" s="2" t="s">
        <v>792</v>
      </c>
      <c r="T285" s="2" t="s">
        <v>1571</v>
      </c>
      <c r="U285" s="2" t="s">
        <v>1270</v>
      </c>
      <c r="V285" s="2">
        <v>6648847208</v>
      </c>
      <c r="W285" s="2" t="s">
        <v>1087</v>
      </c>
      <c r="X285" s="2" t="s">
        <v>798</v>
      </c>
      <c r="Y285" s="2" t="s">
        <v>1184</v>
      </c>
      <c r="Z285" s="2" t="s">
        <v>1185</v>
      </c>
      <c r="AA285" s="2">
        <v>15000</v>
      </c>
      <c r="AB285" s="2">
        <v>200</v>
      </c>
      <c r="AC285" s="2">
        <v>1200</v>
      </c>
      <c r="AD285" s="2">
        <v>0</v>
      </c>
      <c r="AE285" s="2">
        <f t="shared" si="36"/>
        <v>16400</v>
      </c>
      <c r="AF285" s="2">
        <v>5000</v>
      </c>
      <c r="AG285" s="4">
        <v>45789</v>
      </c>
      <c r="AH285" s="2">
        <f t="shared" si="37"/>
        <v>11400</v>
      </c>
      <c r="AI285" s="2">
        <v>3000</v>
      </c>
      <c r="AJ285" s="4">
        <v>45820</v>
      </c>
      <c r="AK285" s="2">
        <f t="shared" si="38"/>
        <v>8400</v>
      </c>
      <c r="AL285" s="2">
        <v>3000</v>
      </c>
      <c r="AM285" s="4">
        <v>45850</v>
      </c>
      <c r="AN285" s="2">
        <f t="shared" si="39"/>
        <v>5400</v>
      </c>
      <c r="AO285" s="2" cm="1">
        <f t="array" ref="AO285">_xlfn.IFS(AN285&gt;=5000,3000,AN285&gt;=2000,1000,AN285&gt;=500,500,AN285&lt;500,AN285)</f>
        <v>3000</v>
      </c>
      <c r="AP285" s="4">
        <v>45881</v>
      </c>
      <c r="AQ285" s="2">
        <f t="shared" si="40"/>
        <v>2400</v>
      </c>
      <c r="AR285" s="2">
        <v>2000</v>
      </c>
      <c r="AS285" s="4">
        <v>45912</v>
      </c>
      <c r="AT285" s="2">
        <f t="shared" si="41"/>
        <v>400</v>
      </c>
      <c r="AU285" s="2">
        <v>400</v>
      </c>
      <c r="AV285" s="4">
        <v>45942</v>
      </c>
      <c r="AW285" s="2">
        <v>0</v>
      </c>
      <c r="AX285" s="2">
        <f t="shared" si="42"/>
        <v>16400</v>
      </c>
      <c r="AY285" s="2">
        <f t="shared" si="43"/>
        <v>0</v>
      </c>
      <c r="AZ285" s="2" t="str">
        <f t="shared" si="44"/>
        <v>Paid</v>
      </c>
      <c r="BA285" s="9" t="str" cm="1">
        <f t="array" ref="BA285">_xlfn.IFS(AZ285="Paid","R",AZ285="Unpaid","Q")</f>
        <v>R</v>
      </c>
      <c r="BB285" s="8" t="s">
        <v>2817</v>
      </c>
    </row>
    <row r="286" spans="1:54" x14ac:dyDescent="0.25">
      <c r="A286" s="2">
        <v>285</v>
      </c>
      <c r="B286" s="2">
        <v>285</v>
      </c>
      <c r="C286" s="2" t="s">
        <v>594</v>
      </c>
      <c r="D286" s="2" t="s">
        <v>1747</v>
      </c>
      <c r="E286" s="2" t="s">
        <v>595</v>
      </c>
      <c r="F286" s="4">
        <v>45780</v>
      </c>
      <c r="G286" s="8" t="s">
        <v>13</v>
      </c>
      <c r="H286" s="8" t="s">
        <v>1254</v>
      </c>
      <c r="I286" s="2" t="s">
        <v>14</v>
      </c>
      <c r="J286" s="2" t="s">
        <v>512</v>
      </c>
      <c r="K286" s="2" t="s">
        <v>791</v>
      </c>
      <c r="L286" s="2" t="s">
        <v>1257</v>
      </c>
      <c r="M286" s="2" t="s">
        <v>1261</v>
      </c>
      <c r="N286" s="2" t="s">
        <v>2300</v>
      </c>
      <c r="O286" s="4">
        <v>36953</v>
      </c>
      <c r="P286" s="2" t="s">
        <v>2723</v>
      </c>
      <c r="Q286" s="2" t="s">
        <v>2485</v>
      </c>
      <c r="R286" s="2" t="s">
        <v>2393</v>
      </c>
      <c r="S286" s="2" t="s">
        <v>788</v>
      </c>
      <c r="T286" s="2" t="s">
        <v>1572</v>
      </c>
      <c r="U286" s="2" t="s">
        <v>1284</v>
      </c>
      <c r="V286" s="2">
        <v>6249848019</v>
      </c>
      <c r="W286" s="2" t="s">
        <v>1088</v>
      </c>
      <c r="X286" s="2" t="s">
        <v>837</v>
      </c>
      <c r="Y286" s="2" t="s">
        <v>1184</v>
      </c>
      <c r="Z286" s="2" t="s">
        <v>1185</v>
      </c>
      <c r="AA286" s="2">
        <v>3000</v>
      </c>
      <c r="AB286" s="2">
        <v>200</v>
      </c>
      <c r="AC286" s="2">
        <v>500</v>
      </c>
      <c r="AD286" s="2">
        <v>500</v>
      </c>
      <c r="AE286" s="2">
        <f t="shared" si="36"/>
        <v>3200</v>
      </c>
      <c r="AF286" s="2">
        <v>1000</v>
      </c>
      <c r="AG286" s="4">
        <v>45790</v>
      </c>
      <c r="AH286" s="2">
        <f t="shared" si="37"/>
        <v>2200</v>
      </c>
      <c r="AI286" s="2">
        <v>1000</v>
      </c>
      <c r="AJ286" s="4">
        <v>45821</v>
      </c>
      <c r="AK286" s="2">
        <f t="shared" si="38"/>
        <v>1200</v>
      </c>
      <c r="AL286" s="2">
        <v>500</v>
      </c>
      <c r="AM286" s="4">
        <v>45851</v>
      </c>
      <c r="AN286" s="2">
        <f t="shared" si="39"/>
        <v>700</v>
      </c>
      <c r="AO286" s="2" cm="1">
        <f t="array" ref="AO286">_xlfn.IFS(AN286&gt;=5000,3000,AN286&gt;=2000,1000,AN286&gt;=500,500,AN286&lt;500,AN286)</f>
        <v>500</v>
      </c>
      <c r="AP286" s="4">
        <v>45882</v>
      </c>
      <c r="AQ286" s="2">
        <f t="shared" si="40"/>
        <v>200</v>
      </c>
      <c r="AR286" s="2">
        <v>200</v>
      </c>
      <c r="AS286" s="4">
        <v>45913</v>
      </c>
      <c r="AT286" s="2">
        <f t="shared" si="41"/>
        <v>0</v>
      </c>
      <c r="AU286" s="2" t="s">
        <v>1200</v>
      </c>
      <c r="AV286" s="4" t="s">
        <v>1200</v>
      </c>
      <c r="AW286" s="2" t="s">
        <v>1200</v>
      </c>
      <c r="AX286" s="2">
        <f t="shared" si="42"/>
        <v>3200</v>
      </c>
      <c r="AY286" s="2">
        <f t="shared" si="43"/>
        <v>0</v>
      </c>
      <c r="AZ286" s="2" t="str">
        <f t="shared" si="44"/>
        <v>Paid</v>
      </c>
      <c r="BA286" s="9" t="str" cm="1">
        <f t="array" ref="BA286">_xlfn.IFS(AZ286="Paid","R",AZ286="Unpaid","Q")</f>
        <v>R</v>
      </c>
      <c r="BB286" s="8" t="s">
        <v>2815</v>
      </c>
    </row>
    <row r="287" spans="1:54" x14ac:dyDescent="0.25">
      <c r="A287" s="2">
        <v>286</v>
      </c>
      <c r="B287" s="2">
        <v>286</v>
      </c>
      <c r="C287" s="2" t="s">
        <v>596</v>
      </c>
      <c r="D287" s="2" t="s">
        <v>1936</v>
      </c>
      <c r="E287" s="2" t="s">
        <v>597</v>
      </c>
      <c r="F287" s="4">
        <v>45780</v>
      </c>
      <c r="G287" s="8" t="s">
        <v>48</v>
      </c>
      <c r="H287" s="8" t="s">
        <v>1251</v>
      </c>
      <c r="I287" s="2" t="s">
        <v>14</v>
      </c>
      <c r="J287" s="2" t="s">
        <v>512</v>
      </c>
      <c r="K287" s="2" t="s">
        <v>791</v>
      </c>
      <c r="L287" s="2" t="s">
        <v>1260</v>
      </c>
      <c r="M287" s="2" t="s">
        <v>1261</v>
      </c>
      <c r="N287" s="2" t="s">
        <v>2301</v>
      </c>
      <c r="O287" s="4">
        <v>32635</v>
      </c>
      <c r="P287" s="2" t="s">
        <v>2724</v>
      </c>
      <c r="Q287" s="2" t="s">
        <v>2446</v>
      </c>
      <c r="R287" s="2" t="s">
        <v>2393</v>
      </c>
      <c r="S287" s="2" t="s">
        <v>796</v>
      </c>
      <c r="T287" s="2" t="s">
        <v>1573</v>
      </c>
      <c r="U287" s="2" t="s">
        <v>1281</v>
      </c>
      <c r="V287" s="2">
        <v>8729861832</v>
      </c>
      <c r="W287" s="2" t="s">
        <v>1089</v>
      </c>
      <c r="X287" s="2" t="s">
        <v>822</v>
      </c>
      <c r="Y287" s="2" t="s">
        <v>1184</v>
      </c>
      <c r="Z287" s="2" t="s">
        <v>1185</v>
      </c>
      <c r="AA287" s="2">
        <v>3000</v>
      </c>
      <c r="AB287" s="2">
        <v>200</v>
      </c>
      <c r="AC287" s="2">
        <v>500</v>
      </c>
      <c r="AD287" s="2">
        <v>500</v>
      </c>
      <c r="AE287" s="2">
        <f t="shared" si="36"/>
        <v>3200</v>
      </c>
      <c r="AF287" s="2">
        <v>1000</v>
      </c>
      <c r="AG287" s="4">
        <v>45790</v>
      </c>
      <c r="AH287" s="2">
        <f t="shared" si="37"/>
        <v>2200</v>
      </c>
      <c r="AI287" s="2">
        <v>1000</v>
      </c>
      <c r="AJ287" s="4">
        <v>45821</v>
      </c>
      <c r="AK287" s="2">
        <f t="shared" si="38"/>
        <v>1200</v>
      </c>
      <c r="AL287" s="2">
        <v>500</v>
      </c>
      <c r="AM287" s="4">
        <v>45851</v>
      </c>
      <c r="AN287" s="2">
        <f t="shared" si="39"/>
        <v>700</v>
      </c>
      <c r="AO287" s="2" cm="1">
        <f t="array" ref="AO287">_xlfn.IFS(AN287&gt;=5000,3000,AN287&gt;=2000,1000,AN287&gt;=500,500,AN287&lt;500,AN287)</f>
        <v>500</v>
      </c>
      <c r="AP287" s="4">
        <v>45882</v>
      </c>
      <c r="AQ287" s="2">
        <f t="shared" si="40"/>
        <v>200</v>
      </c>
      <c r="AR287" s="2">
        <v>200</v>
      </c>
      <c r="AS287" s="4">
        <v>45913</v>
      </c>
      <c r="AT287" s="2">
        <f t="shared" si="41"/>
        <v>0</v>
      </c>
      <c r="AU287" s="2" t="s">
        <v>1200</v>
      </c>
      <c r="AV287" s="4" t="s">
        <v>1200</v>
      </c>
      <c r="AW287" s="2" t="s">
        <v>1200</v>
      </c>
      <c r="AX287" s="2">
        <f t="shared" si="42"/>
        <v>3200</v>
      </c>
      <c r="AY287" s="2">
        <f t="shared" si="43"/>
        <v>0</v>
      </c>
      <c r="AZ287" s="2" t="str">
        <f t="shared" si="44"/>
        <v>Paid</v>
      </c>
      <c r="BA287" s="9" t="str" cm="1">
        <f t="array" ref="BA287">_xlfn.IFS(AZ287="Paid","R",AZ287="Unpaid","Q")</f>
        <v>R</v>
      </c>
      <c r="BB287" s="8" t="s">
        <v>2815</v>
      </c>
    </row>
    <row r="288" spans="1:54" x14ac:dyDescent="0.25">
      <c r="A288" s="2">
        <v>287</v>
      </c>
      <c r="B288" s="2">
        <v>287</v>
      </c>
      <c r="C288" s="2" t="s">
        <v>598</v>
      </c>
      <c r="D288" s="2" t="s">
        <v>1884</v>
      </c>
      <c r="E288" s="2" t="s">
        <v>599</v>
      </c>
      <c r="F288" s="4">
        <v>45780</v>
      </c>
      <c r="G288" s="8" t="s">
        <v>13</v>
      </c>
      <c r="H288" s="8" t="s">
        <v>1254</v>
      </c>
      <c r="I288" s="2" t="s">
        <v>14</v>
      </c>
      <c r="J288" s="2" t="s">
        <v>512</v>
      </c>
      <c r="K288" s="2" t="s">
        <v>791</v>
      </c>
      <c r="L288" s="2" t="s">
        <v>1260</v>
      </c>
      <c r="M288" s="2" t="s">
        <v>1261</v>
      </c>
      <c r="N288" s="2" t="s">
        <v>2302</v>
      </c>
      <c r="O288" s="4">
        <v>39376</v>
      </c>
      <c r="P288" s="2" t="s">
        <v>2725</v>
      </c>
      <c r="Q288" s="2" t="s">
        <v>2492</v>
      </c>
      <c r="R288" s="2" t="s">
        <v>2393</v>
      </c>
      <c r="S288" s="2" t="s">
        <v>788</v>
      </c>
      <c r="T288" s="2" t="s">
        <v>1574</v>
      </c>
      <c r="U288" s="2" t="s">
        <v>1287</v>
      </c>
      <c r="V288" s="2">
        <v>9113619146</v>
      </c>
      <c r="W288" s="2" t="s">
        <v>1090</v>
      </c>
      <c r="X288" s="2" t="s">
        <v>801</v>
      </c>
      <c r="Y288" s="2" t="s">
        <v>1184</v>
      </c>
      <c r="Z288" s="2" t="s">
        <v>1185</v>
      </c>
      <c r="AA288" s="2">
        <v>3000</v>
      </c>
      <c r="AB288" s="2">
        <v>200</v>
      </c>
      <c r="AC288" s="2">
        <v>500</v>
      </c>
      <c r="AD288" s="2">
        <v>500</v>
      </c>
      <c r="AE288" s="2">
        <f t="shared" si="36"/>
        <v>3200</v>
      </c>
      <c r="AF288" s="2">
        <v>1000</v>
      </c>
      <c r="AG288" s="4">
        <v>45790</v>
      </c>
      <c r="AH288" s="2">
        <f t="shared" si="37"/>
        <v>2200</v>
      </c>
      <c r="AI288" s="2">
        <v>1000</v>
      </c>
      <c r="AJ288" s="4">
        <v>45821</v>
      </c>
      <c r="AK288" s="2">
        <f t="shared" si="38"/>
        <v>1200</v>
      </c>
      <c r="AL288" s="2">
        <v>500</v>
      </c>
      <c r="AM288" s="4">
        <v>45851</v>
      </c>
      <c r="AN288" s="2">
        <f t="shared" si="39"/>
        <v>700</v>
      </c>
      <c r="AO288" s="2" cm="1">
        <f t="array" ref="AO288">_xlfn.IFS(AN288&gt;=5000,3000,AN288&gt;=2000,1000,AN288&gt;=500,500,AN288&lt;500,AN288)</f>
        <v>500</v>
      </c>
      <c r="AP288" s="4">
        <v>45882</v>
      </c>
      <c r="AQ288" s="2">
        <f t="shared" si="40"/>
        <v>200</v>
      </c>
      <c r="AR288" s="2">
        <v>200</v>
      </c>
      <c r="AS288" s="4">
        <v>45913</v>
      </c>
      <c r="AT288" s="2">
        <f t="shared" si="41"/>
        <v>0</v>
      </c>
      <c r="AU288" s="2" t="s">
        <v>1200</v>
      </c>
      <c r="AV288" s="4" t="s">
        <v>1200</v>
      </c>
      <c r="AW288" s="2" t="s">
        <v>1200</v>
      </c>
      <c r="AX288" s="2">
        <f t="shared" si="42"/>
        <v>3200</v>
      </c>
      <c r="AY288" s="2">
        <f t="shared" si="43"/>
        <v>0</v>
      </c>
      <c r="AZ288" s="2" t="str">
        <f t="shared" si="44"/>
        <v>Paid</v>
      </c>
      <c r="BA288" s="9" t="str" cm="1">
        <f t="array" ref="BA288">_xlfn.IFS(AZ288="Paid","R",AZ288="Unpaid","Q")</f>
        <v>R</v>
      </c>
      <c r="BB288" s="8" t="s">
        <v>2815</v>
      </c>
    </row>
    <row r="289" spans="1:54" x14ac:dyDescent="0.25">
      <c r="A289" s="2">
        <v>288</v>
      </c>
      <c r="B289" s="2">
        <v>288</v>
      </c>
      <c r="C289" s="2" t="s">
        <v>600</v>
      </c>
      <c r="D289" s="2" t="s">
        <v>1937</v>
      </c>
      <c r="E289" s="2" t="s">
        <v>601</v>
      </c>
      <c r="F289" s="4">
        <v>45782</v>
      </c>
      <c r="G289" s="8" t="s">
        <v>8</v>
      </c>
      <c r="H289" s="8" t="s">
        <v>1242</v>
      </c>
      <c r="I289" s="2" t="s">
        <v>9</v>
      </c>
      <c r="J289" s="2" t="s">
        <v>551</v>
      </c>
      <c r="K289" s="2" t="s">
        <v>787</v>
      </c>
      <c r="L289" s="2" t="s">
        <v>1256</v>
      </c>
      <c r="M289" s="2" t="s">
        <v>1263</v>
      </c>
      <c r="N289" s="2" t="s">
        <v>2303</v>
      </c>
      <c r="O289" s="4">
        <v>34191</v>
      </c>
      <c r="P289" s="2" t="s">
        <v>2726</v>
      </c>
      <c r="Q289" s="2" t="s">
        <v>2539</v>
      </c>
      <c r="R289" s="2" t="s">
        <v>2393</v>
      </c>
      <c r="S289" s="2" t="s">
        <v>792</v>
      </c>
      <c r="T289" s="2" t="s">
        <v>1575</v>
      </c>
      <c r="U289" s="2" t="s">
        <v>1268</v>
      </c>
      <c r="V289" s="2">
        <v>7048887689</v>
      </c>
      <c r="W289" s="2" t="s">
        <v>1091</v>
      </c>
      <c r="X289" s="2" t="s">
        <v>1183</v>
      </c>
      <c r="Y289" s="2" t="s">
        <v>1184</v>
      </c>
      <c r="Z289" s="2" t="s">
        <v>1185</v>
      </c>
      <c r="AA289" s="2">
        <v>12500</v>
      </c>
      <c r="AB289" s="2">
        <v>200</v>
      </c>
      <c r="AC289" s="2">
        <v>1200</v>
      </c>
      <c r="AD289" s="2">
        <v>300</v>
      </c>
      <c r="AE289" s="2">
        <f t="shared" si="36"/>
        <v>13600</v>
      </c>
      <c r="AF289" s="2">
        <v>5000</v>
      </c>
      <c r="AG289" s="4">
        <v>45792</v>
      </c>
      <c r="AH289" s="2">
        <f t="shared" si="37"/>
        <v>8600</v>
      </c>
      <c r="AI289" s="2">
        <v>3000</v>
      </c>
      <c r="AJ289" s="4">
        <v>45823</v>
      </c>
      <c r="AK289" s="2">
        <f t="shared" si="38"/>
        <v>5600</v>
      </c>
      <c r="AL289" s="2">
        <v>3000</v>
      </c>
      <c r="AM289" s="4">
        <v>45853</v>
      </c>
      <c r="AN289" s="2">
        <f t="shared" si="39"/>
        <v>2600</v>
      </c>
      <c r="AO289" s="2" cm="1">
        <f t="array" ref="AO289">_xlfn.IFS(AN289&gt;=5000,3000,AN289&gt;=2000,1000,AN289&gt;=500,500,AN289&lt;500,AN289)</f>
        <v>1000</v>
      </c>
      <c r="AP289" s="4">
        <v>45884</v>
      </c>
      <c r="AQ289" s="2">
        <f t="shared" si="40"/>
        <v>1600</v>
      </c>
      <c r="AR289" s="2">
        <v>1000</v>
      </c>
      <c r="AS289" s="4">
        <v>45915</v>
      </c>
      <c r="AT289" s="2">
        <f t="shared" si="41"/>
        <v>600</v>
      </c>
      <c r="AU289" s="2">
        <v>600</v>
      </c>
      <c r="AV289" s="4">
        <v>45945</v>
      </c>
      <c r="AW289" s="2">
        <v>0</v>
      </c>
      <c r="AX289" s="2">
        <f t="shared" si="42"/>
        <v>13600</v>
      </c>
      <c r="AY289" s="2">
        <f t="shared" si="43"/>
        <v>0</v>
      </c>
      <c r="AZ289" s="2" t="str">
        <f t="shared" si="44"/>
        <v>Paid</v>
      </c>
      <c r="BA289" s="9" t="str" cm="1">
        <f t="array" ref="BA289">_xlfn.IFS(AZ289="Paid","R",AZ289="Unpaid","Q")</f>
        <v>R</v>
      </c>
      <c r="BB289" s="8" t="s">
        <v>2817</v>
      </c>
    </row>
    <row r="290" spans="1:54" x14ac:dyDescent="0.25">
      <c r="A290" s="2">
        <v>289</v>
      </c>
      <c r="B290" s="2">
        <v>289</v>
      </c>
      <c r="C290" s="2" t="s">
        <v>602</v>
      </c>
      <c r="D290" s="2" t="s">
        <v>1685</v>
      </c>
      <c r="E290" s="2" t="s">
        <v>603</v>
      </c>
      <c r="F290" s="4">
        <v>45785</v>
      </c>
      <c r="G290" s="8" t="s">
        <v>45</v>
      </c>
      <c r="H290" s="8" t="s">
        <v>1250</v>
      </c>
      <c r="I290" s="2" t="s">
        <v>14</v>
      </c>
      <c r="J290" s="2" t="s">
        <v>512</v>
      </c>
      <c r="K290" s="2" t="s">
        <v>791</v>
      </c>
      <c r="L290" s="2" t="s">
        <v>1257</v>
      </c>
      <c r="M290" s="2" t="s">
        <v>1261</v>
      </c>
      <c r="N290" s="2" t="s">
        <v>2304</v>
      </c>
      <c r="O290" s="4">
        <v>38298</v>
      </c>
      <c r="P290" s="2" t="s">
        <v>2727</v>
      </c>
      <c r="Q290" s="2" t="s">
        <v>2539</v>
      </c>
      <c r="R290" s="2" t="s">
        <v>2393</v>
      </c>
      <c r="S290" s="2" t="s">
        <v>788</v>
      </c>
      <c r="T290" s="2" t="s">
        <v>1576</v>
      </c>
      <c r="U290" s="2" t="s">
        <v>1286</v>
      </c>
      <c r="V290" s="2">
        <v>6303190439</v>
      </c>
      <c r="W290" s="2" t="s">
        <v>1092</v>
      </c>
      <c r="X290" s="2" t="s">
        <v>822</v>
      </c>
      <c r="Y290" s="2" t="s">
        <v>1184</v>
      </c>
      <c r="Z290" s="2" t="s">
        <v>1185</v>
      </c>
      <c r="AA290" s="2">
        <v>2000</v>
      </c>
      <c r="AB290" s="2">
        <v>200</v>
      </c>
      <c r="AC290" s="2">
        <v>300</v>
      </c>
      <c r="AD290" s="2">
        <v>200</v>
      </c>
      <c r="AE290" s="2">
        <f t="shared" si="36"/>
        <v>2300</v>
      </c>
      <c r="AF290" s="2">
        <v>500</v>
      </c>
      <c r="AG290" s="4">
        <v>45795</v>
      </c>
      <c r="AH290" s="2">
        <f t="shared" si="37"/>
        <v>1800</v>
      </c>
      <c r="AI290" s="2">
        <v>500</v>
      </c>
      <c r="AJ290" s="4">
        <v>45826</v>
      </c>
      <c r="AK290" s="2">
        <f t="shared" si="38"/>
        <v>1300</v>
      </c>
      <c r="AL290" s="2">
        <v>500</v>
      </c>
      <c r="AM290" s="4">
        <v>45856</v>
      </c>
      <c r="AN290" s="2">
        <f t="shared" si="39"/>
        <v>800</v>
      </c>
      <c r="AO290" s="2" cm="1">
        <f t="array" ref="AO290">_xlfn.IFS(AN290&gt;=5000,3000,AN290&gt;=2000,1000,AN290&gt;=500,500,AN290&lt;500,AN290)</f>
        <v>500</v>
      </c>
      <c r="AP290" s="4">
        <v>45887</v>
      </c>
      <c r="AQ290" s="2">
        <f t="shared" si="40"/>
        <v>300</v>
      </c>
      <c r="AR290" s="2">
        <v>300</v>
      </c>
      <c r="AS290" s="4">
        <v>45918</v>
      </c>
      <c r="AT290" s="2">
        <f t="shared" si="41"/>
        <v>0</v>
      </c>
      <c r="AU290" s="2" t="s">
        <v>1200</v>
      </c>
      <c r="AV290" s="4" t="s">
        <v>1200</v>
      </c>
      <c r="AW290" s="2" t="s">
        <v>1200</v>
      </c>
      <c r="AX290" s="2">
        <f t="shared" si="42"/>
        <v>2300</v>
      </c>
      <c r="AY290" s="2">
        <f t="shared" si="43"/>
        <v>0</v>
      </c>
      <c r="AZ290" s="2" t="str">
        <f t="shared" si="44"/>
        <v>Paid</v>
      </c>
      <c r="BA290" s="9" t="str" cm="1">
        <f t="array" ref="BA290">_xlfn.IFS(AZ290="Paid","R",AZ290="Unpaid","Q")</f>
        <v>R</v>
      </c>
      <c r="BB290" s="8" t="s">
        <v>2815</v>
      </c>
    </row>
    <row r="291" spans="1:54" x14ac:dyDescent="0.25">
      <c r="A291" s="2">
        <v>290</v>
      </c>
      <c r="B291" s="2">
        <v>290</v>
      </c>
      <c r="C291" s="2" t="s">
        <v>604</v>
      </c>
      <c r="D291" s="2" t="s">
        <v>1938</v>
      </c>
      <c r="E291" s="2" t="s">
        <v>605</v>
      </c>
      <c r="F291" s="4">
        <v>45787</v>
      </c>
      <c r="G291" s="8" t="s">
        <v>35</v>
      </c>
      <c r="H291" s="8" t="s">
        <v>1244</v>
      </c>
      <c r="I291" s="2" t="s">
        <v>14</v>
      </c>
      <c r="J291" s="2" t="s">
        <v>512</v>
      </c>
      <c r="K291" s="2" t="s">
        <v>791</v>
      </c>
      <c r="L291" s="2" t="s">
        <v>1259</v>
      </c>
      <c r="M291" s="2" t="s">
        <v>1262</v>
      </c>
      <c r="N291" s="2" t="s">
        <v>2305</v>
      </c>
      <c r="O291" s="4">
        <v>38833</v>
      </c>
      <c r="P291" s="2" t="s">
        <v>2728</v>
      </c>
      <c r="Q291" s="2" t="s">
        <v>2523</v>
      </c>
      <c r="R291" s="2" t="s">
        <v>2393</v>
      </c>
      <c r="S291" s="2" t="s">
        <v>788</v>
      </c>
      <c r="T291" s="2" t="s">
        <v>1577</v>
      </c>
      <c r="U291" s="2" t="s">
        <v>1268</v>
      </c>
      <c r="V291" s="2">
        <v>9353645637</v>
      </c>
      <c r="W291" s="2" t="s">
        <v>1093</v>
      </c>
      <c r="X291" s="2" t="s">
        <v>790</v>
      </c>
      <c r="Y291" s="2" t="s">
        <v>1184</v>
      </c>
      <c r="Z291" s="2" t="s">
        <v>1185</v>
      </c>
      <c r="AA291" s="2">
        <v>3000</v>
      </c>
      <c r="AB291" s="2">
        <v>200</v>
      </c>
      <c r="AC291" s="2">
        <v>500</v>
      </c>
      <c r="AD291" s="2">
        <v>0</v>
      </c>
      <c r="AE291" s="2">
        <f t="shared" si="36"/>
        <v>3700</v>
      </c>
      <c r="AF291" s="2">
        <v>1000</v>
      </c>
      <c r="AG291" s="4">
        <v>45797</v>
      </c>
      <c r="AH291" s="2">
        <f t="shared" si="37"/>
        <v>2700</v>
      </c>
      <c r="AI291" s="2">
        <v>1000</v>
      </c>
      <c r="AJ291" s="4">
        <v>45828</v>
      </c>
      <c r="AK291" s="2">
        <f t="shared" si="38"/>
        <v>1700</v>
      </c>
      <c r="AL291" s="2">
        <v>500</v>
      </c>
      <c r="AM291" s="4">
        <v>45858</v>
      </c>
      <c r="AN291" s="2">
        <f t="shared" si="39"/>
        <v>1200</v>
      </c>
      <c r="AO291" s="2" cm="1">
        <f t="array" ref="AO291">_xlfn.IFS(AN291&gt;=5000,3000,AN291&gt;=2000,1000,AN291&gt;=500,500,AN291&lt;500,AN291)</f>
        <v>500</v>
      </c>
      <c r="AP291" s="4">
        <v>45889</v>
      </c>
      <c r="AQ291" s="2">
        <f t="shared" si="40"/>
        <v>700</v>
      </c>
      <c r="AR291" s="2">
        <v>500</v>
      </c>
      <c r="AS291" s="4">
        <v>45920</v>
      </c>
      <c r="AT291" s="2">
        <f t="shared" si="41"/>
        <v>200</v>
      </c>
      <c r="AU291" s="2">
        <v>200</v>
      </c>
      <c r="AV291" s="4">
        <v>45950</v>
      </c>
      <c r="AW291" s="2">
        <v>0</v>
      </c>
      <c r="AX291" s="2">
        <f t="shared" si="42"/>
        <v>3700</v>
      </c>
      <c r="AY291" s="2">
        <f t="shared" si="43"/>
        <v>0</v>
      </c>
      <c r="AZ291" s="2" t="str">
        <f t="shared" si="44"/>
        <v>Paid</v>
      </c>
      <c r="BA291" s="9" t="str" cm="1">
        <f t="array" ref="BA291">_xlfn.IFS(AZ291="Paid","R",AZ291="Unpaid","Q")</f>
        <v>R</v>
      </c>
      <c r="BB291" s="8" t="s">
        <v>2815</v>
      </c>
    </row>
    <row r="292" spans="1:54" x14ac:dyDescent="0.25">
      <c r="A292" s="2">
        <v>291</v>
      </c>
      <c r="B292" s="2">
        <v>291</v>
      </c>
      <c r="C292" s="2" t="s">
        <v>606</v>
      </c>
      <c r="D292" s="2" t="s">
        <v>1939</v>
      </c>
      <c r="E292" s="2" t="s">
        <v>607</v>
      </c>
      <c r="F292" s="4">
        <v>45787</v>
      </c>
      <c r="G292" s="8" t="s">
        <v>45</v>
      </c>
      <c r="H292" s="8" t="s">
        <v>1250</v>
      </c>
      <c r="I292" s="2" t="s">
        <v>14</v>
      </c>
      <c r="J292" s="2" t="s">
        <v>512</v>
      </c>
      <c r="K292" s="2" t="s">
        <v>791</v>
      </c>
      <c r="L292" s="2" t="s">
        <v>1256</v>
      </c>
      <c r="M292" s="2" t="s">
        <v>1263</v>
      </c>
      <c r="N292" s="2" t="s">
        <v>2306</v>
      </c>
      <c r="O292" s="4">
        <v>38970</v>
      </c>
      <c r="P292" s="2" t="s">
        <v>2729</v>
      </c>
      <c r="Q292" s="2" t="s">
        <v>2426</v>
      </c>
      <c r="R292" s="2" t="s">
        <v>2393</v>
      </c>
      <c r="S292" s="2" t="s">
        <v>820</v>
      </c>
      <c r="T292" s="2" t="s">
        <v>1578</v>
      </c>
      <c r="U292" s="2" t="s">
        <v>1286</v>
      </c>
      <c r="V292" s="2">
        <v>6092865512</v>
      </c>
      <c r="W292" s="2" t="s">
        <v>1094</v>
      </c>
      <c r="X292" s="2" t="s">
        <v>1183</v>
      </c>
      <c r="Y292" s="2" t="s">
        <v>1184</v>
      </c>
      <c r="Z292" s="2" t="s">
        <v>1185</v>
      </c>
      <c r="AA292" s="2">
        <v>2000</v>
      </c>
      <c r="AB292" s="2">
        <v>200</v>
      </c>
      <c r="AC292" s="2">
        <v>300</v>
      </c>
      <c r="AD292" s="2">
        <v>0</v>
      </c>
      <c r="AE292" s="2">
        <f t="shared" si="36"/>
        <v>2500</v>
      </c>
      <c r="AF292" s="2">
        <v>1000</v>
      </c>
      <c r="AG292" s="4">
        <v>45797</v>
      </c>
      <c r="AH292" s="2">
        <f t="shared" si="37"/>
        <v>1500</v>
      </c>
      <c r="AI292" s="2">
        <v>500</v>
      </c>
      <c r="AJ292" s="4">
        <v>45828</v>
      </c>
      <c r="AK292" s="2">
        <f t="shared" si="38"/>
        <v>1000</v>
      </c>
      <c r="AL292" s="2">
        <v>500</v>
      </c>
      <c r="AM292" s="4">
        <v>45858</v>
      </c>
      <c r="AN292" s="2">
        <f t="shared" si="39"/>
        <v>500</v>
      </c>
      <c r="AO292" s="2" cm="1">
        <f t="array" ref="AO292">_xlfn.IFS(AN292&gt;=5000,3000,AN292&gt;=2000,1000,AN292&gt;=500,500,AN292&lt;500,AN292)</f>
        <v>500</v>
      </c>
      <c r="AP292" s="4">
        <v>45889</v>
      </c>
      <c r="AQ292" s="2">
        <f t="shared" si="40"/>
        <v>0</v>
      </c>
      <c r="AR292" s="2" t="s">
        <v>1200</v>
      </c>
      <c r="AS292" s="4" t="s">
        <v>1200</v>
      </c>
      <c r="AT292" s="2" t="str">
        <f t="shared" si="41"/>
        <v/>
      </c>
      <c r="AU292" s="2" t="s">
        <v>1200</v>
      </c>
      <c r="AV292" s="4" t="s">
        <v>1200</v>
      </c>
      <c r="AW292" s="2" t="s">
        <v>1200</v>
      </c>
      <c r="AX292" s="2">
        <f t="shared" si="42"/>
        <v>2500</v>
      </c>
      <c r="AY292" s="2">
        <f t="shared" si="43"/>
        <v>0</v>
      </c>
      <c r="AZ292" s="2" t="str">
        <f t="shared" si="44"/>
        <v>Paid</v>
      </c>
      <c r="BA292" s="9" t="str" cm="1">
        <f t="array" ref="BA292">_xlfn.IFS(AZ292="Paid","R",AZ292="Unpaid","Q")</f>
        <v>R</v>
      </c>
      <c r="BB292" s="8" t="s">
        <v>2815</v>
      </c>
    </row>
    <row r="293" spans="1:54" x14ac:dyDescent="0.25">
      <c r="A293" s="2">
        <v>292</v>
      </c>
      <c r="B293" s="2">
        <v>292</v>
      </c>
      <c r="C293" s="2" t="s">
        <v>608</v>
      </c>
      <c r="D293" s="2" t="s">
        <v>1940</v>
      </c>
      <c r="E293" s="2" t="s">
        <v>609</v>
      </c>
      <c r="F293" s="4">
        <v>45788</v>
      </c>
      <c r="G293" s="8" t="s">
        <v>29</v>
      </c>
      <c r="H293" s="8" t="s">
        <v>1248</v>
      </c>
      <c r="I293" s="2" t="s">
        <v>14</v>
      </c>
      <c r="J293" s="2" t="s">
        <v>512</v>
      </c>
      <c r="K293" s="2" t="s">
        <v>791</v>
      </c>
      <c r="L293" s="2" t="s">
        <v>1260</v>
      </c>
      <c r="M293" s="2" t="s">
        <v>1261</v>
      </c>
      <c r="N293" s="2" t="s">
        <v>2307</v>
      </c>
      <c r="O293" s="4">
        <v>34823</v>
      </c>
      <c r="P293" s="2" t="s">
        <v>2730</v>
      </c>
      <c r="Q293" s="2" t="s">
        <v>2485</v>
      </c>
      <c r="R293" s="2" t="s">
        <v>2393</v>
      </c>
      <c r="S293" s="2" t="s">
        <v>788</v>
      </c>
      <c r="T293" s="2" t="s">
        <v>1579</v>
      </c>
      <c r="U293" s="2" t="s">
        <v>1287</v>
      </c>
      <c r="V293" s="2">
        <v>6584110987</v>
      </c>
      <c r="W293" s="2" t="s">
        <v>1095</v>
      </c>
      <c r="X293" s="2" t="s">
        <v>813</v>
      </c>
      <c r="Y293" s="2" t="s">
        <v>1184</v>
      </c>
      <c r="Z293" s="2" t="s">
        <v>1185</v>
      </c>
      <c r="AA293" s="2">
        <v>2500</v>
      </c>
      <c r="AB293" s="2">
        <v>200</v>
      </c>
      <c r="AC293" s="2">
        <v>400</v>
      </c>
      <c r="AD293" s="2">
        <v>0</v>
      </c>
      <c r="AE293" s="2">
        <f t="shared" si="36"/>
        <v>3100</v>
      </c>
      <c r="AF293" s="2">
        <v>1000</v>
      </c>
      <c r="AG293" s="4">
        <v>45798</v>
      </c>
      <c r="AH293" s="2">
        <f t="shared" si="37"/>
        <v>2100</v>
      </c>
      <c r="AI293" s="2">
        <v>1000</v>
      </c>
      <c r="AJ293" s="4">
        <v>45829</v>
      </c>
      <c r="AK293" s="2">
        <f t="shared" si="38"/>
        <v>1100</v>
      </c>
      <c r="AL293" s="2">
        <v>500</v>
      </c>
      <c r="AM293" s="4">
        <v>45859</v>
      </c>
      <c r="AN293" s="2">
        <f t="shared" si="39"/>
        <v>600</v>
      </c>
      <c r="AO293" s="2" cm="1">
        <f t="array" ref="AO293">_xlfn.IFS(AN293&gt;=5000,3000,AN293&gt;=2000,1000,AN293&gt;=500,500,AN293&lt;500,AN293)</f>
        <v>500</v>
      </c>
      <c r="AP293" s="4">
        <v>45890</v>
      </c>
      <c r="AQ293" s="2">
        <f t="shared" si="40"/>
        <v>100</v>
      </c>
      <c r="AR293" s="2">
        <v>100</v>
      </c>
      <c r="AS293" s="4">
        <v>45921</v>
      </c>
      <c r="AT293" s="2">
        <f t="shared" si="41"/>
        <v>0</v>
      </c>
      <c r="AU293" s="2" t="s">
        <v>1200</v>
      </c>
      <c r="AV293" s="4" t="s">
        <v>1200</v>
      </c>
      <c r="AW293" s="2" t="s">
        <v>1200</v>
      </c>
      <c r="AX293" s="2">
        <f t="shared" si="42"/>
        <v>3100</v>
      </c>
      <c r="AY293" s="2">
        <f t="shared" si="43"/>
        <v>0</v>
      </c>
      <c r="AZ293" s="2" t="str">
        <f t="shared" si="44"/>
        <v>Paid</v>
      </c>
      <c r="BA293" s="9" t="str" cm="1">
        <f t="array" ref="BA293">_xlfn.IFS(AZ293="Paid","R",AZ293="Unpaid","Q")</f>
        <v>R</v>
      </c>
      <c r="BB293" s="8" t="s">
        <v>2815</v>
      </c>
    </row>
    <row r="294" spans="1:54" x14ac:dyDescent="0.25">
      <c r="A294" s="2">
        <v>293</v>
      </c>
      <c r="B294" s="2">
        <v>293</v>
      </c>
      <c r="C294" s="2" t="s">
        <v>610</v>
      </c>
      <c r="D294" s="2" t="s">
        <v>1941</v>
      </c>
      <c r="E294" s="2" t="s">
        <v>611</v>
      </c>
      <c r="F294" s="4">
        <v>45789</v>
      </c>
      <c r="G294" s="8" t="s">
        <v>70</v>
      </c>
      <c r="H294" s="8" t="s">
        <v>1247</v>
      </c>
      <c r="I294" s="2" t="s">
        <v>9</v>
      </c>
      <c r="J294" s="2" t="s">
        <v>512</v>
      </c>
      <c r="K294" s="2" t="s">
        <v>795</v>
      </c>
      <c r="L294" s="2" t="s">
        <v>1256</v>
      </c>
      <c r="M294" s="2" t="s">
        <v>1263</v>
      </c>
      <c r="N294" s="2" t="s">
        <v>2308</v>
      </c>
      <c r="O294" s="4">
        <v>35142</v>
      </c>
      <c r="P294" s="2" t="s">
        <v>2618</v>
      </c>
      <c r="Q294" s="2" t="s">
        <v>2635</v>
      </c>
      <c r="R294" s="2" t="s">
        <v>2393</v>
      </c>
      <c r="S294" s="2" t="s">
        <v>788</v>
      </c>
      <c r="T294" s="2" t="s">
        <v>1580</v>
      </c>
      <c r="U294" s="2" t="s">
        <v>1287</v>
      </c>
      <c r="V294" s="2">
        <v>7136962493</v>
      </c>
      <c r="W294" s="2" t="s">
        <v>1096</v>
      </c>
      <c r="X294" s="2" t="s">
        <v>798</v>
      </c>
      <c r="Y294" s="2" t="s">
        <v>1184</v>
      </c>
      <c r="Z294" s="2" t="s">
        <v>1185</v>
      </c>
      <c r="AA294" s="2">
        <v>8000</v>
      </c>
      <c r="AB294" s="2">
        <v>200</v>
      </c>
      <c r="AC294" s="2">
        <v>1000</v>
      </c>
      <c r="AD294" s="2">
        <v>0</v>
      </c>
      <c r="AE294" s="2">
        <f t="shared" si="36"/>
        <v>9200</v>
      </c>
      <c r="AF294" s="2">
        <v>2500</v>
      </c>
      <c r="AG294" s="4">
        <v>45799</v>
      </c>
      <c r="AH294" s="2">
        <f t="shared" si="37"/>
        <v>6700</v>
      </c>
      <c r="AI294" s="2">
        <v>3000</v>
      </c>
      <c r="AJ294" s="4">
        <v>45830</v>
      </c>
      <c r="AK294" s="2">
        <f t="shared" si="38"/>
        <v>3700</v>
      </c>
      <c r="AL294" s="2">
        <v>1000</v>
      </c>
      <c r="AM294" s="4">
        <v>45860</v>
      </c>
      <c r="AN294" s="2">
        <f t="shared" si="39"/>
        <v>2700</v>
      </c>
      <c r="AO294" s="2" cm="1">
        <f t="array" ref="AO294">_xlfn.IFS(AN294&gt;=5000,3000,AN294&gt;=2000,1000,AN294&gt;=500,500,AN294&lt;500,AN294)</f>
        <v>1000</v>
      </c>
      <c r="AP294" s="4">
        <v>45891</v>
      </c>
      <c r="AQ294" s="2">
        <f t="shared" si="40"/>
        <v>1700</v>
      </c>
      <c r="AR294" s="2">
        <v>1000</v>
      </c>
      <c r="AS294" s="4">
        <v>45922</v>
      </c>
      <c r="AT294" s="2">
        <f t="shared" si="41"/>
        <v>700</v>
      </c>
      <c r="AU294" s="2">
        <v>700</v>
      </c>
      <c r="AV294" s="4">
        <v>45952</v>
      </c>
      <c r="AW294" s="2">
        <v>0</v>
      </c>
      <c r="AX294" s="2">
        <f t="shared" si="42"/>
        <v>9200</v>
      </c>
      <c r="AY294" s="2">
        <f t="shared" si="43"/>
        <v>0</v>
      </c>
      <c r="AZ294" s="2" t="str">
        <f t="shared" si="44"/>
        <v>Paid</v>
      </c>
      <c r="BA294" s="9" t="str" cm="1">
        <f t="array" ref="BA294">_xlfn.IFS(AZ294="Paid","R",AZ294="Unpaid","Q")</f>
        <v>R</v>
      </c>
      <c r="BB294" s="8" t="s">
        <v>2815</v>
      </c>
    </row>
    <row r="295" spans="1:54" x14ac:dyDescent="0.25">
      <c r="A295" s="2">
        <v>294</v>
      </c>
      <c r="B295" s="2">
        <v>294</v>
      </c>
      <c r="C295" s="2" t="s">
        <v>612</v>
      </c>
      <c r="D295" s="2" t="s">
        <v>1942</v>
      </c>
      <c r="E295" s="2" t="s">
        <v>613</v>
      </c>
      <c r="F295" s="4">
        <v>45790</v>
      </c>
      <c r="G295" s="8" t="s">
        <v>70</v>
      </c>
      <c r="H295" s="8" t="s">
        <v>1247</v>
      </c>
      <c r="I295" s="2" t="s">
        <v>9</v>
      </c>
      <c r="J295" s="2" t="s">
        <v>512</v>
      </c>
      <c r="K295" s="2" t="s">
        <v>795</v>
      </c>
      <c r="L295" s="2" t="s">
        <v>1258</v>
      </c>
      <c r="M295" s="2" t="s">
        <v>1264</v>
      </c>
      <c r="N295" s="2" t="s">
        <v>2309</v>
      </c>
      <c r="O295" s="4">
        <v>39036</v>
      </c>
      <c r="P295" s="2" t="s">
        <v>2731</v>
      </c>
      <c r="Q295" s="2" t="s">
        <v>2586</v>
      </c>
      <c r="R295" s="2" t="s">
        <v>2393</v>
      </c>
      <c r="S295" s="2" t="s">
        <v>796</v>
      </c>
      <c r="T295" s="2" t="s">
        <v>1581</v>
      </c>
      <c r="U295" s="2" t="s">
        <v>1280</v>
      </c>
      <c r="V295" s="2">
        <v>9384320507</v>
      </c>
      <c r="W295" s="2" t="s">
        <v>1097</v>
      </c>
      <c r="X295" s="2" t="s">
        <v>790</v>
      </c>
      <c r="Y295" s="2" t="s">
        <v>1184</v>
      </c>
      <c r="Z295" s="2" t="s">
        <v>1185</v>
      </c>
      <c r="AA295" s="2">
        <v>8000</v>
      </c>
      <c r="AB295" s="2">
        <v>200</v>
      </c>
      <c r="AC295" s="2">
        <v>1000</v>
      </c>
      <c r="AD295" s="2">
        <v>0</v>
      </c>
      <c r="AE295" s="2">
        <f t="shared" si="36"/>
        <v>9200</v>
      </c>
      <c r="AF295" s="2">
        <v>2500</v>
      </c>
      <c r="AG295" s="4">
        <v>45800</v>
      </c>
      <c r="AH295" s="2">
        <f t="shared" si="37"/>
        <v>6700</v>
      </c>
      <c r="AI295" s="2">
        <v>3000</v>
      </c>
      <c r="AJ295" s="4">
        <v>45831</v>
      </c>
      <c r="AK295" s="2">
        <f t="shared" si="38"/>
        <v>3700</v>
      </c>
      <c r="AL295" s="2">
        <v>1000</v>
      </c>
      <c r="AM295" s="4">
        <v>45861</v>
      </c>
      <c r="AN295" s="2">
        <f t="shared" si="39"/>
        <v>2700</v>
      </c>
      <c r="AO295" s="2" cm="1">
        <f t="array" ref="AO295">_xlfn.IFS(AN295&gt;=5000,3000,AN295&gt;=2000,1000,AN295&gt;=500,500,AN295&lt;500,AN295)</f>
        <v>1000</v>
      </c>
      <c r="AP295" s="4">
        <v>45892</v>
      </c>
      <c r="AQ295" s="2">
        <f t="shared" si="40"/>
        <v>1700</v>
      </c>
      <c r="AR295" s="2">
        <v>1000</v>
      </c>
      <c r="AS295" s="4">
        <v>45923</v>
      </c>
      <c r="AT295" s="2">
        <f t="shared" si="41"/>
        <v>700</v>
      </c>
      <c r="AU295" s="2">
        <v>700</v>
      </c>
      <c r="AV295" s="4">
        <v>45953</v>
      </c>
      <c r="AW295" s="2">
        <v>0</v>
      </c>
      <c r="AX295" s="2">
        <f t="shared" si="42"/>
        <v>9200</v>
      </c>
      <c r="AY295" s="2">
        <f t="shared" si="43"/>
        <v>0</v>
      </c>
      <c r="AZ295" s="2" t="str">
        <f t="shared" si="44"/>
        <v>Paid</v>
      </c>
      <c r="BA295" s="9" t="str" cm="1">
        <f t="array" ref="BA295">_xlfn.IFS(AZ295="Paid","R",AZ295="Unpaid","Q")</f>
        <v>R</v>
      </c>
      <c r="BB295" s="8" t="s">
        <v>2815</v>
      </c>
    </row>
    <row r="296" spans="1:54" x14ac:dyDescent="0.25">
      <c r="A296" s="2">
        <v>295</v>
      </c>
      <c r="B296" s="2">
        <v>295</v>
      </c>
      <c r="C296" s="2" t="s">
        <v>614</v>
      </c>
      <c r="D296" s="2" t="s">
        <v>1943</v>
      </c>
      <c r="E296" s="2" t="s">
        <v>615</v>
      </c>
      <c r="F296" s="4">
        <v>45800</v>
      </c>
      <c r="G296" s="8" t="s">
        <v>70</v>
      </c>
      <c r="H296" s="8" t="s">
        <v>1247</v>
      </c>
      <c r="I296" s="2" t="s">
        <v>9</v>
      </c>
      <c r="J296" s="2" t="s">
        <v>512</v>
      </c>
      <c r="K296" s="2" t="s">
        <v>795</v>
      </c>
      <c r="L296" s="2" t="s">
        <v>1256</v>
      </c>
      <c r="M296" s="2" t="s">
        <v>1263</v>
      </c>
      <c r="N296" s="2" t="s">
        <v>2310</v>
      </c>
      <c r="O296" s="4">
        <v>35285</v>
      </c>
      <c r="P296" s="2" t="s">
        <v>2732</v>
      </c>
      <c r="Q296" s="2" t="s">
        <v>2478</v>
      </c>
      <c r="R296" s="2" t="s">
        <v>2393</v>
      </c>
      <c r="S296" s="2" t="s">
        <v>788</v>
      </c>
      <c r="T296" s="2" t="s">
        <v>1582</v>
      </c>
      <c r="U296" s="2" t="s">
        <v>1275</v>
      </c>
      <c r="V296" s="2">
        <v>7126601322</v>
      </c>
      <c r="W296" s="2" t="s">
        <v>1098</v>
      </c>
      <c r="X296" s="2" t="s">
        <v>809</v>
      </c>
      <c r="Y296" s="2" t="s">
        <v>1184</v>
      </c>
      <c r="Z296" s="2" t="s">
        <v>1185</v>
      </c>
      <c r="AA296" s="2">
        <v>8000</v>
      </c>
      <c r="AB296" s="2">
        <v>200</v>
      </c>
      <c r="AC296" s="2">
        <v>1000</v>
      </c>
      <c r="AD296" s="2">
        <v>500</v>
      </c>
      <c r="AE296" s="2">
        <f t="shared" si="36"/>
        <v>8700</v>
      </c>
      <c r="AF296" s="2">
        <v>2500</v>
      </c>
      <c r="AG296" s="4">
        <v>45810</v>
      </c>
      <c r="AH296" s="2">
        <f t="shared" si="37"/>
        <v>6200</v>
      </c>
      <c r="AI296" s="2">
        <v>3000</v>
      </c>
      <c r="AJ296" s="4">
        <v>45840</v>
      </c>
      <c r="AK296" s="2">
        <f t="shared" si="38"/>
        <v>3200</v>
      </c>
      <c r="AL296" s="2">
        <v>1000</v>
      </c>
      <c r="AM296" s="4">
        <v>45871</v>
      </c>
      <c r="AN296" s="2">
        <f t="shared" si="39"/>
        <v>2200</v>
      </c>
      <c r="AO296" s="2" cm="1">
        <f t="array" ref="AO296">_xlfn.IFS(AN296&gt;=5000,3000,AN296&gt;=2000,1000,AN296&gt;=500,500,AN296&lt;500,AN296)</f>
        <v>1000</v>
      </c>
      <c r="AP296" s="4">
        <v>45902</v>
      </c>
      <c r="AQ296" s="2">
        <f t="shared" si="40"/>
        <v>1200</v>
      </c>
      <c r="AR296" s="2">
        <v>1000</v>
      </c>
      <c r="AS296" s="4">
        <v>45932</v>
      </c>
      <c r="AT296" s="2">
        <f t="shared" si="41"/>
        <v>200</v>
      </c>
      <c r="AU296" s="2">
        <v>200</v>
      </c>
      <c r="AV296" s="4">
        <v>45963</v>
      </c>
      <c r="AW296" s="2">
        <v>0</v>
      </c>
      <c r="AX296" s="2">
        <f t="shared" si="42"/>
        <v>8700</v>
      </c>
      <c r="AY296" s="2">
        <f t="shared" si="43"/>
        <v>0</v>
      </c>
      <c r="AZ296" s="2" t="str">
        <f t="shared" si="44"/>
        <v>Paid</v>
      </c>
      <c r="BA296" s="9" t="str" cm="1">
        <f t="array" ref="BA296">_xlfn.IFS(AZ296="Paid","R",AZ296="Unpaid","Q")</f>
        <v>R</v>
      </c>
      <c r="BB296" s="8" t="s">
        <v>2815</v>
      </c>
    </row>
    <row r="297" spans="1:54" x14ac:dyDescent="0.25">
      <c r="A297" s="2">
        <v>296</v>
      </c>
      <c r="B297" s="2">
        <v>296</v>
      </c>
      <c r="C297" s="2" t="s">
        <v>616</v>
      </c>
      <c r="D297" s="2" t="s">
        <v>1944</v>
      </c>
      <c r="E297" s="2" t="s">
        <v>617</v>
      </c>
      <c r="F297" s="4">
        <v>45810</v>
      </c>
      <c r="G297" s="8" t="s">
        <v>38</v>
      </c>
      <c r="H297" s="8" t="s">
        <v>1246</v>
      </c>
      <c r="I297" s="2" t="s">
        <v>9</v>
      </c>
      <c r="J297" s="2" t="s">
        <v>512</v>
      </c>
      <c r="K297" s="2" t="s">
        <v>795</v>
      </c>
      <c r="L297" s="2" t="s">
        <v>1259</v>
      </c>
      <c r="M297" s="2" t="s">
        <v>1262</v>
      </c>
      <c r="N297" s="2" t="s">
        <v>2311</v>
      </c>
      <c r="O297" s="4">
        <v>35082</v>
      </c>
      <c r="P297" s="2" t="s">
        <v>2733</v>
      </c>
      <c r="Q297" s="2" t="s">
        <v>2449</v>
      </c>
      <c r="R297" s="2" t="s">
        <v>2393</v>
      </c>
      <c r="S297" s="2" t="s">
        <v>792</v>
      </c>
      <c r="T297" s="2" t="s">
        <v>1583</v>
      </c>
      <c r="U297" s="2" t="s">
        <v>1268</v>
      </c>
      <c r="V297" s="2">
        <v>7912236409</v>
      </c>
      <c r="W297" s="2" t="s">
        <v>1099</v>
      </c>
      <c r="X297" s="2" t="s">
        <v>1183</v>
      </c>
      <c r="Y297" s="2" t="s">
        <v>1184</v>
      </c>
      <c r="Z297" s="2" t="s">
        <v>1185</v>
      </c>
      <c r="AA297" s="2">
        <v>6000</v>
      </c>
      <c r="AB297" s="2">
        <v>200</v>
      </c>
      <c r="AC297" s="2">
        <v>800</v>
      </c>
      <c r="AD297" s="2">
        <v>0</v>
      </c>
      <c r="AE297" s="2">
        <f t="shared" si="36"/>
        <v>7000</v>
      </c>
      <c r="AF297" s="2">
        <v>2500</v>
      </c>
      <c r="AG297" s="4">
        <v>45820</v>
      </c>
      <c r="AH297" s="2">
        <f t="shared" si="37"/>
        <v>4500</v>
      </c>
      <c r="AI297" s="2">
        <v>1000</v>
      </c>
      <c r="AJ297" s="4">
        <v>45850</v>
      </c>
      <c r="AK297" s="2">
        <f t="shared" si="38"/>
        <v>3500</v>
      </c>
      <c r="AL297" s="2">
        <v>1000</v>
      </c>
      <c r="AM297" s="4">
        <v>45881</v>
      </c>
      <c r="AN297" s="2">
        <f t="shared" si="39"/>
        <v>2500</v>
      </c>
      <c r="AO297" s="2" cm="1">
        <f t="array" ref="AO297">_xlfn.IFS(AN297&gt;=5000,3000,AN297&gt;=2000,1000,AN297&gt;=500,500,AN297&lt;500,AN297)</f>
        <v>1000</v>
      </c>
      <c r="AP297" s="4">
        <v>45912</v>
      </c>
      <c r="AQ297" s="2">
        <f t="shared" si="40"/>
        <v>1500</v>
      </c>
      <c r="AR297" s="2">
        <v>1000</v>
      </c>
      <c r="AS297" s="4">
        <v>45942</v>
      </c>
      <c r="AT297" s="2">
        <f t="shared" si="41"/>
        <v>500</v>
      </c>
      <c r="AU297" s="2">
        <v>500</v>
      </c>
      <c r="AV297" s="4">
        <v>45973</v>
      </c>
      <c r="AW297" s="2">
        <v>0</v>
      </c>
      <c r="AX297" s="2">
        <f t="shared" si="42"/>
        <v>7000</v>
      </c>
      <c r="AY297" s="2">
        <f t="shared" si="43"/>
        <v>0</v>
      </c>
      <c r="AZ297" s="2" t="str">
        <f t="shared" si="44"/>
        <v>Paid</v>
      </c>
      <c r="BA297" s="9" t="str" cm="1">
        <f t="array" ref="BA297">_xlfn.IFS(AZ297="Paid","R",AZ297="Unpaid","Q")</f>
        <v>R</v>
      </c>
      <c r="BB297" s="8" t="s">
        <v>2815</v>
      </c>
    </row>
    <row r="298" spans="1:54" x14ac:dyDescent="0.25">
      <c r="A298" s="2">
        <v>297</v>
      </c>
      <c r="B298" s="2">
        <v>297</v>
      </c>
      <c r="C298" s="2" t="s">
        <v>618</v>
      </c>
      <c r="D298" s="2" t="s">
        <v>1700</v>
      </c>
      <c r="E298" s="2" t="s">
        <v>619</v>
      </c>
      <c r="F298" s="4">
        <v>45810</v>
      </c>
      <c r="G298" s="8" t="s">
        <v>29</v>
      </c>
      <c r="H298" s="8" t="s">
        <v>1248</v>
      </c>
      <c r="I298" s="2" t="s">
        <v>14</v>
      </c>
      <c r="J298" s="2" t="s">
        <v>512</v>
      </c>
      <c r="K298" s="2" t="s">
        <v>791</v>
      </c>
      <c r="L298" s="2" t="s">
        <v>1256</v>
      </c>
      <c r="M298" s="2" t="s">
        <v>1263</v>
      </c>
      <c r="N298" s="2" t="s">
        <v>2312</v>
      </c>
      <c r="O298" s="4">
        <v>34039</v>
      </c>
      <c r="P298" s="2" t="s">
        <v>2734</v>
      </c>
      <c r="Q298" s="2" t="s">
        <v>2446</v>
      </c>
      <c r="R298" s="2" t="s">
        <v>2396</v>
      </c>
      <c r="S298" s="2" t="s">
        <v>788</v>
      </c>
      <c r="T298" s="2" t="s">
        <v>1584</v>
      </c>
      <c r="U298" s="2" t="s">
        <v>1274</v>
      </c>
      <c r="V298" s="2">
        <v>9895077866</v>
      </c>
      <c r="W298" s="2" t="s">
        <v>1100</v>
      </c>
      <c r="X298" s="2" t="s">
        <v>1183</v>
      </c>
      <c r="Y298" s="2" t="s">
        <v>1184</v>
      </c>
      <c r="Z298" s="2" t="s">
        <v>1185</v>
      </c>
      <c r="AA298" s="2">
        <v>2500</v>
      </c>
      <c r="AB298" s="2">
        <v>200</v>
      </c>
      <c r="AC298" s="2">
        <v>400</v>
      </c>
      <c r="AD298" s="2">
        <v>300</v>
      </c>
      <c r="AE298" s="2">
        <f t="shared" si="36"/>
        <v>2800</v>
      </c>
      <c r="AF298" s="2">
        <v>1000</v>
      </c>
      <c r="AG298" s="4">
        <v>45820</v>
      </c>
      <c r="AH298" s="2">
        <f t="shared" si="37"/>
        <v>1800</v>
      </c>
      <c r="AI298" s="2">
        <v>500</v>
      </c>
      <c r="AJ298" s="4">
        <v>45850</v>
      </c>
      <c r="AK298" s="2">
        <f t="shared" si="38"/>
        <v>1300</v>
      </c>
      <c r="AL298" s="2">
        <v>500</v>
      </c>
      <c r="AM298" s="4">
        <v>45881</v>
      </c>
      <c r="AN298" s="2">
        <f t="shared" si="39"/>
        <v>800</v>
      </c>
      <c r="AO298" s="2" cm="1">
        <f t="array" ref="AO298">_xlfn.IFS(AN298&gt;=5000,3000,AN298&gt;=2000,1000,AN298&gt;=500,500,AN298&lt;500,AN298)</f>
        <v>500</v>
      </c>
      <c r="AP298" s="4">
        <v>45912</v>
      </c>
      <c r="AQ298" s="2">
        <f t="shared" si="40"/>
        <v>300</v>
      </c>
      <c r="AR298" s="2">
        <v>300</v>
      </c>
      <c r="AS298" s="4">
        <v>45942</v>
      </c>
      <c r="AT298" s="2">
        <f t="shared" si="41"/>
        <v>0</v>
      </c>
      <c r="AU298" s="2" t="s">
        <v>1200</v>
      </c>
      <c r="AV298" s="4" t="s">
        <v>1200</v>
      </c>
      <c r="AW298" s="2" t="s">
        <v>1200</v>
      </c>
      <c r="AX298" s="2">
        <f t="shared" si="42"/>
        <v>2800</v>
      </c>
      <c r="AY298" s="2">
        <f t="shared" si="43"/>
        <v>0</v>
      </c>
      <c r="AZ298" s="2" t="str">
        <f t="shared" si="44"/>
        <v>Paid</v>
      </c>
      <c r="BA298" s="9" t="str" cm="1">
        <f t="array" ref="BA298">_xlfn.IFS(AZ298="Paid","R",AZ298="Unpaid","Q")</f>
        <v>R</v>
      </c>
      <c r="BB298" s="8" t="s">
        <v>2815</v>
      </c>
    </row>
    <row r="299" spans="1:54" x14ac:dyDescent="0.25">
      <c r="A299" s="2">
        <v>298</v>
      </c>
      <c r="B299" s="2">
        <v>298</v>
      </c>
      <c r="C299" s="2" t="s">
        <v>620</v>
      </c>
      <c r="D299" s="2" t="s">
        <v>1945</v>
      </c>
      <c r="E299" s="2" t="s">
        <v>621</v>
      </c>
      <c r="F299" s="4">
        <v>45812</v>
      </c>
      <c r="G299" s="8" t="s">
        <v>13</v>
      </c>
      <c r="H299" s="8" t="s">
        <v>1254</v>
      </c>
      <c r="I299" s="2" t="s">
        <v>14</v>
      </c>
      <c r="J299" s="2" t="s">
        <v>512</v>
      </c>
      <c r="K299" s="2" t="s">
        <v>791</v>
      </c>
      <c r="L299" s="2" t="s">
        <v>1259</v>
      </c>
      <c r="M299" s="2" t="s">
        <v>1262</v>
      </c>
      <c r="N299" s="2" t="s">
        <v>2313</v>
      </c>
      <c r="O299" s="4">
        <v>32970</v>
      </c>
      <c r="P299" s="2" t="s">
        <v>2735</v>
      </c>
      <c r="Q299" s="2" t="s">
        <v>2529</v>
      </c>
      <c r="R299" s="2" t="s">
        <v>2393</v>
      </c>
      <c r="S299" s="2" t="s">
        <v>820</v>
      </c>
      <c r="T299" s="2" t="s">
        <v>1585</v>
      </c>
      <c r="U299" s="2" t="s">
        <v>1285</v>
      </c>
      <c r="V299" s="2">
        <v>6104148406</v>
      </c>
      <c r="W299" s="2" t="s">
        <v>1101</v>
      </c>
      <c r="X299" s="2" t="s">
        <v>809</v>
      </c>
      <c r="Y299" s="2" t="s">
        <v>1184</v>
      </c>
      <c r="Z299" s="2" t="s">
        <v>1185</v>
      </c>
      <c r="AA299" s="2">
        <v>3000</v>
      </c>
      <c r="AB299" s="2">
        <v>200</v>
      </c>
      <c r="AC299" s="2">
        <v>500</v>
      </c>
      <c r="AD299" s="2">
        <v>300</v>
      </c>
      <c r="AE299" s="2">
        <f t="shared" si="36"/>
        <v>3400</v>
      </c>
      <c r="AF299" s="2">
        <v>1000</v>
      </c>
      <c r="AG299" s="4">
        <v>45822</v>
      </c>
      <c r="AH299" s="2">
        <f t="shared" si="37"/>
        <v>2400</v>
      </c>
      <c r="AI299" s="2">
        <v>1000</v>
      </c>
      <c r="AJ299" s="4">
        <v>45852</v>
      </c>
      <c r="AK299" s="2">
        <f t="shared" si="38"/>
        <v>1400</v>
      </c>
      <c r="AL299" s="2">
        <v>500</v>
      </c>
      <c r="AM299" s="4">
        <v>45883</v>
      </c>
      <c r="AN299" s="2">
        <f t="shared" si="39"/>
        <v>900</v>
      </c>
      <c r="AO299" s="2" cm="1">
        <f t="array" ref="AO299">_xlfn.IFS(AN299&gt;=5000,3000,AN299&gt;=2000,1000,AN299&gt;=500,500,AN299&lt;500,AN299)</f>
        <v>500</v>
      </c>
      <c r="AP299" s="4">
        <v>45914</v>
      </c>
      <c r="AQ299" s="2">
        <f t="shared" si="40"/>
        <v>400</v>
      </c>
      <c r="AR299" s="2">
        <v>400</v>
      </c>
      <c r="AS299" s="4">
        <v>45944</v>
      </c>
      <c r="AT299" s="2">
        <f t="shared" si="41"/>
        <v>0</v>
      </c>
      <c r="AU299" s="2" t="s">
        <v>1200</v>
      </c>
      <c r="AV299" s="4" t="s">
        <v>1200</v>
      </c>
      <c r="AW299" s="2" t="s">
        <v>1200</v>
      </c>
      <c r="AX299" s="2">
        <f t="shared" si="42"/>
        <v>3400</v>
      </c>
      <c r="AY299" s="2">
        <f t="shared" si="43"/>
        <v>0</v>
      </c>
      <c r="AZ299" s="2" t="str">
        <f t="shared" si="44"/>
        <v>Paid</v>
      </c>
      <c r="BA299" s="9" t="str" cm="1">
        <f t="array" ref="BA299">_xlfn.IFS(AZ299="Paid","R",AZ299="Unpaid","Q")</f>
        <v>R</v>
      </c>
      <c r="BB299" s="8" t="s">
        <v>2815</v>
      </c>
    </row>
    <row r="300" spans="1:54" x14ac:dyDescent="0.25">
      <c r="A300" s="2">
        <v>299</v>
      </c>
      <c r="B300" s="2">
        <v>299</v>
      </c>
      <c r="C300" s="2" t="s">
        <v>622</v>
      </c>
      <c r="D300" s="2" t="s">
        <v>1946</v>
      </c>
      <c r="E300" s="2" t="s">
        <v>623</v>
      </c>
      <c r="F300" s="4">
        <v>45813</v>
      </c>
      <c r="G300" s="8" t="s">
        <v>35</v>
      </c>
      <c r="H300" s="8" t="s">
        <v>1244</v>
      </c>
      <c r="I300" s="2" t="s">
        <v>14</v>
      </c>
      <c r="J300" s="2" t="s">
        <v>512</v>
      </c>
      <c r="K300" s="2" t="s">
        <v>791</v>
      </c>
      <c r="L300" s="2" t="s">
        <v>1260</v>
      </c>
      <c r="M300" s="2" t="s">
        <v>1261</v>
      </c>
      <c r="N300" s="2" t="s">
        <v>2314</v>
      </c>
      <c r="O300" s="4">
        <v>37463</v>
      </c>
      <c r="P300" s="2" t="s">
        <v>2736</v>
      </c>
      <c r="Q300" s="2" t="s">
        <v>2392</v>
      </c>
      <c r="R300" s="2" t="s">
        <v>2396</v>
      </c>
      <c r="S300" s="2" t="s">
        <v>820</v>
      </c>
      <c r="T300" s="2" t="s">
        <v>1586</v>
      </c>
      <c r="U300" s="2" t="s">
        <v>1279</v>
      </c>
      <c r="V300" s="2">
        <v>6962797218</v>
      </c>
      <c r="W300" s="2" t="s">
        <v>1102</v>
      </c>
      <c r="X300" s="2" t="s">
        <v>801</v>
      </c>
      <c r="Y300" s="2" t="s">
        <v>1184</v>
      </c>
      <c r="Z300" s="2" t="s">
        <v>1185</v>
      </c>
      <c r="AA300" s="2">
        <v>3000</v>
      </c>
      <c r="AB300" s="2">
        <v>200</v>
      </c>
      <c r="AC300" s="2">
        <v>500</v>
      </c>
      <c r="AD300" s="2">
        <v>300</v>
      </c>
      <c r="AE300" s="2">
        <f t="shared" si="36"/>
        <v>3400</v>
      </c>
      <c r="AF300" s="2">
        <v>1000</v>
      </c>
      <c r="AG300" s="4">
        <v>45823</v>
      </c>
      <c r="AH300" s="2">
        <f t="shared" si="37"/>
        <v>2400</v>
      </c>
      <c r="AI300" s="2">
        <v>1000</v>
      </c>
      <c r="AJ300" s="4">
        <v>45853</v>
      </c>
      <c r="AK300" s="2">
        <f t="shared" si="38"/>
        <v>1400</v>
      </c>
      <c r="AL300" s="2">
        <v>500</v>
      </c>
      <c r="AM300" s="4">
        <v>45884</v>
      </c>
      <c r="AN300" s="2">
        <f t="shared" si="39"/>
        <v>900</v>
      </c>
      <c r="AO300" s="2" cm="1">
        <f t="array" ref="AO300">_xlfn.IFS(AN300&gt;=5000,3000,AN300&gt;=2000,1000,AN300&gt;=500,500,AN300&lt;500,AN300)</f>
        <v>500</v>
      </c>
      <c r="AP300" s="4">
        <v>45915</v>
      </c>
      <c r="AQ300" s="2">
        <f t="shared" si="40"/>
        <v>400</v>
      </c>
      <c r="AR300" s="2">
        <v>400</v>
      </c>
      <c r="AS300" s="4">
        <v>45945</v>
      </c>
      <c r="AT300" s="2">
        <f t="shared" si="41"/>
        <v>0</v>
      </c>
      <c r="AU300" s="2" t="s">
        <v>1200</v>
      </c>
      <c r="AV300" s="4" t="s">
        <v>1200</v>
      </c>
      <c r="AW300" s="2" t="s">
        <v>1200</v>
      </c>
      <c r="AX300" s="2">
        <f t="shared" si="42"/>
        <v>3400</v>
      </c>
      <c r="AY300" s="2">
        <f t="shared" si="43"/>
        <v>0</v>
      </c>
      <c r="AZ300" s="2" t="str">
        <f t="shared" si="44"/>
        <v>Paid</v>
      </c>
      <c r="BA300" s="9" t="str" cm="1">
        <f t="array" ref="BA300">_xlfn.IFS(AZ300="Paid","R",AZ300="Unpaid","Q")</f>
        <v>R</v>
      </c>
      <c r="BB300" s="8" t="s">
        <v>2815</v>
      </c>
    </row>
    <row r="301" spans="1:54" x14ac:dyDescent="0.25">
      <c r="A301" s="2">
        <v>300</v>
      </c>
      <c r="B301" s="2">
        <v>300</v>
      </c>
      <c r="C301" s="2" t="s">
        <v>624</v>
      </c>
      <c r="D301" s="2" t="s">
        <v>1947</v>
      </c>
      <c r="E301" s="2" t="s">
        <v>625</v>
      </c>
      <c r="F301" s="4">
        <v>45813</v>
      </c>
      <c r="G301" s="8" t="s">
        <v>29</v>
      </c>
      <c r="H301" s="8" t="s">
        <v>1248</v>
      </c>
      <c r="I301" s="2" t="s">
        <v>14</v>
      </c>
      <c r="J301" s="2" t="s">
        <v>512</v>
      </c>
      <c r="K301" s="2" t="s">
        <v>791</v>
      </c>
      <c r="L301" s="2" t="s">
        <v>1259</v>
      </c>
      <c r="M301" s="2" t="s">
        <v>1262</v>
      </c>
      <c r="N301" s="2" t="s">
        <v>2315</v>
      </c>
      <c r="O301" s="4">
        <v>33859</v>
      </c>
      <c r="P301" s="2" t="s">
        <v>2737</v>
      </c>
      <c r="Q301" s="2" t="s">
        <v>2416</v>
      </c>
      <c r="R301" s="2" t="s">
        <v>2393</v>
      </c>
      <c r="S301" s="2" t="s">
        <v>792</v>
      </c>
      <c r="T301" s="2" t="s">
        <v>1587</v>
      </c>
      <c r="U301" s="2" t="s">
        <v>1275</v>
      </c>
      <c r="V301" s="2">
        <v>6748368285</v>
      </c>
      <c r="W301" s="2" t="s">
        <v>1103</v>
      </c>
      <c r="X301" s="2" t="s">
        <v>798</v>
      </c>
      <c r="Y301" s="2" t="s">
        <v>1184</v>
      </c>
      <c r="Z301" s="2" t="s">
        <v>1185</v>
      </c>
      <c r="AA301" s="2">
        <v>2500</v>
      </c>
      <c r="AB301" s="2">
        <v>200</v>
      </c>
      <c r="AC301" s="2">
        <v>400</v>
      </c>
      <c r="AD301" s="2">
        <v>0</v>
      </c>
      <c r="AE301" s="2">
        <f t="shared" si="36"/>
        <v>3100</v>
      </c>
      <c r="AF301" s="2">
        <v>1000</v>
      </c>
      <c r="AG301" s="4">
        <v>45823</v>
      </c>
      <c r="AH301" s="2">
        <f t="shared" si="37"/>
        <v>2100</v>
      </c>
      <c r="AI301" s="2">
        <v>1000</v>
      </c>
      <c r="AJ301" s="4">
        <v>45853</v>
      </c>
      <c r="AK301" s="2">
        <f t="shared" si="38"/>
        <v>1100</v>
      </c>
      <c r="AL301" s="2">
        <v>500</v>
      </c>
      <c r="AM301" s="4">
        <v>45884</v>
      </c>
      <c r="AN301" s="2">
        <f t="shared" si="39"/>
        <v>600</v>
      </c>
      <c r="AO301" s="2" cm="1">
        <f t="array" ref="AO301">_xlfn.IFS(AN301&gt;=5000,3000,AN301&gt;=2000,1000,AN301&gt;=500,500,AN301&lt;500,AN301)</f>
        <v>500</v>
      </c>
      <c r="AP301" s="4">
        <v>45915</v>
      </c>
      <c r="AQ301" s="2">
        <f t="shared" si="40"/>
        <v>100</v>
      </c>
      <c r="AR301" s="2">
        <v>100</v>
      </c>
      <c r="AS301" s="4">
        <v>45945</v>
      </c>
      <c r="AT301" s="2">
        <f t="shared" si="41"/>
        <v>0</v>
      </c>
      <c r="AU301" s="2" t="s">
        <v>1200</v>
      </c>
      <c r="AV301" s="4" t="s">
        <v>1200</v>
      </c>
      <c r="AW301" s="2" t="s">
        <v>1200</v>
      </c>
      <c r="AX301" s="2">
        <f t="shared" si="42"/>
        <v>3100</v>
      </c>
      <c r="AY301" s="2">
        <f t="shared" si="43"/>
        <v>0</v>
      </c>
      <c r="AZ301" s="2" t="str">
        <f t="shared" si="44"/>
        <v>Paid</v>
      </c>
      <c r="BA301" s="9" t="str" cm="1">
        <f t="array" ref="BA301">_xlfn.IFS(AZ301="Paid","R",AZ301="Unpaid","Q")</f>
        <v>R</v>
      </c>
      <c r="BB301" s="8" t="s">
        <v>2815</v>
      </c>
    </row>
    <row r="302" spans="1:54" x14ac:dyDescent="0.25">
      <c r="A302" s="2">
        <v>301</v>
      </c>
      <c r="B302" s="2">
        <v>301</v>
      </c>
      <c r="C302" s="2" t="s">
        <v>626</v>
      </c>
      <c r="D302" s="2" t="s">
        <v>1895</v>
      </c>
      <c r="E302" s="2" t="s">
        <v>627</v>
      </c>
      <c r="F302" s="4">
        <v>45815</v>
      </c>
      <c r="G302" s="8" t="s">
        <v>65</v>
      </c>
      <c r="H302" s="8" t="s">
        <v>65</v>
      </c>
      <c r="I302" s="2" t="s">
        <v>14</v>
      </c>
      <c r="J302" s="2" t="s">
        <v>512</v>
      </c>
      <c r="K302" s="2" t="s">
        <v>791</v>
      </c>
      <c r="L302" s="2" t="s">
        <v>1256</v>
      </c>
      <c r="M302" s="2" t="s">
        <v>1263</v>
      </c>
      <c r="N302" s="2" t="s">
        <v>2316</v>
      </c>
      <c r="O302" s="4">
        <v>37934</v>
      </c>
      <c r="P302" s="2" t="s">
        <v>2738</v>
      </c>
      <c r="Q302" s="2" t="s">
        <v>2414</v>
      </c>
      <c r="R302" s="2" t="s">
        <v>2393</v>
      </c>
      <c r="S302" s="2" t="s">
        <v>820</v>
      </c>
      <c r="T302" s="2" t="s">
        <v>1588</v>
      </c>
      <c r="U302" s="2" t="s">
        <v>1267</v>
      </c>
      <c r="V302" s="2">
        <v>8137198677</v>
      </c>
      <c r="W302" s="2" t="s">
        <v>1104</v>
      </c>
      <c r="X302" s="2" t="s">
        <v>1183</v>
      </c>
      <c r="Y302" s="2" t="s">
        <v>1184</v>
      </c>
      <c r="Z302" s="2" t="s">
        <v>1185</v>
      </c>
      <c r="AA302" s="2">
        <v>2500</v>
      </c>
      <c r="AB302" s="2">
        <v>200</v>
      </c>
      <c r="AC302" s="2">
        <v>500</v>
      </c>
      <c r="AD302" s="2">
        <v>500</v>
      </c>
      <c r="AE302" s="2">
        <f t="shared" si="36"/>
        <v>2700</v>
      </c>
      <c r="AF302" s="2">
        <v>1000</v>
      </c>
      <c r="AG302" s="4">
        <v>45825</v>
      </c>
      <c r="AH302" s="2">
        <f t="shared" si="37"/>
        <v>1700</v>
      </c>
      <c r="AI302" s="2">
        <v>500</v>
      </c>
      <c r="AJ302" s="4">
        <v>45855</v>
      </c>
      <c r="AK302" s="2">
        <f t="shared" si="38"/>
        <v>1200</v>
      </c>
      <c r="AL302" s="2">
        <v>500</v>
      </c>
      <c r="AM302" s="4">
        <v>45886</v>
      </c>
      <c r="AN302" s="2">
        <f t="shared" si="39"/>
        <v>700</v>
      </c>
      <c r="AO302" s="2" cm="1">
        <f t="array" ref="AO302">_xlfn.IFS(AN302&gt;=5000,3000,AN302&gt;=2000,1000,AN302&gt;=500,500,AN302&lt;500,AN302)</f>
        <v>500</v>
      </c>
      <c r="AP302" s="4">
        <v>45917</v>
      </c>
      <c r="AQ302" s="2">
        <f t="shared" si="40"/>
        <v>200</v>
      </c>
      <c r="AR302" s="2">
        <v>200</v>
      </c>
      <c r="AS302" s="4">
        <v>45947</v>
      </c>
      <c r="AT302" s="2">
        <f t="shared" si="41"/>
        <v>0</v>
      </c>
      <c r="AU302" s="2" t="s">
        <v>1200</v>
      </c>
      <c r="AV302" s="4" t="s">
        <v>1200</v>
      </c>
      <c r="AW302" s="2" t="s">
        <v>1200</v>
      </c>
      <c r="AX302" s="2">
        <f t="shared" si="42"/>
        <v>2700</v>
      </c>
      <c r="AY302" s="2">
        <f t="shared" si="43"/>
        <v>0</v>
      </c>
      <c r="AZ302" s="2" t="str">
        <f t="shared" si="44"/>
        <v>Paid</v>
      </c>
      <c r="BA302" s="9" t="str" cm="1">
        <f t="array" ref="BA302">_xlfn.IFS(AZ302="Paid","R",AZ302="Unpaid","Q")</f>
        <v>R</v>
      </c>
      <c r="BB302" s="8" t="s">
        <v>2815</v>
      </c>
    </row>
    <row r="303" spans="1:54" x14ac:dyDescent="0.25">
      <c r="A303" s="2">
        <v>302</v>
      </c>
      <c r="B303" s="2">
        <v>302</v>
      </c>
      <c r="C303" s="2" t="s">
        <v>628</v>
      </c>
      <c r="D303" s="2" t="s">
        <v>1948</v>
      </c>
      <c r="E303" s="2" t="s">
        <v>629</v>
      </c>
      <c r="F303" s="4">
        <v>45821</v>
      </c>
      <c r="G303" s="8" t="s">
        <v>21</v>
      </c>
      <c r="H303" s="8" t="s">
        <v>1252</v>
      </c>
      <c r="I303" s="2" t="s">
        <v>14</v>
      </c>
      <c r="J303" s="2" t="s">
        <v>512</v>
      </c>
      <c r="K303" s="2" t="s">
        <v>791</v>
      </c>
      <c r="L303" s="2" t="s">
        <v>1257</v>
      </c>
      <c r="M303" s="2" t="s">
        <v>1261</v>
      </c>
      <c r="N303" s="2" t="s">
        <v>2317</v>
      </c>
      <c r="O303" s="4">
        <v>36618</v>
      </c>
      <c r="P303" s="2" t="s">
        <v>2455</v>
      </c>
      <c r="Q303" s="2" t="s">
        <v>2546</v>
      </c>
      <c r="R303" s="2" t="s">
        <v>2393</v>
      </c>
      <c r="S303" s="2" t="s">
        <v>820</v>
      </c>
      <c r="T303" s="2" t="s">
        <v>1589</v>
      </c>
      <c r="U303" s="2" t="s">
        <v>1277</v>
      </c>
      <c r="V303" s="2">
        <v>6655271808</v>
      </c>
      <c r="W303" s="2" t="s">
        <v>1105</v>
      </c>
      <c r="X303" s="2" t="s">
        <v>790</v>
      </c>
      <c r="Y303" s="2" t="s">
        <v>1184</v>
      </c>
      <c r="Z303" s="2" t="s">
        <v>1185</v>
      </c>
      <c r="AA303" s="2">
        <v>3000</v>
      </c>
      <c r="AB303" s="2">
        <v>200</v>
      </c>
      <c r="AC303" s="2">
        <v>300</v>
      </c>
      <c r="AD303" s="2">
        <v>500</v>
      </c>
      <c r="AE303" s="2">
        <f t="shared" si="36"/>
        <v>3000</v>
      </c>
      <c r="AF303" s="2">
        <v>1000</v>
      </c>
      <c r="AG303" s="4">
        <v>45831</v>
      </c>
      <c r="AH303" s="2">
        <f t="shared" si="37"/>
        <v>2000</v>
      </c>
      <c r="AI303" s="2">
        <v>1000</v>
      </c>
      <c r="AJ303" s="4">
        <v>45861</v>
      </c>
      <c r="AK303" s="2">
        <f t="shared" si="38"/>
        <v>1000</v>
      </c>
      <c r="AL303" s="2">
        <v>500</v>
      </c>
      <c r="AM303" s="4">
        <v>45892</v>
      </c>
      <c r="AN303" s="2">
        <f t="shared" si="39"/>
        <v>500</v>
      </c>
      <c r="AO303" s="2" cm="1">
        <f t="array" ref="AO303">_xlfn.IFS(AN303&gt;=5000,3000,AN303&gt;=2000,1000,AN303&gt;=500,500,AN303&lt;500,AN303)</f>
        <v>500</v>
      </c>
      <c r="AP303" s="4">
        <v>45923</v>
      </c>
      <c r="AQ303" s="2">
        <f t="shared" si="40"/>
        <v>0</v>
      </c>
      <c r="AR303" s="2" t="s">
        <v>1200</v>
      </c>
      <c r="AS303" s="4" t="s">
        <v>1200</v>
      </c>
      <c r="AT303" s="2" t="str">
        <f t="shared" si="41"/>
        <v/>
      </c>
      <c r="AU303" s="2" t="s">
        <v>1200</v>
      </c>
      <c r="AV303" s="4" t="s">
        <v>1200</v>
      </c>
      <c r="AW303" s="2" t="s">
        <v>1200</v>
      </c>
      <c r="AX303" s="2">
        <f t="shared" si="42"/>
        <v>3000</v>
      </c>
      <c r="AY303" s="2">
        <f t="shared" si="43"/>
        <v>0</v>
      </c>
      <c r="AZ303" s="2" t="str">
        <f t="shared" si="44"/>
        <v>Paid</v>
      </c>
      <c r="BA303" s="9" t="str" cm="1">
        <f t="array" ref="BA303">_xlfn.IFS(AZ303="Paid","R",AZ303="Unpaid","Q")</f>
        <v>R</v>
      </c>
      <c r="BB303" s="8" t="s">
        <v>2815</v>
      </c>
    </row>
    <row r="304" spans="1:54" x14ac:dyDescent="0.25">
      <c r="A304" s="2">
        <v>303</v>
      </c>
      <c r="B304" s="2">
        <v>303</v>
      </c>
      <c r="C304" s="2" t="s">
        <v>630</v>
      </c>
      <c r="D304" s="2" t="s">
        <v>1949</v>
      </c>
      <c r="E304" s="2" t="s">
        <v>631</v>
      </c>
      <c r="F304" s="4">
        <v>45829</v>
      </c>
      <c r="G304" s="8" t="s">
        <v>38</v>
      </c>
      <c r="H304" s="8" t="s">
        <v>1246</v>
      </c>
      <c r="I304" s="2" t="s">
        <v>9</v>
      </c>
      <c r="J304" s="2" t="s">
        <v>512</v>
      </c>
      <c r="K304" s="2" t="s">
        <v>795</v>
      </c>
      <c r="L304" s="2" t="s">
        <v>1260</v>
      </c>
      <c r="M304" s="2" t="s">
        <v>1261</v>
      </c>
      <c r="N304" s="2" t="s">
        <v>2318</v>
      </c>
      <c r="O304" s="4">
        <v>36322</v>
      </c>
      <c r="P304" s="2" t="s">
        <v>2739</v>
      </c>
      <c r="Q304" s="2" t="s">
        <v>2513</v>
      </c>
      <c r="R304" s="2" t="s">
        <v>2393</v>
      </c>
      <c r="S304" s="2" t="s">
        <v>820</v>
      </c>
      <c r="T304" s="2" t="s">
        <v>1590</v>
      </c>
      <c r="U304" s="2" t="s">
        <v>1267</v>
      </c>
      <c r="V304" s="2">
        <v>7065025559</v>
      </c>
      <c r="W304" s="2" t="s">
        <v>1106</v>
      </c>
      <c r="X304" s="2" t="s">
        <v>790</v>
      </c>
      <c r="Y304" s="2" t="s">
        <v>1184</v>
      </c>
      <c r="Z304" s="2" t="s">
        <v>1185</v>
      </c>
      <c r="AA304" s="2">
        <v>6000</v>
      </c>
      <c r="AB304" s="2">
        <v>200</v>
      </c>
      <c r="AC304" s="2">
        <v>800</v>
      </c>
      <c r="AD304" s="2">
        <v>200</v>
      </c>
      <c r="AE304" s="2">
        <f t="shared" si="36"/>
        <v>6800</v>
      </c>
      <c r="AF304" s="2">
        <v>2500</v>
      </c>
      <c r="AG304" s="4">
        <v>45839</v>
      </c>
      <c r="AH304" s="2">
        <f t="shared" si="37"/>
        <v>4300</v>
      </c>
      <c r="AI304" s="2">
        <v>1000</v>
      </c>
      <c r="AJ304" s="4">
        <v>45870</v>
      </c>
      <c r="AK304" s="2">
        <f t="shared" si="38"/>
        <v>3300</v>
      </c>
      <c r="AL304" s="2">
        <v>1000</v>
      </c>
      <c r="AM304" s="4">
        <v>45901</v>
      </c>
      <c r="AN304" s="2">
        <f t="shared" si="39"/>
        <v>2300</v>
      </c>
      <c r="AO304" s="2" cm="1">
        <f t="array" ref="AO304">_xlfn.IFS(AN304&gt;=5000,3000,AN304&gt;=2000,1000,AN304&gt;=500,500,AN304&lt;500,AN304)</f>
        <v>1000</v>
      </c>
      <c r="AP304" s="4">
        <v>45931</v>
      </c>
      <c r="AQ304" s="2">
        <f t="shared" si="40"/>
        <v>1300</v>
      </c>
      <c r="AR304" s="2">
        <v>1000</v>
      </c>
      <c r="AS304" s="4">
        <v>45962</v>
      </c>
      <c r="AT304" s="2">
        <f t="shared" si="41"/>
        <v>300</v>
      </c>
      <c r="AU304" s="2">
        <v>300</v>
      </c>
      <c r="AV304" s="4">
        <v>45992</v>
      </c>
      <c r="AW304" s="2">
        <v>0</v>
      </c>
      <c r="AX304" s="2">
        <f t="shared" si="42"/>
        <v>6800</v>
      </c>
      <c r="AY304" s="2">
        <f t="shared" si="43"/>
        <v>0</v>
      </c>
      <c r="AZ304" s="2" t="str">
        <f t="shared" si="44"/>
        <v>Paid</v>
      </c>
      <c r="BA304" s="9" t="str" cm="1">
        <f t="array" ref="BA304">_xlfn.IFS(AZ304="Paid","R",AZ304="Unpaid","Q")</f>
        <v>R</v>
      </c>
      <c r="BB304" s="8" t="s">
        <v>2815</v>
      </c>
    </row>
    <row r="305" spans="1:54" x14ac:dyDescent="0.25">
      <c r="A305" s="2">
        <v>304</v>
      </c>
      <c r="B305" s="2">
        <v>304</v>
      </c>
      <c r="C305" s="2" t="s">
        <v>632</v>
      </c>
      <c r="D305" s="2" t="s">
        <v>1950</v>
      </c>
      <c r="E305" s="2" t="s">
        <v>633</v>
      </c>
      <c r="F305" s="4">
        <v>45829</v>
      </c>
      <c r="G305" s="8" t="s">
        <v>70</v>
      </c>
      <c r="H305" s="8" t="s">
        <v>1247</v>
      </c>
      <c r="I305" s="2" t="s">
        <v>9</v>
      </c>
      <c r="J305" s="2" t="s">
        <v>512</v>
      </c>
      <c r="K305" s="2" t="s">
        <v>795</v>
      </c>
      <c r="L305" s="2" t="s">
        <v>1256</v>
      </c>
      <c r="M305" s="2" t="s">
        <v>1263</v>
      </c>
      <c r="N305" s="2" t="s">
        <v>2319</v>
      </c>
      <c r="O305" s="4">
        <v>40035</v>
      </c>
      <c r="P305" s="2" t="s">
        <v>2740</v>
      </c>
      <c r="Q305" s="2" t="s">
        <v>2609</v>
      </c>
      <c r="R305" s="2" t="s">
        <v>2396</v>
      </c>
      <c r="S305" s="2" t="s">
        <v>796</v>
      </c>
      <c r="T305" s="2" t="s">
        <v>1591</v>
      </c>
      <c r="U305" s="2" t="s">
        <v>1283</v>
      </c>
      <c r="V305" s="2">
        <v>7757210174</v>
      </c>
      <c r="W305" s="2" t="s">
        <v>1107</v>
      </c>
      <c r="X305" s="2" t="s">
        <v>811</v>
      </c>
      <c r="Y305" s="2" t="s">
        <v>1184</v>
      </c>
      <c r="Z305" s="2" t="s">
        <v>1185</v>
      </c>
      <c r="AA305" s="2">
        <v>8000</v>
      </c>
      <c r="AB305" s="2">
        <v>200</v>
      </c>
      <c r="AC305" s="2">
        <v>1000</v>
      </c>
      <c r="AD305" s="2">
        <v>0</v>
      </c>
      <c r="AE305" s="2">
        <f t="shared" si="36"/>
        <v>9200</v>
      </c>
      <c r="AF305" s="2">
        <v>2500</v>
      </c>
      <c r="AG305" s="4">
        <v>45839</v>
      </c>
      <c r="AH305" s="2">
        <f t="shared" si="37"/>
        <v>6700</v>
      </c>
      <c r="AI305" s="2">
        <v>3000</v>
      </c>
      <c r="AJ305" s="4">
        <v>45870</v>
      </c>
      <c r="AK305" s="2">
        <f t="shared" si="38"/>
        <v>3700</v>
      </c>
      <c r="AL305" s="2">
        <v>1000</v>
      </c>
      <c r="AM305" s="4">
        <v>45901</v>
      </c>
      <c r="AN305" s="2">
        <f t="shared" si="39"/>
        <v>2700</v>
      </c>
      <c r="AO305" s="2" cm="1">
        <f t="array" ref="AO305">_xlfn.IFS(AN305&gt;=5000,3000,AN305&gt;=2000,1000,AN305&gt;=500,500,AN305&lt;500,AN305)</f>
        <v>1000</v>
      </c>
      <c r="AP305" s="4">
        <v>45931</v>
      </c>
      <c r="AQ305" s="2">
        <f t="shared" si="40"/>
        <v>1700</v>
      </c>
      <c r="AR305" s="2">
        <v>1000</v>
      </c>
      <c r="AS305" s="4">
        <v>45962</v>
      </c>
      <c r="AT305" s="2">
        <f t="shared" si="41"/>
        <v>700</v>
      </c>
      <c r="AU305" s="2">
        <v>700</v>
      </c>
      <c r="AV305" s="4">
        <v>45992</v>
      </c>
      <c r="AW305" s="2">
        <v>0</v>
      </c>
      <c r="AX305" s="2">
        <f t="shared" si="42"/>
        <v>9200</v>
      </c>
      <c r="AY305" s="2">
        <f t="shared" si="43"/>
        <v>0</v>
      </c>
      <c r="AZ305" s="2" t="str">
        <f t="shared" si="44"/>
        <v>Paid</v>
      </c>
      <c r="BA305" s="9" t="str" cm="1">
        <f t="array" ref="BA305">_xlfn.IFS(AZ305="Paid","R",AZ305="Unpaid","Q")</f>
        <v>R</v>
      </c>
      <c r="BB305" s="8" t="s">
        <v>2815</v>
      </c>
    </row>
    <row r="306" spans="1:54" x14ac:dyDescent="0.25">
      <c r="A306" s="2">
        <v>305</v>
      </c>
      <c r="B306" s="2">
        <v>305</v>
      </c>
      <c r="C306" s="2" t="s">
        <v>634</v>
      </c>
      <c r="D306" s="2" t="s">
        <v>1951</v>
      </c>
      <c r="E306" s="2" t="s">
        <v>635</v>
      </c>
      <c r="F306" s="4">
        <v>45830</v>
      </c>
      <c r="G306" s="8" t="s">
        <v>70</v>
      </c>
      <c r="H306" s="8" t="s">
        <v>1247</v>
      </c>
      <c r="I306" s="2" t="s">
        <v>9</v>
      </c>
      <c r="J306" s="2" t="s">
        <v>512</v>
      </c>
      <c r="K306" s="2" t="s">
        <v>795</v>
      </c>
      <c r="L306" s="2" t="s">
        <v>1258</v>
      </c>
      <c r="M306" s="2" t="s">
        <v>1264</v>
      </c>
      <c r="N306" s="2" t="s">
        <v>2320</v>
      </c>
      <c r="O306" s="4">
        <v>39738</v>
      </c>
      <c r="P306" s="2" t="s">
        <v>2741</v>
      </c>
      <c r="Q306" s="2" t="s">
        <v>2480</v>
      </c>
      <c r="R306" s="2" t="s">
        <v>2393</v>
      </c>
      <c r="S306" s="2" t="s">
        <v>792</v>
      </c>
      <c r="T306" s="2" t="s">
        <v>1592</v>
      </c>
      <c r="U306" s="2" t="s">
        <v>1286</v>
      </c>
      <c r="V306" s="2">
        <v>8236866269</v>
      </c>
      <c r="W306" s="2" t="s">
        <v>1108</v>
      </c>
      <c r="X306" s="2" t="s">
        <v>794</v>
      </c>
      <c r="Y306" s="2" t="s">
        <v>1184</v>
      </c>
      <c r="Z306" s="2" t="s">
        <v>1185</v>
      </c>
      <c r="AA306" s="2">
        <v>8000</v>
      </c>
      <c r="AB306" s="2">
        <v>200</v>
      </c>
      <c r="AC306" s="2">
        <v>1000</v>
      </c>
      <c r="AD306" s="2">
        <v>500</v>
      </c>
      <c r="AE306" s="2">
        <f t="shared" si="36"/>
        <v>8700</v>
      </c>
      <c r="AF306" s="2">
        <v>2500</v>
      </c>
      <c r="AG306" s="4">
        <v>45840</v>
      </c>
      <c r="AH306" s="2">
        <f t="shared" si="37"/>
        <v>6200</v>
      </c>
      <c r="AI306" s="2">
        <v>3000</v>
      </c>
      <c r="AJ306" s="4">
        <v>45871</v>
      </c>
      <c r="AK306" s="2">
        <f t="shared" si="38"/>
        <v>3200</v>
      </c>
      <c r="AL306" s="2">
        <v>1000</v>
      </c>
      <c r="AM306" s="4">
        <v>45902</v>
      </c>
      <c r="AN306" s="2">
        <f t="shared" si="39"/>
        <v>2200</v>
      </c>
      <c r="AO306" s="2" cm="1">
        <f t="array" ref="AO306">_xlfn.IFS(AN306&gt;=5000,3000,AN306&gt;=2000,1000,AN306&gt;=500,500,AN306&lt;500,AN306)</f>
        <v>1000</v>
      </c>
      <c r="AP306" s="4">
        <v>45932</v>
      </c>
      <c r="AQ306" s="2">
        <f t="shared" si="40"/>
        <v>1200</v>
      </c>
      <c r="AR306" s="2">
        <v>1000</v>
      </c>
      <c r="AS306" s="4">
        <v>45963</v>
      </c>
      <c r="AT306" s="2">
        <f t="shared" si="41"/>
        <v>200</v>
      </c>
      <c r="AU306" s="2">
        <v>200</v>
      </c>
      <c r="AV306" s="4">
        <v>45993</v>
      </c>
      <c r="AW306" s="2">
        <v>0</v>
      </c>
      <c r="AX306" s="2">
        <f t="shared" si="42"/>
        <v>8700</v>
      </c>
      <c r="AY306" s="2">
        <f t="shared" si="43"/>
        <v>0</v>
      </c>
      <c r="AZ306" s="2" t="str">
        <f t="shared" si="44"/>
        <v>Paid</v>
      </c>
      <c r="BA306" s="9" t="str" cm="1">
        <f t="array" ref="BA306">_xlfn.IFS(AZ306="Paid","R",AZ306="Unpaid","Q")</f>
        <v>R</v>
      </c>
      <c r="BB306" s="8" t="s">
        <v>2815</v>
      </c>
    </row>
    <row r="307" spans="1:54" x14ac:dyDescent="0.25">
      <c r="A307" s="2">
        <v>306</v>
      </c>
      <c r="B307" s="2">
        <v>306</v>
      </c>
      <c r="C307" s="2" t="s">
        <v>636</v>
      </c>
      <c r="D307" s="2" t="s">
        <v>1952</v>
      </c>
      <c r="E307" s="2" t="s">
        <v>637</v>
      </c>
      <c r="F307" s="4">
        <v>45833</v>
      </c>
      <c r="G307" s="8" t="s">
        <v>45</v>
      </c>
      <c r="H307" s="8" t="s">
        <v>1250</v>
      </c>
      <c r="I307" s="2" t="s">
        <v>14</v>
      </c>
      <c r="J307" s="2" t="s">
        <v>512</v>
      </c>
      <c r="K307" s="2" t="s">
        <v>791</v>
      </c>
      <c r="L307" s="2" t="s">
        <v>1258</v>
      </c>
      <c r="M307" s="2" t="s">
        <v>1264</v>
      </c>
      <c r="N307" s="2" t="s">
        <v>2321</v>
      </c>
      <c r="O307" s="4">
        <v>33139</v>
      </c>
      <c r="P307" s="2" t="s">
        <v>2742</v>
      </c>
      <c r="Q307" s="2" t="s">
        <v>2426</v>
      </c>
      <c r="R307" s="2" t="s">
        <v>2393</v>
      </c>
      <c r="S307" s="2" t="s">
        <v>820</v>
      </c>
      <c r="T307" s="2" t="s">
        <v>1593</v>
      </c>
      <c r="U307" s="2" t="s">
        <v>1274</v>
      </c>
      <c r="V307" s="2">
        <v>6118936503</v>
      </c>
      <c r="W307" s="2" t="s">
        <v>1109</v>
      </c>
      <c r="X307" s="2" t="s">
        <v>809</v>
      </c>
      <c r="Y307" s="2" t="s">
        <v>1184</v>
      </c>
      <c r="Z307" s="2" t="s">
        <v>1185</v>
      </c>
      <c r="AA307" s="2">
        <v>2000</v>
      </c>
      <c r="AB307" s="2">
        <v>200</v>
      </c>
      <c r="AC307" s="2">
        <v>300</v>
      </c>
      <c r="AD307" s="2">
        <v>0</v>
      </c>
      <c r="AE307" s="2">
        <f t="shared" si="36"/>
        <v>2500</v>
      </c>
      <c r="AF307" s="2">
        <v>1000</v>
      </c>
      <c r="AG307" s="4">
        <v>45843</v>
      </c>
      <c r="AH307" s="2">
        <f t="shared" si="37"/>
        <v>1500</v>
      </c>
      <c r="AI307" s="2">
        <v>500</v>
      </c>
      <c r="AJ307" s="4">
        <v>45874</v>
      </c>
      <c r="AK307" s="2">
        <f t="shared" si="38"/>
        <v>1000</v>
      </c>
      <c r="AL307" s="2">
        <v>500</v>
      </c>
      <c r="AM307" s="4">
        <v>45905</v>
      </c>
      <c r="AN307" s="2">
        <f t="shared" si="39"/>
        <v>500</v>
      </c>
      <c r="AO307" s="2" cm="1">
        <f t="array" ref="AO307">_xlfn.IFS(AN307&gt;=5000,3000,AN307&gt;=2000,1000,AN307&gt;=500,500,AN307&lt;500,AN307)</f>
        <v>500</v>
      </c>
      <c r="AP307" s="4">
        <v>45935</v>
      </c>
      <c r="AQ307" s="2">
        <f t="shared" si="40"/>
        <v>0</v>
      </c>
      <c r="AR307" s="2" t="s">
        <v>1200</v>
      </c>
      <c r="AS307" s="4" t="s">
        <v>1200</v>
      </c>
      <c r="AT307" s="2" t="str">
        <f t="shared" si="41"/>
        <v/>
      </c>
      <c r="AU307" s="2" t="s">
        <v>1200</v>
      </c>
      <c r="AV307" s="4" t="s">
        <v>1200</v>
      </c>
      <c r="AW307" s="2" t="s">
        <v>1200</v>
      </c>
      <c r="AX307" s="2">
        <f t="shared" si="42"/>
        <v>2500</v>
      </c>
      <c r="AY307" s="2">
        <f t="shared" si="43"/>
        <v>0</v>
      </c>
      <c r="AZ307" s="2" t="str">
        <f t="shared" si="44"/>
        <v>Paid</v>
      </c>
      <c r="BA307" s="9" t="str" cm="1">
        <f t="array" ref="BA307">_xlfn.IFS(AZ307="Paid","R",AZ307="Unpaid","Q")</f>
        <v>R</v>
      </c>
      <c r="BB307" s="8" t="s">
        <v>2815</v>
      </c>
    </row>
    <row r="308" spans="1:54" x14ac:dyDescent="0.25">
      <c r="A308" s="2">
        <v>307</v>
      </c>
      <c r="B308" s="2">
        <v>307</v>
      </c>
      <c r="C308" s="2" t="s">
        <v>638</v>
      </c>
      <c r="D308" s="2" t="s">
        <v>1953</v>
      </c>
      <c r="E308" s="2" t="s">
        <v>639</v>
      </c>
      <c r="F308" s="4">
        <v>45833</v>
      </c>
      <c r="G308" s="8" t="s">
        <v>18</v>
      </c>
      <c r="H308" s="8" t="s">
        <v>1253</v>
      </c>
      <c r="I308" s="2" t="s">
        <v>9</v>
      </c>
      <c r="J308" s="2" t="s">
        <v>512</v>
      </c>
      <c r="K308" s="2" t="s">
        <v>795</v>
      </c>
      <c r="L308" s="2" t="s">
        <v>1257</v>
      </c>
      <c r="M308" s="2" t="s">
        <v>1261</v>
      </c>
      <c r="N308" s="2" t="s">
        <v>2322</v>
      </c>
      <c r="O308" s="4">
        <v>37007</v>
      </c>
      <c r="P308" s="2" t="s">
        <v>2743</v>
      </c>
      <c r="Q308" s="2" t="s">
        <v>2527</v>
      </c>
      <c r="R308" s="2" t="s">
        <v>2393</v>
      </c>
      <c r="S308" s="2" t="s">
        <v>788</v>
      </c>
      <c r="T308" s="2" t="s">
        <v>1594</v>
      </c>
      <c r="U308" s="2" t="s">
        <v>1280</v>
      </c>
      <c r="V308" s="2">
        <v>6155574992</v>
      </c>
      <c r="W308" s="2" t="s">
        <v>1110</v>
      </c>
      <c r="X308" s="2" t="s">
        <v>790</v>
      </c>
      <c r="Y308" s="2" t="s">
        <v>1184</v>
      </c>
      <c r="Z308" s="2" t="s">
        <v>1185</v>
      </c>
      <c r="AA308" s="2">
        <v>7000</v>
      </c>
      <c r="AB308" s="2">
        <v>200</v>
      </c>
      <c r="AC308" s="2">
        <v>800</v>
      </c>
      <c r="AD308" s="2">
        <v>500</v>
      </c>
      <c r="AE308" s="2">
        <f t="shared" si="36"/>
        <v>7500</v>
      </c>
      <c r="AF308" s="2">
        <v>2500</v>
      </c>
      <c r="AG308" s="4">
        <v>45843</v>
      </c>
      <c r="AH308" s="2">
        <f t="shared" si="37"/>
        <v>5000</v>
      </c>
      <c r="AI308" s="2">
        <v>3000</v>
      </c>
      <c r="AJ308" s="4">
        <v>45874</v>
      </c>
      <c r="AK308" s="2">
        <f t="shared" si="38"/>
        <v>2000</v>
      </c>
      <c r="AL308" s="2">
        <v>1000</v>
      </c>
      <c r="AM308" s="4">
        <v>45905</v>
      </c>
      <c r="AN308" s="2">
        <f t="shared" si="39"/>
        <v>1000</v>
      </c>
      <c r="AO308" s="2" cm="1">
        <f t="array" ref="AO308">_xlfn.IFS(AN308&gt;=5000,3000,AN308&gt;=2000,1000,AN308&gt;=500,500,AN308&lt;500,AN308)</f>
        <v>500</v>
      </c>
      <c r="AP308" s="4">
        <v>45935</v>
      </c>
      <c r="AQ308" s="2">
        <f t="shared" si="40"/>
        <v>500</v>
      </c>
      <c r="AR308" s="2">
        <v>500</v>
      </c>
      <c r="AS308" s="4">
        <v>45966</v>
      </c>
      <c r="AT308" s="2">
        <f t="shared" si="41"/>
        <v>0</v>
      </c>
      <c r="AU308" s="2" t="s">
        <v>1200</v>
      </c>
      <c r="AV308" s="4" t="s">
        <v>1200</v>
      </c>
      <c r="AW308" s="2" t="s">
        <v>1200</v>
      </c>
      <c r="AX308" s="2">
        <f t="shared" si="42"/>
        <v>7500</v>
      </c>
      <c r="AY308" s="2">
        <f t="shared" si="43"/>
        <v>0</v>
      </c>
      <c r="AZ308" s="2" t="str">
        <f t="shared" si="44"/>
        <v>Paid</v>
      </c>
      <c r="BA308" s="9" t="str" cm="1">
        <f t="array" ref="BA308">_xlfn.IFS(AZ308="Paid","R",AZ308="Unpaid","Q")</f>
        <v>R</v>
      </c>
      <c r="BB308" s="8" t="s">
        <v>2815</v>
      </c>
    </row>
    <row r="309" spans="1:54" x14ac:dyDescent="0.25">
      <c r="A309" s="2">
        <v>308</v>
      </c>
      <c r="B309" s="2">
        <v>308</v>
      </c>
      <c r="C309" s="2" t="s">
        <v>640</v>
      </c>
      <c r="D309" s="2" t="s">
        <v>1801</v>
      </c>
      <c r="E309" s="2" t="s">
        <v>641</v>
      </c>
      <c r="F309" s="4">
        <v>45840</v>
      </c>
      <c r="G309" s="8" t="s">
        <v>48</v>
      </c>
      <c r="H309" s="8" t="s">
        <v>1251</v>
      </c>
      <c r="I309" s="2" t="s">
        <v>14</v>
      </c>
      <c r="J309" s="2" t="s">
        <v>512</v>
      </c>
      <c r="K309" s="2" t="s">
        <v>791</v>
      </c>
      <c r="L309" s="2" t="s">
        <v>1260</v>
      </c>
      <c r="M309" s="2" t="s">
        <v>1261</v>
      </c>
      <c r="N309" s="2" t="s">
        <v>2323</v>
      </c>
      <c r="O309" s="4">
        <v>34887</v>
      </c>
      <c r="P309" s="2" t="s">
        <v>2744</v>
      </c>
      <c r="Q309" s="2" t="s">
        <v>2441</v>
      </c>
      <c r="R309" s="2" t="s">
        <v>2396</v>
      </c>
      <c r="S309" s="2" t="s">
        <v>788</v>
      </c>
      <c r="T309" s="2" t="s">
        <v>1595</v>
      </c>
      <c r="U309" s="2" t="s">
        <v>1279</v>
      </c>
      <c r="V309" s="2">
        <v>7319683544</v>
      </c>
      <c r="W309" s="2" t="s">
        <v>1111</v>
      </c>
      <c r="X309" s="2" t="s">
        <v>790</v>
      </c>
      <c r="Y309" s="2" t="s">
        <v>1184</v>
      </c>
      <c r="Z309" s="2" t="s">
        <v>1185</v>
      </c>
      <c r="AA309" s="2">
        <v>3000</v>
      </c>
      <c r="AB309" s="2">
        <v>200</v>
      </c>
      <c r="AC309" s="2">
        <v>500</v>
      </c>
      <c r="AD309" s="2">
        <v>0</v>
      </c>
      <c r="AE309" s="2">
        <f t="shared" si="36"/>
        <v>3700</v>
      </c>
      <c r="AF309" s="2">
        <v>1000</v>
      </c>
      <c r="AG309" s="4">
        <v>45850</v>
      </c>
      <c r="AH309" s="2">
        <f t="shared" si="37"/>
        <v>2700</v>
      </c>
      <c r="AI309" s="2">
        <v>1000</v>
      </c>
      <c r="AJ309" s="4">
        <v>45881</v>
      </c>
      <c r="AK309" s="2">
        <f t="shared" si="38"/>
        <v>1700</v>
      </c>
      <c r="AL309" s="2">
        <v>500</v>
      </c>
      <c r="AM309" s="4">
        <v>45912</v>
      </c>
      <c r="AN309" s="2">
        <f t="shared" si="39"/>
        <v>1200</v>
      </c>
      <c r="AO309" s="2" cm="1">
        <f t="array" ref="AO309">_xlfn.IFS(AN309&gt;=5000,3000,AN309&gt;=2000,1000,AN309&gt;=500,500,AN309&lt;500,AN309)</f>
        <v>500</v>
      </c>
      <c r="AP309" s="4">
        <v>45942</v>
      </c>
      <c r="AQ309" s="2">
        <f t="shared" si="40"/>
        <v>700</v>
      </c>
      <c r="AR309" s="2">
        <v>500</v>
      </c>
      <c r="AS309" s="4">
        <v>45973</v>
      </c>
      <c r="AT309" s="2">
        <f t="shared" si="41"/>
        <v>200</v>
      </c>
      <c r="AU309" s="2">
        <v>200</v>
      </c>
      <c r="AV309" s="4">
        <v>46003</v>
      </c>
      <c r="AW309" s="2">
        <v>0</v>
      </c>
      <c r="AX309" s="2">
        <f t="shared" si="42"/>
        <v>3700</v>
      </c>
      <c r="AY309" s="2">
        <f t="shared" si="43"/>
        <v>0</v>
      </c>
      <c r="AZ309" s="2" t="str">
        <f t="shared" si="44"/>
        <v>Paid</v>
      </c>
      <c r="BA309" s="9" t="str" cm="1">
        <f t="array" ref="BA309">_xlfn.IFS(AZ309="Paid","R",AZ309="Unpaid","Q")</f>
        <v>R</v>
      </c>
      <c r="BB309" s="8" t="s">
        <v>2815</v>
      </c>
    </row>
    <row r="310" spans="1:54" x14ac:dyDescent="0.25">
      <c r="A310" s="2">
        <v>309</v>
      </c>
      <c r="B310" s="2">
        <v>309</v>
      </c>
      <c r="C310" s="2" t="s">
        <v>642</v>
      </c>
      <c r="D310" s="2" t="s">
        <v>1954</v>
      </c>
      <c r="E310" s="2" t="s">
        <v>643</v>
      </c>
      <c r="F310" s="4">
        <v>45841</v>
      </c>
      <c r="G310" s="8" t="s">
        <v>32</v>
      </c>
      <c r="H310" s="8" t="s">
        <v>1249</v>
      </c>
      <c r="I310" s="2" t="s">
        <v>14</v>
      </c>
      <c r="J310" s="2" t="s">
        <v>512</v>
      </c>
      <c r="K310" s="2" t="s">
        <v>791</v>
      </c>
      <c r="L310" s="2" t="s">
        <v>1257</v>
      </c>
      <c r="M310" s="2" t="s">
        <v>1261</v>
      </c>
      <c r="N310" s="2" t="s">
        <v>2324</v>
      </c>
      <c r="O310" s="4">
        <v>32352</v>
      </c>
      <c r="P310" s="2" t="s">
        <v>2745</v>
      </c>
      <c r="Q310" s="2" t="s">
        <v>2527</v>
      </c>
      <c r="R310" s="2" t="s">
        <v>2393</v>
      </c>
      <c r="S310" s="2" t="s">
        <v>792</v>
      </c>
      <c r="T310" s="2" t="s">
        <v>1596</v>
      </c>
      <c r="U310" s="2" t="s">
        <v>1271</v>
      </c>
      <c r="V310" s="2">
        <v>7812391442</v>
      </c>
      <c r="W310" s="2" t="s">
        <v>1112</v>
      </c>
      <c r="X310" s="2" t="s">
        <v>807</v>
      </c>
      <c r="Y310" s="2" t="s">
        <v>1184</v>
      </c>
      <c r="Z310" s="2" t="s">
        <v>1185</v>
      </c>
      <c r="AA310" s="2">
        <v>2000</v>
      </c>
      <c r="AB310" s="2">
        <v>200</v>
      </c>
      <c r="AC310" s="2">
        <v>300</v>
      </c>
      <c r="AD310" s="2">
        <v>0</v>
      </c>
      <c r="AE310" s="2">
        <f t="shared" si="36"/>
        <v>2500</v>
      </c>
      <c r="AF310" s="2">
        <v>1000</v>
      </c>
      <c r="AG310" s="4">
        <v>45851</v>
      </c>
      <c r="AH310" s="2">
        <f t="shared" si="37"/>
        <v>1500</v>
      </c>
      <c r="AI310" s="2">
        <v>500</v>
      </c>
      <c r="AJ310" s="4">
        <v>45882</v>
      </c>
      <c r="AK310" s="2">
        <f t="shared" si="38"/>
        <v>1000</v>
      </c>
      <c r="AL310" s="2">
        <v>500</v>
      </c>
      <c r="AM310" s="4">
        <v>45913</v>
      </c>
      <c r="AN310" s="2">
        <f t="shared" si="39"/>
        <v>500</v>
      </c>
      <c r="AO310" s="2" cm="1">
        <f t="array" ref="AO310">_xlfn.IFS(AN310&gt;=5000,3000,AN310&gt;=2000,1000,AN310&gt;=500,500,AN310&lt;500,AN310)</f>
        <v>500</v>
      </c>
      <c r="AP310" s="4">
        <v>45943</v>
      </c>
      <c r="AQ310" s="2">
        <f t="shared" si="40"/>
        <v>0</v>
      </c>
      <c r="AR310" s="2" t="s">
        <v>1200</v>
      </c>
      <c r="AS310" s="4" t="s">
        <v>1200</v>
      </c>
      <c r="AT310" s="2" t="str">
        <f t="shared" si="41"/>
        <v/>
      </c>
      <c r="AU310" s="2" t="s">
        <v>1200</v>
      </c>
      <c r="AV310" s="4" t="s">
        <v>1200</v>
      </c>
      <c r="AW310" s="2" t="s">
        <v>1200</v>
      </c>
      <c r="AX310" s="2">
        <f t="shared" si="42"/>
        <v>2500</v>
      </c>
      <c r="AY310" s="2">
        <f t="shared" si="43"/>
        <v>0</v>
      </c>
      <c r="AZ310" s="2" t="str">
        <f t="shared" si="44"/>
        <v>Paid</v>
      </c>
      <c r="BA310" s="9" t="str" cm="1">
        <f t="array" ref="BA310">_xlfn.IFS(AZ310="Paid","R",AZ310="Unpaid","Q")</f>
        <v>R</v>
      </c>
      <c r="BB310" s="8" t="s">
        <v>2815</v>
      </c>
    </row>
    <row r="311" spans="1:54" x14ac:dyDescent="0.25">
      <c r="A311" s="2">
        <v>310</v>
      </c>
      <c r="B311" s="2">
        <v>310</v>
      </c>
      <c r="C311" s="2" t="s">
        <v>644</v>
      </c>
      <c r="D311" s="2" t="s">
        <v>1955</v>
      </c>
      <c r="E311" s="2" t="s">
        <v>645</v>
      </c>
      <c r="F311" s="4">
        <v>45843</v>
      </c>
      <c r="G311" s="8" t="s">
        <v>95</v>
      </c>
      <c r="H311" s="8" t="s">
        <v>1245</v>
      </c>
      <c r="I311" s="2" t="s">
        <v>14</v>
      </c>
      <c r="J311" s="2" t="s">
        <v>512</v>
      </c>
      <c r="K311" s="2" t="s">
        <v>791</v>
      </c>
      <c r="L311" s="2" t="s">
        <v>1256</v>
      </c>
      <c r="M311" s="2" t="s">
        <v>1263</v>
      </c>
      <c r="N311" s="2" t="s">
        <v>2325</v>
      </c>
      <c r="O311" s="4">
        <v>40434</v>
      </c>
      <c r="P311" s="2" t="s">
        <v>2746</v>
      </c>
      <c r="Q311" s="2" t="s">
        <v>2539</v>
      </c>
      <c r="R311" s="2" t="s">
        <v>2393</v>
      </c>
      <c r="S311" s="2" t="s">
        <v>820</v>
      </c>
      <c r="T311" s="2" t="s">
        <v>1597</v>
      </c>
      <c r="U311" s="2" t="s">
        <v>1285</v>
      </c>
      <c r="V311" s="2">
        <v>8598491781</v>
      </c>
      <c r="W311" s="2" t="s">
        <v>1113</v>
      </c>
      <c r="X311" s="2" t="s">
        <v>837</v>
      </c>
      <c r="Y311" s="2" t="s">
        <v>1184</v>
      </c>
      <c r="Z311" s="2" t="s">
        <v>1185</v>
      </c>
      <c r="AA311" s="2">
        <v>3500</v>
      </c>
      <c r="AB311" s="2">
        <v>200</v>
      </c>
      <c r="AC311" s="2">
        <v>500</v>
      </c>
      <c r="AD311" s="2">
        <v>0</v>
      </c>
      <c r="AE311" s="2">
        <f t="shared" si="36"/>
        <v>4200</v>
      </c>
      <c r="AF311" s="2">
        <v>1000</v>
      </c>
      <c r="AG311" s="4">
        <v>45853</v>
      </c>
      <c r="AH311" s="2">
        <f t="shared" si="37"/>
        <v>3200</v>
      </c>
      <c r="AI311" s="2">
        <v>1000</v>
      </c>
      <c r="AJ311" s="4">
        <v>45884</v>
      </c>
      <c r="AK311" s="2">
        <f t="shared" si="38"/>
        <v>2200</v>
      </c>
      <c r="AL311" s="2">
        <v>1000</v>
      </c>
      <c r="AM311" s="4">
        <v>45915</v>
      </c>
      <c r="AN311" s="2">
        <f t="shared" si="39"/>
        <v>1200</v>
      </c>
      <c r="AO311" s="2" cm="1">
        <f t="array" ref="AO311">_xlfn.IFS(AN311&gt;=5000,3000,AN311&gt;=2000,1000,AN311&gt;=500,500,AN311&lt;500,AN311)</f>
        <v>500</v>
      </c>
      <c r="AP311" s="4">
        <v>45945</v>
      </c>
      <c r="AQ311" s="2">
        <f t="shared" si="40"/>
        <v>700</v>
      </c>
      <c r="AR311" s="2">
        <v>500</v>
      </c>
      <c r="AS311" s="4">
        <v>45976</v>
      </c>
      <c r="AT311" s="2">
        <f t="shared" si="41"/>
        <v>200</v>
      </c>
      <c r="AU311" s="2">
        <v>200</v>
      </c>
      <c r="AV311" s="4">
        <v>46006</v>
      </c>
      <c r="AW311" s="2">
        <v>0</v>
      </c>
      <c r="AX311" s="2">
        <f t="shared" si="42"/>
        <v>4200</v>
      </c>
      <c r="AY311" s="2">
        <f t="shared" si="43"/>
        <v>0</v>
      </c>
      <c r="AZ311" s="2" t="str">
        <f t="shared" si="44"/>
        <v>Paid</v>
      </c>
      <c r="BA311" s="9" t="str" cm="1">
        <f t="array" ref="BA311">_xlfn.IFS(AZ311="Paid","R",AZ311="Unpaid","Q")</f>
        <v>R</v>
      </c>
      <c r="BB311" s="8" t="s">
        <v>2815</v>
      </c>
    </row>
    <row r="312" spans="1:54" x14ac:dyDescent="0.25">
      <c r="A312" s="2">
        <v>311</v>
      </c>
      <c r="B312" s="2">
        <v>311</v>
      </c>
      <c r="C312" s="2" t="s">
        <v>646</v>
      </c>
      <c r="D312" s="2" t="s">
        <v>1956</v>
      </c>
      <c r="E312" s="2" t="s">
        <v>647</v>
      </c>
      <c r="F312" s="4">
        <v>45847</v>
      </c>
      <c r="G312" s="8" t="s">
        <v>18</v>
      </c>
      <c r="H312" s="8" t="s">
        <v>1253</v>
      </c>
      <c r="I312" s="2" t="s">
        <v>9</v>
      </c>
      <c r="J312" s="2" t="s">
        <v>512</v>
      </c>
      <c r="K312" s="2" t="s">
        <v>795</v>
      </c>
      <c r="L312" s="2" t="s">
        <v>1256</v>
      </c>
      <c r="M312" s="2" t="s">
        <v>1263</v>
      </c>
      <c r="N312" s="2" t="s">
        <v>2326</v>
      </c>
      <c r="O312" s="4">
        <v>39142</v>
      </c>
      <c r="P312" s="2" t="s">
        <v>2747</v>
      </c>
      <c r="Q312" s="2" t="s">
        <v>2558</v>
      </c>
      <c r="R312" s="2" t="s">
        <v>2393</v>
      </c>
      <c r="S312" s="2" t="s">
        <v>820</v>
      </c>
      <c r="T312" s="2" t="s">
        <v>1598</v>
      </c>
      <c r="U312" s="2" t="s">
        <v>1286</v>
      </c>
      <c r="V312" s="2">
        <v>9530704633</v>
      </c>
      <c r="W312" s="2" t="s">
        <v>1114</v>
      </c>
      <c r="X312" s="2" t="s">
        <v>811</v>
      </c>
      <c r="Y312" s="2" t="s">
        <v>1184</v>
      </c>
      <c r="Z312" s="2" t="s">
        <v>1185</v>
      </c>
      <c r="AA312" s="2">
        <v>7000</v>
      </c>
      <c r="AB312" s="2">
        <v>200</v>
      </c>
      <c r="AC312" s="2">
        <v>800</v>
      </c>
      <c r="AD312" s="2">
        <v>500</v>
      </c>
      <c r="AE312" s="2">
        <f t="shared" si="36"/>
        <v>7500</v>
      </c>
      <c r="AF312" s="2">
        <v>2500</v>
      </c>
      <c r="AG312" s="4">
        <v>45857</v>
      </c>
      <c r="AH312" s="2">
        <f t="shared" si="37"/>
        <v>5000</v>
      </c>
      <c r="AI312" s="2">
        <v>3000</v>
      </c>
      <c r="AJ312" s="4">
        <v>45888</v>
      </c>
      <c r="AK312" s="2">
        <f t="shared" si="38"/>
        <v>2000</v>
      </c>
      <c r="AL312" s="2">
        <v>1000</v>
      </c>
      <c r="AM312" s="4">
        <v>45919</v>
      </c>
      <c r="AN312" s="2">
        <f t="shared" si="39"/>
        <v>1000</v>
      </c>
      <c r="AO312" s="2" cm="1">
        <f t="array" ref="AO312">_xlfn.IFS(AN312&gt;=5000,3000,AN312&gt;=2000,1000,AN312&gt;=500,500,AN312&lt;500,AN312)</f>
        <v>500</v>
      </c>
      <c r="AP312" s="4">
        <v>45949</v>
      </c>
      <c r="AQ312" s="2">
        <f t="shared" si="40"/>
        <v>500</v>
      </c>
      <c r="AR312" s="2">
        <v>500</v>
      </c>
      <c r="AS312" s="4">
        <v>45980</v>
      </c>
      <c r="AT312" s="2">
        <f t="shared" si="41"/>
        <v>0</v>
      </c>
      <c r="AU312" s="2" t="s">
        <v>1200</v>
      </c>
      <c r="AV312" s="4" t="s">
        <v>1200</v>
      </c>
      <c r="AW312" s="2" t="s">
        <v>1200</v>
      </c>
      <c r="AX312" s="2">
        <f t="shared" si="42"/>
        <v>7500</v>
      </c>
      <c r="AY312" s="2">
        <f t="shared" si="43"/>
        <v>0</v>
      </c>
      <c r="AZ312" s="2" t="str">
        <f t="shared" si="44"/>
        <v>Paid</v>
      </c>
      <c r="BA312" s="9" t="str" cm="1">
        <f t="array" ref="BA312">_xlfn.IFS(AZ312="Paid","R",AZ312="Unpaid","Q")</f>
        <v>R</v>
      </c>
      <c r="BB312" s="8" t="s">
        <v>2815</v>
      </c>
    </row>
    <row r="313" spans="1:54" x14ac:dyDescent="0.25">
      <c r="A313" s="2">
        <v>312</v>
      </c>
      <c r="B313" s="2">
        <v>312</v>
      </c>
      <c r="C313" s="2" t="s">
        <v>648</v>
      </c>
      <c r="D313" s="2" t="s">
        <v>1957</v>
      </c>
      <c r="E313" s="2" t="s">
        <v>649</v>
      </c>
      <c r="F313" s="4">
        <v>45850</v>
      </c>
      <c r="G313" s="8" t="s">
        <v>32</v>
      </c>
      <c r="H313" s="8" t="s">
        <v>1249</v>
      </c>
      <c r="I313" s="2" t="s">
        <v>14</v>
      </c>
      <c r="J313" s="2" t="s">
        <v>512</v>
      </c>
      <c r="K313" s="2" t="s">
        <v>791</v>
      </c>
      <c r="L313" s="2" t="s">
        <v>1259</v>
      </c>
      <c r="M313" s="2" t="s">
        <v>1262</v>
      </c>
      <c r="N313" s="2" t="s">
        <v>2327</v>
      </c>
      <c r="O313" s="4">
        <v>40066</v>
      </c>
      <c r="P313" s="2" t="s">
        <v>2748</v>
      </c>
      <c r="Q313" s="2" t="s">
        <v>2480</v>
      </c>
      <c r="R313" s="2" t="s">
        <v>2393</v>
      </c>
      <c r="S313" s="2" t="s">
        <v>792</v>
      </c>
      <c r="T313" s="2" t="s">
        <v>1599</v>
      </c>
      <c r="U313" s="2" t="s">
        <v>1272</v>
      </c>
      <c r="V313" s="2">
        <v>7581034947</v>
      </c>
      <c r="W313" s="2" t="s">
        <v>1115</v>
      </c>
      <c r="X313" s="2" t="s">
        <v>790</v>
      </c>
      <c r="Y313" s="2" t="s">
        <v>1184</v>
      </c>
      <c r="Z313" s="2" t="s">
        <v>1185</v>
      </c>
      <c r="AA313" s="2">
        <v>2000</v>
      </c>
      <c r="AB313" s="2">
        <v>200</v>
      </c>
      <c r="AC313" s="2">
        <v>300</v>
      </c>
      <c r="AD313" s="2">
        <v>0</v>
      </c>
      <c r="AE313" s="2">
        <f t="shared" si="36"/>
        <v>2500</v>
      </c>
      <c r="AF313" s="2">
        <v>1000</v>
      </c>
      <c r="AG313" s="4">
        <v>45860</v>
      </c>
      <c r="AH313" s="2">
        <f t="shared" si="37"/>
        <v>1500</v>
      </c>
      <c r="AI313" s="2">
        <v>500</v>
      </c>
      <c r="AJ313" s="4">
        <v>45891</v>
      </c>
      <c r="AK313" s="2">
        <f t="shared" si="38"/>
        <v>1000</v>
      </c>
      <c r="AL313" s="2">
        <v>500</v>
      </c>
      <c r="AM313" s="4">
        <v>45922</v>
      </c>
      <c r="AN313" s="2">
        <f t="shared" si="39"/>
        <v>500</v>
      </c>
      <c r="AO313" s="2" cm="1">
        <f t="array" ref="AO313">_xlfn.IFS(AN313&gt;=5000,3000,AN313&gt;=2000,1000,AN313&gt;=500,500,AN313&lt;500,AN313)</f>
        <v>500</v>
      </c>
      <c r="AP313" s="4">
        <v>45952</v>
      </c>
      <c r="AQ313" s="2">
        <f t="shared" si="40"/>
        <v>0</v>
      </c>
      <c r="AR313" s="2" t="s">
        <v>1200</v>
      </c>
      <c r="AS313" s="4" t="s">
        <v>1200</v>
      </c>
      <c r="AT313" s="2" t="str">
        <f t="shared" si="41"/>
        <v/>
      </c>
      <c r="AU313" s="2" t="s">
        <v>1200</v>
      </c>
      <c r="AV313" s="4" t="s">
        <v>1200</v>
      </c>
      <c r="AW313" s="2" t="s">
        <v>1200</v>
      </c>
      <c r="AX313" s="2">
        <f t="shared" si="42"/>
        <v>2500</v>
      </c>
      <c r="AY313" s="2">
        <f t="shared" si="43"/>
        <v>0</v>
      </c>
      <c r="AZ313" s="2" t="str">
        <f t="shared" si="44"/>
        <v>Paid</v>
      </c>
      <c r="BA313" s="9" t="str" cm="1">
        <f t="array" ref="BA313">_xlfn.IFS(AZ313="Paid","R",AZ313="Unpaid","Q")</f>
        <v>R</v>
      </c>
      <c r="BB313" s="8" t="s">
        <v>2815</v>
      </c>
    </row>
    <row r="314" spans="1:54" x14ac:dyDescent="0.25">
      <c r="A314" s="2">
        <v>313</v>
      </c>
      <c r="B314" s="2">
        <v>313</v>
      </c>
      <c r="C314" s="2" t="s">
        <v>650</v>
      </c>
      <c r="D314" s="2" t="s">
        <v>1958</v>
      </c>
      <c r="E314" s="2" t="s">
        <v>651</v>
      </c>
      <c r="F314" s="4">
        <v>45854</v>
      </c>
      <c r="G314" s="8" t="s">
        <v>35</v>
      </c>
      <c r="H314" s="8" t="s">
        <v>1244</v>
      </c>
      <c r="I314" s="2" t="s">
        <v>14</v>
      </c>
      <c r="J314" s="2" t="s">
        <v>512</v>
      </c>
      <c r="K314" s="2" t="s">
        <v>791</v>
      </c>
      <c r="L314" s="2" t="s">
        <v>1260</v>
      </c>
      <c r="M314" s="2" t="s">
        <v>1261</v>
      </c>
      <c r="N314" s="2" t="s">
        <v>2328</v>
      </c>
      <c r="O314" s="4">
        <v>37079</v>
      </c>
      <c r="P314" s="2" t="s">
        <v>2469</v>
      </c>
      <c r="Q314" s="2" t="s">
        <v>2395</v>
      </c>
      <c r="R314" s="2" t="s">
        <v>2393</v>
      </c>
      <c r="S314" s="2" t="s">
        <v>796</v>
      </c>
      <c r="T314" s="2" t="s">
        <v>1600</v>
      </c>
      <c r="U314" s="2" t="s">
        <v>1279</v>
      </c>
      <c r="V314" s="2">
        <v>9781936395</v>
      </c>
      <c r="W314" s="2" t="s">
        <v>1116</v>
      </c>
      <c r="X314" s="2" t="s">
        <v>794</v>
      </c>
      <c r="Y314" s="2" t="s">
        <v>1184</v>
      </c>
      <c r="Z314" s="2" t="s">
        <v>1185</v>
      </c>
      <c r="AA314" s="2">
        <v>3000</v>
      </c>
      <c r="AB314" s="2">
        <v>200</v>
      </c>
      <c r="AC314" s="2">
        <v>500</v>
      </c>
      <c r="AD314" s="2">
        <v>500</v>
      </c>
      <c r="AE314" s="2">
        <f t="shared" si="36"/>
        <v>3200</v>
      </c>
      <c r="AF314" s="2">
        <v>1000</v>
      </c>
      <c r="AG314" s="4">
        <v>45864</v>
      </c>
      <c r="AH314" s="2">
        <f t="shared" si="37"/>
        <v>2200</v>
      </c>
      <c r="AI314" s="2">
        <v>1000</v>
      </c>
      <c r="AJ314" s="4">
        <v>45895</v>
      </c>
      <c r="AK314" s="2">
        <f t="shared" si="38"/>
        <v>1200</v>
      </c>
      <c r="AL314" s="2">
        <v>500</v>
      </c>
      <c r="AM314" s="4">
        <v>45926</v>
      </c>
      <c r="AN314" s="2">
        <f t="shared" si="39"/>
        <v>700</v>
      </c>
      <c r="AO314" s="2" cm="1">
        <f t="array" ref="AO314">_xlfn.IFS(AN314&gt;=5000,3000,AN314&gt;=2000,1000,AN314&gt;=500,500,AN314&lt;500,AN314)</f>
        <v>500</v>
      </c>
      <c r="AP314" s="4">
        <v>45956</v>
      </c>
      <c r="AQ314" s="2">
        <f t="shared" si="40"/>
        <v>200</v>
      </c>
      <c r="AR314" s="2">
        <v>200</v>
      </c>
      <c r="AS314" s="4">
        <v>45987</v>
      </c>
      <c r="AT314" s="2">
        <f t="shared" si="41"/>
        <v>0</v>
      </c>
      <c r="AU314" s="2" t="s">
        <v>1200</v>
      </c>
      <c r="AV314" s="4" t="s">
        <v>1200</v>
      </c>
      <c r="AW314" s="2" t="s">
        <v>1200</v>
      </c>
      <c r="AX314" s="2">
        <f t="shared" si="42"/>
        <v>3200</v>
      </c>
      <c r="AY314" s="2">
        <f t="shared" si="43"/>
        <v>0</v>
      </c>
      <c r="AZ314" s="2" t="str">
        <f t="shared" si="44"/>
        <v>Paid</v>
      </c>
      <c r="BA314" s="9" t="str" cm="1">
        <f t="array" ref="BA314">_xlfn.IFS(AZ314="Paid","R",AZ314="Unpaid","Q")</f>
        <v>R</v>
      </c>
      <c r="BB314" s="8" t="s">
        <v>2815</v>
      </c>
    </row>
    <row r="315" spans="1:54" x14ac:dyDescent="0.25">
      <c r="A315" s="2">
        <v>314</v>
      </c>
      <c r="B315" s="2">
        <v>314</v>
      </c>
      <c r="C315" s="2" t="s">
        <v>652</v>
      </c>
      <c r="D315" s="2" t="s">
        <v>1959</v>
      </c>
      <c r="E315" s="2" t="s">
        <v>653</v>
      </c>
      <c r="F315" s="4">
        <v>45861</v>
      </c>
      <c r="G315" s="8" t="s">
        <v>38</v>
      </c>
      <c r="H315" s="8" t="s">
        <v>1246</v>
      </c>
      <c r="I315" s="2" t="s">
        <v>9</v>
      </c>
      <c r="J315" s="2" t="s">
        <v>512</v>
      </c>
      <c r="K315" s="2" t="s">
        <v>795</v>
      </c>
      <c r="L315" s="2" t="s">
        <v>1258</v>
      </c>
      <c r="M315" s="2" t="s">
        <v>1264</v>
      </c>
      <c r="N315" s="2" t="s">
        <v>2329</v>
      </c>
      <c r="O315" s="4">
        <v>32186</v>
      </c>
      <c r="P315" s="2" t="s">
        <v>2749</v>
      </c>
      <c r="Q315" s="2" t="s">
        <v>2424</v>
      </c>
      <c r="R315" s="2" t="s">
        <v>2393</v>
      </c>
      <c r="S315" s="2" t="s">
        <v>788</v>
      </c>
      <c r="T315" s="2" t="s">
        <v>1601</v>
      </c>
      <c r="U315" s="2" t="s">
        <v>1271</v>
      </c>
      <c r="V315" s="2">
        <v>9371898415</v>
      </c>
      <c r="W315" s="2" t="s">
        <v>1117</v>
      </c>
      <c r="X315" s="2" t="s">
        <v>801</v>
      </c>
      <c r="Y315" s="2" t="s">
        <v>1184</v>
      </c>
      <c r="Z315" s="2" t="s">
        <v>1185</v>
      </c>
      <c r="AA315" s="2">
        <v>6000</v>
      </c>
      <c r="AB315" s="2">
        <v>200</v>
      </c>
      <c r="AC315" s="2">
        <v>800</v>
      </c>
      <c r="AD315" s="2">
        <v>0</v>
      </c>
      <c r="AE315" s="2">
        <f t="shared" si="36"/>
        <v>7000</v>
      </c>
      <c r="AF315" s="2">
        <v>2500</v>
      </c>
      <c r="AG315" s="4">
        <v>45871</v>
      </c>
      <c r="AH315" s="2">
        <f t="shared" si="37"/>
        <v>4500</v>
      </c>
      <c r="AI315" s="2">
        <v>1000</v>
      </c>
      <c r="AJ315" s="4">
        <v>45902</v>
      </c>
      <c r="AK315" s="2">
        <f t="shared" si="38"/>
        <v>3500</v>
      </c>
      <c r="AL315" s="2">
        <v>1000</v>
      </c>
      <c r="AM315" s="4">
        <v>45932</v>
      </c>
      <c r="AN315" s="2">
        <f t="shared" si="39"/>
        <v>2500</v>
      </c>
      <c r="AO315" s="2" cm="1">
        <f t="array" ref="AO315">_xlfn.IFS(AN315&gt;=5000,3000,AN315&gt;=2000,1000,AN315&gt;=500,500,AN315&lt;500,AN315)</f>
        <v>1000</v>
      </c>
      <c r="AP315" s="4">
        <v>45963</v>
      </c>
      <c r="AQ315" s="2">
        <f t="shared" si="40"/>
        <v>1500</v>
      </c>
      <c r="AR315" s="2">
        <v>1000</v>
      </c>
      <c r="AS315" s="4">
        <v>45993</v>
      </c>
      <c r="AT315" s="2">
        <f t="shared" si="41"/>
        <v>500</v>
      </c>
      <c r="AU315" s="2">
        <v>500</v>
      </c>
      <c r="AV315" s="4">
        <v>46024</v>
      </c>
      <c r="AW315" s="2">
        <v>0</v>
      </c>
      <c r="AX315" s="2">
        <f t="shared" si="42"/>
        <v>7000</v>
      </c>
      <c r="AY315" s="2">
        <f t="shared" si="43"/>
        <v>0</v>
      </c>
      <c r="AZ315" s="2" t="str">
        <f t="shared" si="44"/>
        <v>Paid</v>
      </c>
      <c r="BA315" s="9" t="str" cm="1">
        <f t="array" ref="BA315">_xlfn.IFS(AZ315="Paid","R",AZ315="Unpaid","Q")</f>
        <v>R</v>
      </c>
      <c r="BB315" s="8" t="s">
        <v>2815</v>
      </c>
    </row>
    <row r="316" spans="1:54" x14ac:dyDescent="0.25">
      <c r="A316" s="2">
        <v>315</v>
      </c>
      <c r="B316" s="2">
        <v>315</v>
      </c>
      <c r="C316" s="2" t="s">
        <v>654</v>
      </c>
      <c r="D316" s="2" t="s">
        <v>1960</v>
      </c>
      <c r="E316" s="2" t="s">
        <v>655</v>
      </c>
      <c r="F316" s="4">
        <v>45872</v>
      </c>
      <c r="G316" s="8" t="s">
        <v>45</v>
      </c>
      <c r="H316" s="8" t="s">
        <v>1250</v>
      </c>
      <c r="I316" s="2" t="s">
        <v>14</v>
      </c>
      <c r="J316" s="2" t="s">
        <v>512</v>
      </c>
      <c r="K316" s="2" t="s">
        <v>791</v>
      </c>
      <c r="L316" s="2" t="s">
        <v>1259</v>
      </c>
      <c r="M316" s="2" t="s">
        <v>1262</v>
      </c>
      <c r="N316" s="2" t="s">
        <v>2330</v>
      </c>
      <c r="O316" s="4">
        <v>39527</v>
      </c>
      <c r="P316" s="2" t="s">
        <v>2750</v>
      </c>
      <c r="Q316" s="2" t="s">
        <v>2472</v>
      </c>
      <c r="R316" s="2" t="s">
        <v>2393</v>
      </c>
      <c r="S316" s="2" t="s">
        <v>788</v>
      </c>
      <c r="T316" s="2" t="s">
        <v>1602</v>
      </c>
      <c r="U316" s="2" t="s">
        <v>1281</v>
      </c>
      <c r="V316" s="2">
        <v>8209443032</v>
      </c>
      <c r="W316" s="2" t="s">
        <v>1118</v>
      </c>
      <c r="X316" s="2" t="s">
        <v>1183</v>
      </c>
      <c r="Y316" s="2" t="s">
        <v>1184</v>
      </c>
      <c r="Z316" s="2" t="s">
        <v>1185</v>
      </c>
      <c r="AA316" s="2">
        <v>2000</v>
      </c>
      <c r="AB316" s="2">
        <v>200</v>
      </c>
      <c r="AC316" s="2">
        <v>300</v>
      </c>
      <c r="AD316" s="2">
        <v>0</v>
      </c>
      <c r="AE316" s="2">
        <f t="shared" si="36"/>
        <v>2500</v>
      </c>
      <c r="AF316" s="2">
        <v>1000</v>
      </c>
      <c r="AG316" s="4">
        <v>45882</v>
      </c>
      <c r="AH316" s="2">
        <f t="shared" si="37"/>
        <v>1500</v>
      </c>
      <c r="AI316" s="2">
        <v>500</v>
      </c>
      <c r="AJ316" s="4">
        <v>45913</v>
      </c>
      <c r="AK316" s="2">
        <f t="shared" si="38"/>
        <v>1000</v>
      </c>
      <c r="AL316" s="2">
        <v>500</v>
      </c>
      <c r="AM316" s="4">
        <v>45943</v>
      </c>
      <c r="AN316" s="2">
        <f t="shared" si="39"/>
        <v>500</v>
      </c>
      <c r="AO316" s="2" cm="1">
        <f t="array" ref="AO316">_xlfn.IFS(AN316&gt;=5000,3000,AN316&gt;=2000,1000,AN316&gt;=500,500,AN316&lt;500,AN316)</f>
        <v>500</v>
      </c>
      <c r="AP316" s="4">
        <v>45974</v>
      </c>
      <c r="AQ316" s="2">
        <f t="shared" si="40"/>
        <v>0</v>
      </c>
      <c r="AR316" s="2" t="s">
        <v>1200</v>
      </c>
      <c r="AS316" s="4" t="s">
        <v>1200</v>
      </c>
      <c r="AT316" s="2" t="str">
        <f t="shared" si="41"/>
        <v/>
      </c>
      <c r="AU316" s="2" t="s">
        <v>1200</v>
      </c>
      <c r="AV316" s="4" t="s">
        <v>1200</v>
      </c>
      <c r="AW316" s="2" t="s">
        <v>1200</v>
      </c>
      <c r="AX316" s="2">
        <f t="shared" si="42"/>
        <v>2500</v>
      </c>
      <c r="AY316" s="2">
        <f t="shared" si="43"/>
        <v>0</v>
      </c>
      <c r="AZ316" s="2" t="str">
        <f t="shared" si="44"/>
        <v>Paid</v>
      </c>
      <c r="BA316" s="9" t="str" cm="1">
        <f t="array" ref="BA316">_xlfn.IFS(AZ316="Paid","R",AZ316="Unpaid","Q")</f>
        <v>R</v>
      </c>
      <c r="BB316" s="8" t="s">
        <v>2815</v>
      </c>
    </row>
    <row r="317" spans="1:54" x14ac:dyDescent="0.25">
      <c r="A317" s="2">
        <v>316</v>
      </c>
      <c r="B317" s="2">
        <v>316</v>
      </c>
      <c r="C317" s="2" t="s">
        <v>656</v>
      </c>
      <c r="D317" s="2" t="s">
        <v>1961</v>
      </c>
      <c r="E317" s="2" t="s">
        <v>657</v>
      </c>
      <c r="F317" s="4">
        <v>45873</v>
      </c>
      <c r="G317" s="8" t="s">
        <v>70</v>
      </c>
      <c r="H317" s="8" t="s">
        <v>1247</v>
      </c>
      <c r="I317" s="2" t="s">
        <v>9</v>
      </c>
      <c r="J317" s="2" t="s">
        <v>512</v>
      </c>
      <c r="K317" s="2" t="s">
        <v>795</v>
      </c>
      <c r="L317" s="2" t="s">
        <v>1260</v>
      </c>
      <c r="M317" s="2" t="s">
        <v>1261</v>
      </c>
      <c r="N317" s="2" t="s">
        <v>2331</v>
      </c>
      <c r="O317" s="4">
        <v>35407</v>
      </c>
      <c r="P317" s="2" t="s">
        <v>2751</v>
      </c>
      <c r="Q317" s="2" t="s">
        <v>2409</v>
      </c>
      <c r="R317" s="2" t="s">
        <v>2393</v>
      </c>
      <c r="S317" s="2" t="s">
        <v>788</v>
      </c>
      <c r="T317" s="2" t="s">
        <v>1603</v>
      </c>
      <c r="U317" s="2" t="s">
        <v>1268</v>
      </c>
      <c r="V317" s="2">
        <v>7396705611</v>
      </c>
      <c r="W317" s="2" t="s">
        <v>1119</v>
      </c>
      <c r="X317" s="2" t="s">
        <v>1183</v>
      </c>
      <c r="Y317" s="2" t="s">
        <v>1184</v>
      </c>
      <c r="Z317" s="2" t="s">
        <v>1185</v>
      </c>
      <c r="AA317" s="2">
        <v>8000</v>
      </c>
      <c r="AB317" s="2">
        <v>200</v>
      </c>
      <c r="AC317" s="2">
        <v>1000</v>
      </c>
      <c r="AD317" s="2">
        <v>300</v>
      </c>
      <c r="AE317" s="2">
        <f t="shared" si="36"/>
        <v>8900</v>
      </c>
      <c r="AF317" s="2">
        <v>2500</v>
      </c>
      <c r="AG317" s="4">
        <v>45883</v>
      </c>
      <c r="AH317" s="2">
        <f t="shared" si="37"/>
        <v>6400</v>
      </c>
      <c r="AI317" s="2">
        <v>3000</v>
      </c>
      <c r="AJ317" s="4">
        <v>45914</v>
      </c>
      <c r="AK317" s="2">
        <f t="shared" si="38"/>
        <v>3400</v>
      </c>
      <c r="AL317" s="2">
        <v>1000</v>
      </c>
      <c r="AM317" s="4">
        <v>45944</v>
      </c>
      <c r="AN317" s="2">
        <f t="shared" si="39"/>
        <v>2400</v>
      </c>
      <c r="AO317" s="2" cm="1">
        <f t="array" ref="AO317">_xlfn.IFS(AN317&gt;=5000,3000,AN317&gt;=2000,1000,AN317&gt;=500,500,AN317&lt;500,AN317)</f>
        <v>1000</v>
      </c>
      <c r="AP317" s="4">
        <v>45975</v>
      </c>
      <c r="AQ317" s="2">
        <f t="shared" si="40"/>
        <v>1400</v>
      </c>
      <c r="AR317" s="2">
        <v>1000</v>
      </c>
      <c r="AS317" s="4">
        <v>46005</v>
      </c>
      <c r="AT317" s="2">
        <f t="shared" si="41"/>
        <v>400</v>
      </c>
      <c r="AU317" s="2">
        <v>400</v>
      </c>
      <c r="AV317" s="4">
        <v>46036</v>
      </c>
      <c r="AW317" s="2">
        <v>0</v>
      </c>
      <c r="AX317" s="2">
        <f t="shared" si="42"/>
        <v>8900</v>
      </c>
      <c r="AY317" s="2">
        <f t="shared" si="43"/>
        <v>0</v>
      </c>
      <c r="AZ317" s="2" t="str">
        <f t="shared" si="44"/>
        <v>Paid</v>
      </c>
      <c r="BA317" s="9" t="str" cm="1">
        <f t="array" ref="BA317">_xlfn.IFS(AZ317="Paid","R",AZ317="Unpaid","Q")</f>
        <v>R</v>
      </c>
      <c r="BB317" s="8" t="s">
        <v>2815</v>
      </c>
    </row>
    <row r="318" spans="1:54" x14ac:dyDescent="0.25">
      <c r="A318" s="2">
        <v>317</v>
      </c>
      <c r="B318" s="2">
        <v>317</v>
      </c>
      <c r="C318" s="2" t="s">
        <v>658</v>
      </c>
      <c r="D318" s="2" t="s">
        <v>1962</v>
      </c>
      <c r="E318" s="2" t="s">
        <v>659</v>
      </c>
      <c r="F318" s="4">
        <v>45879</v>
      </c>
      <c r="G318" s="8" t="s">
        <v>8</v>
      </c>
      <c r="H318" s="8" t="s">
        <v>1242</v>
      </c>
      <c r="I318" s="2" t="s">
        <v>9</v>
      </c>
      <c r="J318" s="2" t="s">
        <v>551</v>
      </c>
      <c r="K318" s="2" t="s">
        <v>787</v>
      </c>
      <c r="L318" s="2" t="s">
        <v>1257</v>
      </c>
      <c r="M318" s="2" t="s">
        <v>1261</v>
      </c>
      <c r="N318" s="2" t="s">
        <v>2332</v>
      </c>
      <c r="O318" s="4">
        <v>36324</v>
      </c>
      <c r="P318" s="2" t="s">
        <v>2752</v>
      </c>
      <c r="Q318" s="2" t="s">
        <v>2392</v>
      </c>
      <c r="R318" s="2" t="s">
        <v>2396</v>
      </c>
      <c r="S318" s="2" t="s">
        <v>792</v>
      </c>
      <c r="T318" s="2" t="s">
        <v>1604</v>
      </c>
      <c r="U318" s="2" t="s">
        <v>1270</v>
      </c>
      <c r="V318" s="2">
        <v>8308913681</v>
      </c>
      <c r="W318" s="2" t="s">
        <v>1120</v>
      </c>
      <c r="X318" s="2" t="s">
        <v>809</v>
      </c>
      <c r="Y318" s="2" t="s">
        <v>1184</v>
      </c>
      <c r="Z318" s="2" t="s">
        <v>1185</v>
      </c>
      <c r="AA318" s="2">
        <v>12500</v>
      </c>
      <c r="AB318" s="2">
        <v>200</v>
      </c>
      <c r="AC318" s="2">
        <v>1200</v>
      </c>
      <c r="AD318" s="2">
        <v>500</v>
      </c>
      <c r="AE318" s="2">
        <f t="shared" si="36"/>
        <v>13400</v>
      </c>
      <c r="AF318" s="2">
        <v>5000</v>
      </c>
      <c r="AG318" s="4">
        <v>45889</v>
      </c>
      <c r="AH318" s="2">
        <f t="shared" si="37"/>
        <v>8400</v>
      </c>
      <c r="AI318" s="2">
        <v>3000</v>
      </c>
      <c r="AJ318" s="4">
        <v>45920</v>
      </c>
      <c r="AK318" s="2">
        <f t="shared" si="38"/>
        <v>5400</v>
      </c>
      <c r="AL318" s="2">
        <v>3000</v>
      </c>
      <c r="AM318" s="4">
        <v>45950</v>
      </c>
      <c r="AN318" s="2">
        <f t="shared" si="39"/>
        <v>2400</v>
      </c>
      <c r="AO318" s="2" cm="1">
        <f t="array" ref="AO318">_xlfn.IFS(AN318&gt;=5000,3000,AN318&gt;=2000,1000,AN318&gt;=500,500,AN318&lt;500,AN318)</f>
        <v>1000</v>
      </c>
      <c r="AP318" s="4">
        <v>45981</v>
      </c>
      <c r="AQ318" s="2">
        <f t="shared" si="40"/>
        <v>1400</v>
      </c>
      <c r="AR318" s="2">
        <v>1000</v>
      </c>
      <c r="AS318" s="4">
        <v>46011</v>
      </c>
      <c r="AT318" s="2">
        <f t="shared" si="41"/>
        <v>400</v>
      </c>
      <c r="AU318" s="2">
        <v>400</v>
      </c>
      <c r="AV318" s="4">
        <v>46042</v>
      </c>
      <c r="AW318" s="2">
        <v>0</v>
      </c>
      <c r="AX318" s="2">
        <f t="shared" si="42"/>
        <v>13400</v>
      </c>
      <c r="AY318" s="2">
        <f t="shared" si="43"/>
        <v>0</v>
      </c>
      <c r="AZ318" s="2" t="str">
        <f t="shared" si="44"/>
        <v>Paid</v>
      </c>
      <c r="BA318" s="9" t="str" cm="1">
        <f t="array" ref="BA318">_xlfn.IFS(AZ318="Paid","R",AZ318="Unpaid","Q")</f>
        <v>R</v>
      </c>
      <c r="BB318" s="8" t="s">
        <v>2817</v>
      </c>
    </row>
    <row r="319" spans="1:54" x14ac:dyDescent="0.25">
      <c r="A319" s="2">
        <v>318</v>
      </c>
      <c r="B319" s="2">
        <v>318</v>
      </c>
      <c r="C319" s="2" t="s">
        <v>660</v>
      </c>
      <c r="D319" s="2" t="s">
        <v>1963</v>
      </c>
      <c r="E319" s="2" t="s">
        <v>661</v>
      </c>
      <c r="F319" s="4">
        <v>45881</v>
      </c>
      <c r="G319" s="8" t="s">
        <v>26</v>
      </c>
      <c r="H319" s="8" t="s">
        <v>1243</v>
      </c>
      <c r="I319" s="2" t="s">
        <v>9</v>
      </c>
      <c r="J319" s="2" t="s">
        <v>551</v>
      </c>
      <c r="K319" s="2" t="s">
        <v>787</v>
      </c>
      <c r="L319" s="2" t="s">
        <v>1256</v>
      </c>
      <c r="M319" s="2" t="s">
        <v>1263</v>
      </c>
      <c r="N319" s="2" t="s">
        <v>2333</v>
      </c>
      <c r="O319" s="4">
        <v>33214</v>
      </c>
      <c r="P319" s="2" t="s">
        <v>2753</v>
      </c>
      <c r="Q319" s="2" t="s">
        <v>2414</v>
      </c>
      <c r="R319" s="2" t="s">
        <v>2393</v>
      </c>
      <c r="S319" s="2" t="s">
        <v>796</v>
      </c>
      <c r="T319" s="2" t="s">
        <v>1605</v>
      </c>
      <c r="U319" s="2" t="s">
        <v>1279</v>
      </c>
      <c r="V319" s="2">
        <v>9025214372</v>
      </c>
      <c r="W319" s="2" t="s">
        <v>1121</v>
      </c>
      <c r="X319" s="2" t="s">
        <v>1183</v>
      </c>
      <c r="Y319" s="2" t="s">
        <v>1184</v>
      </c>
      <c r="Z319" s="2" t="s">
        <v>1185</v>
      </c>
      <c r="AA319" s="2">
        <v>15000</v>
      </c>
      <c r="AB319" s="2">
        <v>200</v>
      </c>
      <c r="AC319" s="2">
        <v>1200</v>
      </c>
      <c r="AD319" s="2">
        <v>300</v>
      </c>
      <c r="AE319" s="2">
        <f t="shared" si="36"/>
        <v>16100</v>
      </c>
      <c r="AF319" s="2">
        <v>5000</v>
      </c>
      <c r="AG319" s="4">
        <v>45891</v>
      </c>
      <c r="AH319" s="2">
        <f t="shared" si="37"/>
        <v>11100</v>
      </c>
      <c r="AI319" s="2">
        <v>3000</v>
      </c>
      <c r="AJ319" s="4">
        <v>45922</v>
      </c>
      <c r="AK319" s="2">
        <f t="shared" si="38"/>
        <v>8100</v>
      </c>
      <c r="AL319" s="2">
        <v>3000</v>
      </c>
      <c r="AM319" s="4">
        <v>45952</v>
      </c>
      <c r="AN319" s="2">
        <f t="shared" si="39"/>
        <v>5100</v>
      </c>
      <c r="AO319" s="2" cm="1">
        <f t="array" ref="AO319">_xlfn.IFS(AN319&gt;=5000,3000,AN319&gt;=2000,1000,AN319&gt;=500,500,AN319&lt;500,AN319)</f>
        <v>3000</v>
      </c>
      <c r="AP319" s="4">
        <v>45983</v>
      </c>
      <c r="AQ319" s="2">
        <f t="shared" si="40"/>
        <v>2100</v>
      </c>
      <c r="AR319" s="2">
        <v>2000</v>
      </c>
      <c r="AS319" s="4">
        <v>46013</v>
      </c>
      <c r="AT319" s="2">
        <f t="shared" si="41"/>
        <v>100</v>
      </c>
      <c r="AU319" s="2">
        <v>100</v>
      </c>
      <c r="AV319" s="4">
        <v>46044</v>
      </c>
      <c r="AW319" s="2">
        <v>0</v>
      </c>
      <c r="AX319" s="2">
        <f t="shared" si="42"/>
        <v>16100</v>
      </c>
      <c r="AY319" s="2">
        <f t="shared" si="43"/>
        <v>0</v>
      </c>
      <c r="AZ319" s="2" t="str">
        <f t="shared" si="44"/>
        <v>Paid</v>
      </c>
      <c r="BA319" s="9" t="str" cm="1">
        <f t="array" ref="BA319">_xlfn.IFS(AZ319="Paid","R",AZ319="Unpaid","Q")</f>
        <v>R</v>
      </c>
      <c r="BB319" s="8" t="s">
        <v>2817</v>
      </c>
    </row>
    <row r="320" spans="1:54" x14ac:dyDescent="0.25">
      <c r="A320" s="2">
        <v>319</v>
      </c>
      <c r="B320" s="2">
        <v>319</v>
      </c>
      <c r="C320" s="2" t="s">
        <v>662</v>
      </c>
      <c r="D320" s="2" t="s">
        <v>1964</v>
      </c>
      <c r="E320" s="2" t="s">
        <v>663</v>
      </c>
      <c r="F320" s="4">
        <v>45886</v>
      </c>
      <c r="G320" s="8" t="s">
        <v>8</v>
      </c>
      <c r="H320" s="8" t="s">
        <v>1242</v>
      </c>
      <c r="I320" s="2" t="s">
        <v>9</v>
      </c>
      <c r="J320" s="2" t="s">
        <v>551</v>
      </c>
      <c r="K320" s="2" t="s">
        <v>787</v>
      </c>
      <c r="L320" s="2" t="s">
        <v>1259</v>
      </c>
      <c r="M320" s="2" t="s">
        <v>1262</v>
      </c>
      <c r="N320" s="2" t="s">
        <v>2334</v>
      </c>
      <c r="O320" s="4">
        <v>32381</v>
      </c>
      <c r="P320" s="2" t="s">
        <v>2754</v>
      </c>
      <c r="Q320" s="2" t="s">
        <v>2395</v>
      </c>
      <c r="R320" s="2" t="s">
        <v>2393</v>
      </c>
      <c r="S320" s="2" t="s">
        <v>792</v>
      </c>
      <c r="T320" s="2" t="s">
        <v>1606</v>
      </c>
      <c r="U320" s="2" t="s">
        <v>1268</v>
      </c>
      <c r="V320" s="2">
        <v>8557433771</v>
      </c>
      <c r="W320" s="2" t="s">
        <v>1122</v>
      </c>
      <c r="X320" s="2" t="s">
        <v>837</v>
      </c>
      <c r="Y320" s="2" t="s">
        <v>1184</v>
      </c>
      <c r="Z320" s="2" t="s">
        <v>1185</v>
      </c>
      <c r="AA320" s="2">
        <v>12500</v>
      </c>
      <c r="AB320" s="2">
        <v>200</v>
      </c>
      <c r="AC320" s="2">
        <v>1200</v>
      </c>
      <c r="AD320" s="2">
        <v>200</v>
      </c>
      <c r="AE320" s="2">
        <f t="shared" si="36"/>
        <v>13700</v>
      </c>
      <c r="AF320" s="2">
        <v>5000</v>
      </c>
      <c r="AG320" s="4">
        <v>45896</v>
      </c>
      <c r="AH320" s="2">
        <f t="shared" si="37"/>
        <v>8700</v>
      </c>
      <c r="AI320" s="2">
        <v>3000</v>
      </c>
      <c r="AJ320" s="4">
        <v>45927</v>
      </c>
      <c r="AK320" s="2">
        <f t="shared" si="38"/>
        <v>5700</v>
      </c>
      <c r="AL320" s="2">
        <v>3000</v>
      </c>
      <c r="AM320" s="4">
        <v>45957</v>
      </c>
      <c r="AN320" s="2">
        <f t="shared" si="39"/>
        <v>2700</v>
      </c>
      <c r="AO320" s="2" cm="1">
        <f t="array" ref="AO320">_xlfn.IFS(AN320&gt;=5000,3000,AN320&gt;=2000,1000,AN320&gt;=500,500,AN320&lt;500,AN320)</f>
        <v>1000</v>
      </c>
      <c r="AP320" s="4">
        <v>45988</v>
      </c>
      <c r="AQ320" s="2">
        <f t="shared" si="40"/>
        <v>1700</v>
      </c>
      <c r="AR320" s="2">
        <v>1000</v>
      </c>
      <c r="AS320" s="4">
        <v>46018</v>
      </c>
      <c r="AT320" s="2">
        <f t="shared" si="41"/>
        <v>700</v>
      </c>
      <c r="AU320" s="2">
        <v>700</v>
      </c>
      <c r="AV320" s="4">
        <v>46049</v>
      </c>
      <c r="AW320" s="2">
        <v>0</v>
      </c>
      <c r="AX320" s="2">
        <f t="shared" si="42"/>
        <v>13700</v>
      </c>
      <c r="AY320" s="2">
        <f t="shared" si="43"/>
        <v>0</v>
      </c>
      <c r="AZ320" s="2" t="str">
        <f t="shared" si="44"/>
        <v>Paid</v>
      </c>
      <c r="BA320" s="9" t="str" cm="1">
        <f t="array" ref="BA320">_xlfn.IFS(AZ320="Paid","R",AZ320="Unpaid","Q")</f>
        <v>R</v>
      </c>
      <c r="BB320" s="8" t="s">
        <v>2817</v>
      </c>
    </row>
    <row r="321" spans="1:54" x14ac:dyDescent="0.25">
      <c r="A321" s="2">
        <v>320</v>
      </c>
      <c r="B321" s="2">
        <v>320</v>
      </c>
      <c r="C321" s="2" t="s">
        <v>664</v>
      </c>
      <c r="D321" s="2" t="s">
        <v>1965</v>
      </c>
      <c r="E321" s="2" t="s">
        <v>665</v>
      </c>
      <c r="F321" s="4">
        <v>45888</v>
      </c>
      <c r="G321" s="8" t="s">
        <v>18</v>
      </c>
      <c r="H321" s="8" t="s">
        <v>1253</v>
      </c>
      <c r="I321" s="2" t="s">
        <v>9</v>
      </c>
      <c r="J321" s="2" t="s">
        <v>512</v>
      </c>
      <c r="K321" s="2" t="s">
        <v>795</v>
      </c>
      <c r="L321" s="2" t="s">
        <v>1258</v>
      </c>
      <c r="M321" s="2" t="s">
        <v>1264</v>
      </c>
      <c r="N321" s="2" t="s">
        <v>2335</v>
      </c>
      <c r="O321" s="4">
        <v>32640</v>
      </c>
      <c r="P321" s="2" t="s">
        <v>2755</v>
      </c>
      <c r="Q321" s="2" t="s">
        <v>2539</v>
      </c>
      <c r="R321" s="2" t="s">
        <v>2393</v>
      </c>
      <c r="S321" s="2" t="s">
        <v>796</v>
      </c>
      <c r="T321" s="2" t="s">
        <v>1607</v>
      </c>
      <c r="U321" s="2" t="s">
        <v>1272</v>
      </c>
      <c r="V321" s="2">
        <v>7586365034</v>
      </c>
      <c r="W321" s="2" t="s">
        <v>1123</v>
      </c>
      <c r="X321" s="2" t="s">
        <v>811</v>
      </c>
      <c r="Y321" s="2" t="s">
        <v>1184</v>
      </c>
      <c r="Z321" s="2" t="s">
        <v>1185</v>
      </c>
      <c r="AA321" s="2">
        <v>7000</v>
      </c>
      <c r="AB321" s="2">
        <v>200</v>
      </c>
      <c r="AC321" s="2">
        <v>800</v>
      </c>
      <c r="AD321" s="2">
        <v>200</v>
      </c>
      <c r="AE321" s="2">
        <f t="shared" si="36"/>
        <v>7800</v>
      </c>
      <c r="AF321" s="2">
        <v>2500</v>
      </c>
      <c r="AG321" s="4">
        <v>45898</v>
      </c>
      <c r="AH321" s="2">
        <f t="shared" si="37"/>
        <v>5300</v>
      </c>
      <c r="AI321" s="2">
        <v>3000</v>
      </c>
      <c r="AJ321" s="4">
        <v>45929</v>
      </c>
      <c r="AK321" s="2">
        <f t="shared" si="38"/>
        <v>2300</v>
      </c>
      <c r="AL321" s="2">
        <v>1000</v>
      </c>
      <c r="AM321" s="4">
        <v>45959</v>
      </c>
      <c r="AN321" s="2">
        <f t="shared" si="39"/>
        <v>1300</v>
      </c>
      <c r="AO321" s="2" cm="1">
        <f t="array" ref="AO321">_xlfn.IFS(AN321&gt;=5000,3000,AN321&gt;=2000,1000,AN321&gt;=500,500,AN321&lt;500,AN321)</f>
        <v>500</v>
      </c>
      <c r="AP321" s="4">
        <v>45990</v>
      </c>
      <c r="AQ321" s="2">
        <f t="shared" si="40"/>
        <v>800</v>
      </c>
      <c r="AR321" s="2">
        <v>500</v>
      </c>
      <c r="AS321" s="4">
        <v>46020</v>
      </c>
      <c r="AT321" s="2">
        <f t="shared" si="41"/>
        <v>300</v>
      </c>
      <c r="AU321" s="2">
        <v>300</v>
      </c>
      <c r="AV321" s="4">
        <v>46051</v>
      </c>
      <c r="AW321" s="2">
        <v>0</v>
      </c>
      <c r="AX321" s="2">
        <f t="shared" si="42"/>
        <v>7800</v>
      </c>
      <c r="AY321" s="2">
        <f t="shared" si="43"/>
        <v>0</v>
      </c>
      <c r="AZ321" s="2" t="str">
        <f t="shared" si="44"/>
        <v>Paid</v>
      </c>
      <c r="BA321" s="9" t="str" cm="1">
        <f t="array" ref="BA321">_xlfn.IFS(AZ321="Paid","R",AZ321="Unpaid","Q")</f>
        <v>R</v>
      </c>
      <c r="BB321" s="8" t="s">
        <v>2815</v>
      </c>
    </row>
    <row r="322" spans="1:54" x14ac:dyDescent="0.25">
      <c r="A322" s="2">
        <v>321</v>
      </c>
      <c r="B322" s="2">
        <v>321</v>
      </c>
      <c r="C322" s="2" t="s">
        <v>666</v>
      </c>
      <c r="D322" s="2" t="s">
        <v>1966</v>
      </c>
      <c r="E322" s="2" t="s">
        <v>667</v>
      </c>
      <c r="F322" s="4">
        <v>45890</v>
      </c>
      <c r="G322" s="8" t="s">
        <v>21</v>
      </c>
      <c r="H322" s="8" t="s">
        <v>1252</v>
      </c>
      <c r="I322" s="2" t="s">
        <v>14</v>
      </c>
      <c r="J322" s="2" t="s">
        <v>512</v>
      </c>
      <c r="K322" s="2" t="s">
        <v>791</v>
      </c>
      <c r="L322" s="2" t="s">
        <v>1256</v>
      </c>
      <c r="M322" s="2" t="s">
        <v>1263</v>
      </c>
      <c r="N322" s="2" t="s">
        <v>2336</v>
      </c>
      <c r="O322" s="4">
        <v>33778</v>
      </c>
      <c r="P322" s="2" t="s">
        <v>2756</v>
      </c>
      <c r="Q322" s="2" t="s">
        <v>2527</v>
      </c>
      <c r="R322" s="2" t="s">
        <v>2396</v>
      </c>
      <c r="S322" s="2" t="s">
        <v>792</v>
      </c>
      <c r="T322" s="2" t="s">
        <v>1608</v>
      </c>
      <c r="U322" s="2" t="s">
        <v>1284</v>
      </c>
      <c r="V322" s="2">
        <v>8319478598</v>
      </c>
      <c r="W322" s="2" t="s">
        <v>1124</v>
      </c>
      <c r="X322" s="2" t="s">
        <v>1183</v>
      </c>
      <c r="Y322" s="2" t="s">
        <v>1184</v>
      </c>
      <c r="Z322" s="2" t="s">
        <v>1185</v>
      </c>
      <c r="AA322" s="2">
        <v>3000</v>
      </c>
      <c r="AB322" s="2">
        <v>200</v>
      </c>
      <c r="AC322" s="2">
        <v>300</v>
      </c>
      <c r="AD322" s="2">
        <v>0</v>
      </c>
      <c r="AE322" s="2">
        <f t="shared" si="36"/>
        <v>3500</v>
      </c>
      <c r="AF322" s="2">
        <v>1000</v>
      </c>
      <c r="AG322" s="4">
        <v>45900</v>
      </c>
      <c r="AH322" s="2">
        <f t="shared" si="37"/>
        <v>2500</v>
      </c>
      <c r="AI322" s="2">
        <v>1000</v>
      </c>
      <c r="AJ322" s="4">
        <v>45930</v>
      </c>
      <c r="AK322" s="2">
        <f t="shared" si="38"/>
        <v>1500</v>
      </c>
      <c r="AL322" s="2">
        <v>500</v>
      </c>
      <c r="AM322" s="4">
        <v>45960</v>
      </c>
      <c r="AN322" s="2">
        <f t="shared" si="39"/>
        <v>1000</v>
      </c>
      <c r="AO322" s="2" cm="1">
        <f t="array" ref="AO322">_xlfn.IFS(AN322&gt;=5000,3000,AN322&gt;=2000,1000,AN322&gt;=500,500,AN322&lt;500,AN322)</f>
        <v>500</v>
      </c>
      <c r="AP322" s="4">
        <v>45991</v>
      </c>
      <c r="AQ322" s="2">
        <f t="shared" si="40"/>
        <v>500</v>
      </c>
      <c r="AR322" s="2">
        <v>500</v>
      </c>
      <c r="AS322" s="4">
        <v>46021</v>
      </c>
      <c r="AT322" s="2">
        <f t="shared" si="41"/>
        <v>0</v>
      </c>
      <c r="AU322" s="2" t="s">
        <v>1200</v>
      </c>
      <c r="AV322" s="4" t="s">
        <v>1200</v>
      </c>
      <c r="AW322" s="2" t="s">
        <v>1200</v>
      </c>
      <c r="AX322" s="2">
        <f t="shared" si="42"/>
        <v>3500</v>
      </c>
      <c r="AY322" s="2">
        <f t="shared" si="43"/>
        <v>0</v>
      </c>
      <c r="AZ322" s="2" t="str">
        <f t="shared" si="44"/>
        <v>Paid</v>
      </c>
      <c r="BA322" s="9" t="str" cm="1">
        <f t="array" ref="BA322">_xlfn.IFS(AZ322="Paid","R",AZ322="Unpaid","Q")</f>
        <v>R</v>
      </c>
      <c r="BB322" s="8" t="s">
        <v>2815</v>
      </c>
    </row>
    <row r="323" spans="1:54" x14ac:dyDescent="0.25">
      <c r="A323" s="2">
        <v>322</v>
      </c>
      <c r="B323" s="2">
        <v>322</v>
      </c>
      <c r="C323" s="2" t="s">
        <v>668</v>
      </c>
      <c r="D323" s="2" t="s">
        <v>1922</v>
      </c>
      <c r="E323" s="2" t="s">
        <v>669</v>
      </c>
      <c r="F323" s="4">
        <v>45897</v>
      </c>
      <c r="G323" s="8" t="s">
        <v>32</v>
      </c>
      <c r="H323" s="8" t="s">
        <v>1249</v>
      </c>
      <c r="I323" s="2" t="s">
        <v>14</v>
      </c>
      <c r="J323" s="2" t="s">
        <v>512</v>
      </c>
      <c r="K323" s="2" t="s">
        <v>791</v>
      </c>
      <c r="L323" s="2" t="s">
        <v>1259</v>
      </c>
      <c r="M323" s="2" t="s">
        <v>1262</v>
      </c>
      <c r="N323" s="2" t="s">
        <v>2337</v>
      </c>
      <c r="O323" s="4">
        <v>32588</v>
      </c>
      <c r="P323" s="2" t="s">
        <v>2757</v>
      </c>
      <c r="Q323" s="2" t="s">
        <v>2558</v>
      </c>
      <c r="R323" s="2" t="s">
        <v>2393</v>
      </c>
      <c r="S323" s="2" t="s">
        <v>792</v>
      </c>
      <c r="T323" s="2" t="s">
        <v>1609</v>
      </c>
      <c r="U323" s="2" t="s">
        <v>1280</v>
      </c>
      <c r="V323" s="2">
        <v>8123926292</v>
      </c>
      <c r="W323" s="2" t="s">
        <v>1125</v>
      </c>
      <c r="X323" s="2" t="s">
        <v>798</v>
      </c>
      <c r="Y323" s="2" t="s">
        <v>1184</v>
      </c>
      <c r="Z323" s="2" t="s">
        <v>1185</v>
      </c>
      <c r="AA323" s="2">
        <v>2000</v>
      </c>
      <c r="AB323" s="2">
        <v>200</v>
      </c>
      <c r="AC323" s="2">
        <v>300</v>
      </c>
      <c r="AD323" s="2">
        <v>300</v>
      </c>
      <c r="AE323" s="2">
        <f t="shared" ref="AE323:AE376" si="45">SUM(AA323:AC323) -AD323</f>
        <v>2200</v>
      </c>
      <c r="AF323" s="2">
        <v>500</v>
      </c>
      <c r="AG323" s="4">
        <v>45907</v>
      </c>
      <c r="AH323" s="2">
        <f t="shared" ref="AH323:AH376" si="46">AE323-AF323</f>
        <v>1700</v>
      </c>
      <c r="AI323" s="2">
        <v>500</v>
      </c>
      <c r="AJ323" s="4">
        <v>45937</v>
      </c>
      <c r="AK323" s="2">
        <f t="shared" ref="AK323:AK376" si="47">AH323-AI323</f>
        <v>1200</v>
      </c>
      <c r="AL323" s="2">
        <v>500</v>
      </c>
      <c r="AM323" s="4">
        <v>45968</v>
      </c>
      <c r="AN323" s="2">
        <f t="shared" ref="AN323:AN376" si="48">AK323-AL323</f>
        <v>700</v>
      </c>
      <c r="AO323" s="2" cm="1">
        <f t="array" ref="AO323">_xlfn.IFS(AN323&gt;=5000,3000,AN323&gt;=2000,1000,AN323&gt;=500,500,AN323&lt;500,AN323)</f>
        <v>500</v>
      </c>
      <c r="AP323" s="4">
        <v>45998</v>
      </c>
      <c r="AQ323" s="2">
        <f t="shared" ref="AQ323:AQ376" si="49">AN323-AO323</f>
        <v>200</v>
      </c>
      <c r="AR323" s="2">
        <v>200</v>
      </c>
      <c r="AS323" s="4">
        <v>46029</v>
      </c>
      <c r="AT323" s="2">
        <f t="shared" ref="AT323:AT376" si="50">IFERROR(AQ323-AR323,"")</f>
        <v>0</v>
      </c>
      <c r="AU323" s="2" t="s">
        <v>1200</v>
      </c>
      <c r="AV323" s="4" t="s">
        <v>1200</v>
      </c>
      <c r="AW323" s="2" t="s">
        <v>1200</v>
      </c>
      <c r="AX323" s="2">
        <f t="shared" ref="AX323:AX376" si="51">SUM(AF323,AI323,AL323,AO323,AR323,AU323)</f>
        <v>2200</v>
      </c>
      <c r="AY323" s="2">
        <f t="shared" ref="AY323:AY376" si="52">AE323-AX323</f>
        <v>0</v>
      </c>
      <c r="AZ323" s="2" t="str">
        <f t="shared" ref="AZ323:AZ376" si="53">IF(AY323=0,"Paid","Unpaid")</f>
        <v>Paid</v>
      </c>
      <c r="BA323" s="9" t="str" cm="1">
        <f t="array" ref="BA323">_xlfn.IFS(AZ323="Paid","R",AZ323="Unpaid","Q")</f>
        <v>R</v>
      </c>
      <c r="BB323" s="8" t="s">
        <v>2815</v>
      </c>
    </row>
    <row r="324" spans="1:54" x14ac:dyDescent="0.25">
      <c r="A324" s="2">
        <v>323</v>
      </c>
      <c r="B324" s="2">
        <v>323</v>
      </c>
      <c r="C324" s="2" t="s">
        <v>670</v>
      </c>
      <c r="D324" s="2" t="s">
        <v>1967</v>
      </c>
      <c r="E324" s="2" t="s">
        <v>671</v>
      </c>
      <c r="F324" s="4">
        <v>45902</v>
      </c>
      <c r="G324" s="8" t="s">
        <v>95</v>
      </c>
      <c r="H324" s="8" t="s">
        <v>1245</v>
      </c>
      <c r="I324" s="2" t="s">
        <v>14</v>
      </c>
      <c r="J324" s="2" t="s">
        <v>512</v>
      </c>
      <c r="K324" s="2" t="s">
        <v>791</v>
      </c>
      <c r="L324" s="2" t="s">
        <v>1259</v>
      </c>
      <c r="M324" s="2" t="s">
        <v>1262</v>
      </c>
      <c r="N324" s="2" t="s">
        <v>2338</v>
      </c>
      <c r="O324" s="4">
        <v>34597</v>
      </c>
      <c r="P324" s="2" t="s">
        <v>2758</v>
      </c>
      <c r="Q324" s="2" t="s">
        <v>2401</v>
      </c>
      <c r="R324" s="2" t="s">
        <v>2393</v>
      </c>
      <c r="S324" s="2" t="s">
        <v>788</v>
      </c>
      <c r="T324" s="2" t="s">
        <v>1610</v>
      </c>
      <c r="U324" s="2" t="s">
        <v>1271</v>
      </c>
      <c r="V324" s="2">
        <v>6909439419</v>
      </c>
      <c r="W324" s="2" t="s">
        <v>1126</v>
      </c>
      <c r="X324" s="2" t="s">
        <v>807</v>
      </c>
      <c r="Y324" s="2" t="s">
        <v>1184</v>
      </c>
      <c r="Z324" s="2" t="s">
        <v>1185</v>
      </c>
      <c r="AA324" s="2">
        <v>3500</v>
      </c>
      <c r="AB324" s="2">
        <v>200</v>
      </c>
      <c r="AC324" s="2">
        <v>500</v>
      </c>
      <c r="AD324" s="2">
        <v>0</v>
      </c>
      <c r="AE324" s="2">
        <f t="shared" si="45"/>
        <v>4200</v>
      </c>
      <c r="AF324" s="2">
        <v>1000</v>
      </c>
      <c r="AG324" s="4">
        <v>45912</v>
      </c>
      <c r="AH324" s="2">
        <f t="shared" si="46"/>
        <v>3200</v>
      </c>
      <c r="AI324" s="2">
        <v>1000</v>
      </c>
      <c r="AJ324" s="4">
        <v>45942</v>
      </c>
      <c r="AK324" s="2">
        <f t="shared" si="47"/>
        <v>2200</v>
      </c>
      <c r="AL324" s="2">
        <v>1000</v>
      </c>
      <c r="AM324" s="4">
        <v>45973</v>
      </c>
      <c r="AN324" s="2">
        <f t="shared" si="48"/>
        <v>1200</v>
      </c>
      <c r="AO324" s="2" cm="1">
        <f t="array" ref="AO324">_xlfn.IFS(AN324&gt;=5000,3000,AN324&gt;=2000,1000,AN324&gt;=500,500,AN324&lt;500,AN324)</f>
        <v>500</v>
      </c>
      <c r="AP324" s="4">
        <v>46003</v>
      </c>
      <c r="AQ324" s="2">
        <f t="shared" si="49"/>
        <v>700</v>
      </c>
      <c r="AR324" s="2">
        <v>500</v>
      </c>
      <c r="AS324" s="4">
        <v>46034</v>
      </c>
      <c r="AT324" s="2">
        <f t="shared" si="50"/>
        <v>200</v>
      </c>
      <c r="AU324" s="2">
        <v>200</v>
      </c>
      <c r="AV324" s="4">
        <v>46065</v>
      </c>
      <c r="AW324" s="2">
        <v>0</v>
      </c>
      <c r="AX324" s="2">
        <f t="shared" si="51"/>
        <v>4200</v>
      </c>
      <c r="AY324" s="2">
        <f t="shared" si="52"/>
        <v>0</v>
      </c>
      <c r="AZ324" s="2" t="str">
        <f t="shared" si="53"/>
        <v>Paid</v>
      </c>
      <c r="BA324" s="9" t="str" cm="1">
        <f t="array" ref="BA324">_xlfn.IFS(AZ324="Paid","R",AZ324="Unpaid","Q")</f>
        <v>R</v>
      </c>
      <c r="BB324" s="8" t="s">
        <v>2815</v>
      </c>
    </row>
    <row r="325" spans="1:54" x14ac:dyDescent="0.25">
      <c r="A325" s="2">
        <v>324</v>
      </c>
      <c r="B325" s="2">
        <v>324</v>
      </c>
      <c r="C325" s="2" t="s">
        <v>672</v>
      </c>
      <c r="D325" s="2" t="s">
        <v>1968</v>
      </c>
      <c r="E325" s="2" t="s">
        <v>673</v>
      </c>
      <c r="F325" s="4">
        <v>45903</v>
      </c>
      <c r="G325" s="8" t="s">
        <v>65</v>
      </c>
      <c r="H325" s="8" t="s">
        <v>65</v>
      </c>
      <c r="I325" s="2" t="s">
        <v>14</v>
      </c>
      <c r="J325" s="2" t="s">
        <v>512</v>
      </c>
      <c r="K325" s="2" t="s">
        <v>791</v>
      </c>
      <c r="L325" s="2" t="s">
        <v>1260</v>
      </c>
      <c r="M325" s="2" t="s">
        <v>1261</v>
      </c>
      <c r="N325" s="2" t="s">
        <v>2339</v>
      </c>
      <c r="O325" s="4">
        <v>36723</v>
      </c>
      <c r="P325" s="2" t="s">
        <v>2759</v>
      </c>
      <c r="Q325" s="2" t="s">
        <v>2459</v>
      </c>
      <c r="R325" s="2" t="s">
        <v>2393</v>
      </c>
      <c r="S325" s="2" t="s">
        <v>820</v>
      </c>
      <c r="T325" s="2" t="s">
        <v>1611</v>
      </c>
      <c r="U325" s="2" t="s">
        <v>1269</v>
      </c>
      <c r="V325" s="2">
        <v>8933744355</v>
      </c>
      <c r="W325" s="2" t="s">
        <v>1127</v>
      </c>
      <c r="X325" s="2" t="s">
        <v>809</v>
      </c>
      <c r="Y325" s="2" t="s">
        <v>1184</v>
      </c>
      <c r="Z325" s="2" t="s">
        <v>1185</v>
      </c>
      <c r="AA325" s="2">
        <v>2500</v>
      </c>
      <c r="AB325" s="2">
        <v>200</v>
      </c>
      <c r="AC325" s="2">
        <v>500</v>
      </c>
      <c r="AD325" s="2">
        <v>500</v>
      </c>
      <c r="AE325" s="2">
        <f t="shared" si="45"/>
        <v>2700</v>
      </c>
      <c r="AF325" s="2">
        <v>1000</v>
      </c>
      <c r="AG325" s="4">
        <v>45913</v>
      </c>
      <c r="AH325" s="2">
        <f t="shared" si="46"/>
        <v>1700</v>
      </c>
      <c r="AI325" s="2">
        <v>500</v>
      </c>
      <c r="AJ325" s="4">
        <v>45943</v>
      </c>
      <c r="AK325" s="2">
        <f t="shared" si="47"/>
        <v>1200</v>
      </c>
      <c r="AL325" s="2">
        <v>500</v>
      </c>
      <c r="AM325" s="4">
        <v>45974</v>
      </c>
      <c r="AN325" s="2">
        <f t="shared" si="48"/>
        <v>700</v>
      </c>
      <c r="AO325" s="2" cm="1">
        <f t="array" ref="AO325">_xlfn.IFS(AN325&gt;=5000,3000,AN325&gt;=2000,1000,AN325&gt;=500,500,AN325&lt;500,AN325)</f>
        <v>500</v>
      </c>
      <c r="AP325" s="4">
        <v>46004</v>
      </c>
      <c r="AQ325" s="2">
        <f t="shared" si="49"/>
        <v>200</v>
      </c>
      <c r="AR325" s="2">
        <v>200</v>
      </c>
      <c r="AS325" s="4">
        <v>46035</v>
      </c>
      <c r="AT325" s="2">
        <f t="shared" si="50"/>
        <v>0</v>
      </c>
      <c r="AU325" s="2" t="s">
        <v>1200</v>
      </c>
      <c r="AV325" s="4" t="s">
        <v>1200</v>
      </c>
      <c r="AW325" s="2" t="s">
        <v>1200</v>
      </c>
      <c r="AX325" s="2">
        <f t="shared" si="51"/>
        <v>2700</v>
      </c>
      <c r="AY325" s="2">
        <f t="shared" si="52"/>
        <v>0</v>
      </c>
      <c r="AZ325" s="2" t="str">
        <f t="shared" si="53"/>
        <v>Paid</v>
      </c>
      <c r="BA325" s="9" t="str" cm="1">
        <f t="array" ref="BA325">_xlfn.IFS(AZ325="Paid","R",AZ325="Unpaid","Q")</f>
        <v>R</v>
      </c>
      <c r="BB325" s="8" t="s">
        <v>2815</v>
      </c>
    </row>
    <row r="326" spans="1:54" x14ac:dyDescent="0.25">
      <c r="A326" s="2">
        <v>325</v>
      </c>
      <c r="B326" s="2">
        <v>325</v>
      </c>
      <c r="C326" s="2" t="s">
        <v>674</v>
      </c>
      <c r="D326" s="2" t="s">
        <v>1969</v>
      </c>
      <c r="E326" s="2" t="s">
        <v>675</v>
      </c>
      <c r="F326" s="4">
        <v>45903</v>
      </c>
      <c r="G326" s="8" t="s">
        <v>26</v>
      </c>
      <c r="H326" s="8" t="s">
        <v>1243</v>
      </c>
      <c r="I326" s="2" t="s">
        <v>9</v>
      </c>
      <c r="J326" s="2" t="s">
        <v>551</v>
      </c>
      <c r="K326" s="2" t="s">
        <v>787</v>
      </c>
      <c r="L326" s="2" t="s">
        <v>1256</v>
      </c>
      <c r="M326" s="2" t="s">
        <v>1263</v>
      </c>
      <c r="N326" s="2" t="s">
        <v>2340</v>
      </c>
      <c r="O326" s="4">
        <v>35500</v>
      </c>
      <c r="P326" s="2" t="s">
        <v>2760</v>
      </c>
      <c r="Q326" s="2" t="s">
        <v>2564</v>
      </c>
      <c r="R326" s="2" t="s">
        <v>2393</v>
      </c>
      <c r="S326" s="2" t="s">
        <v>788</v>
      </c>
      <c r="T326" s="2" t="s">
        <v>1612</v>
      </c>
      <c r="U326" s="2" t="s">
        <v>1272</v>
      </c>
      <c r="V326" s="2">
        <v>8011634331</v>
      </c>
      <c r="W326" s="2" t="s">
        <v>1128</v>
      </c>
      <c r="X326" s="2" t="s">
        <v>790</v>
      </c>
      <c r="Y326" s="2" t="s">
        <v>1184</v>
      </c>
      <c r="Z326" s="2" t="s">
        <v>1185</v>
      </c>
      <c r="AA326" s="2">
        <v>15000</v>
      </c>
      <c r="AB326" s="2">
        <v>200</v>
      </c>
      <c r="AC326" s="2">
        <v>1200</v>
      </c>
      <c r="AD326" s="2">
        <v>0</v>
      </c>
      <c r="AE326" s="2">
        <f t="shared" si="45"/>
        <v>16400</v>
      </c>
      <c r="AF326" s="2">
        <v>5000</v>
      </c>
      <c r="AG326" s="4">
        <v>45913</v>
      </c>
      <c r="AH326" s="2">
        <f t="shared" si="46"/>
        <v>11400</v>
      </c>
      <c r="AI326" s="2">
        <v>3000</v>
      </c>
      <c r="AJ326" s="4">
        <v>45943</v>
      </c>
      <c r="AK326" s="2">
        <f t="shared" si="47"/>
        <v>8400</v>
      </c>
      <c r="AL326" s="2">
        <v>3000</v>
      </c>
      <c r="AM326" s="4">
        <v>45974</v>
      </c>
      <c r="AN326" s="2">
        <f t="shared" si="48"/>
        <v>5400</v>
      </c>
      <c r="AO326" s="2" cm="1">
        <f t="array" ref="AO326">_xlfn.IFS(AN326&gt;=5000,3000,AN326&gt;=2000,1000,AN326&gt;=500,500,AN326&lt;500,AN326)</f>
        <v>3000</v>
      </c>
      <c r="AP326" s="4">
        <v>46004</v>
      </c>
      <c r="AQ326" s="2">
        <f t="shared" si="49"/>
        <v>2400</v>
      </c>
      <c r="AR326" s="2">
        <v>2000</v>
      </c>
      <c r="AS326" s="4">
        <v>46035</v>
      </c>
      <c r="AT326" s="2">
        <f t="shared" si="50"/>
        <v>400</v>
      </c>
      <c r="AU326" s="2">
        <v>400</v>
      </c>
      <c r="AV326" s="4">
        <v>46066</v>
      </c>
      <c r="AW326" s="2">
        <v>0</v>
      </c>
      <c r="AX326" s="2">
        <f t="shared" si="51"/>
        <v>16400</v>
      </c>
      <c r="AY326" s="2">
        <f t="shared" si="52"/>
        <v>0</v>
      </c>
      <c r="AZ326" s="2" t="str">
        <f t="shared" si="53"/>
        <v>Paid</v>
      </c>
      <c r="BA326" s="9" t="str" cm="1">
        <f t="array" ref="BA326">_xlfn.IFS(AZ326="Paid","R",AZ326="Unpaid","Q")</f>
        <v>R</v>
      </c>
      <c r="BB326" s="8" t="s">
        <v>2817</v>
      </c>
    </row>
    <row r="327" spans="1:54" x14ac:dyDescent="0.25">
      <c r="A327" s="2">
        <v>326</v>
      </c>
      <c r="B327" s="2">
        <v>326</v>
      </c>
      <c r="C327" s="2" t="s">
        <v>676</v>
      </c>
      <c r="D327" s="2" t="s">
        <v>1970</v>
      </c>
      <c r="E327" s="2" t="s">
        <v>677</v>
      </c>
      <c r="F327" s="4">
        <v>45904</v>
      </c>
      <c r="G327" s="8" t="s">
        <v>8</v>
      </c>
      <c r="H327" s="8" t="s">
        <v>1242</v>
      </c>
      <c r="I327" s="2" t="s">
        <v>9</v>
      </c>
      <c r="J327" s="2" t="s">
        <v>551</v>
      </c>
      <c r="K327" s="2" t="s">
        <v>787</v>
      </c>
      <c r="L327" s="2" t="s">
        <v>1259</v>
      </c>
      <c r="M327" s="2" t="s">
        <v>1262</v>
      </c>
      <c r="N327" s="2" t="s">
        <v>2341</v>
      </c>
      <c r="O327" s="4">
        <v>34113</v>
      </c>
      <c r="P327" s="2" t="s">
        <v>2761</v>
      </c>
      <c r="Q327" s="2" t="s">
        <v>2500</v>
      </c>
      <c r="R327" s="2" t="s">
        <v>2396</v>
      </c>
      <c r="S327" s="2" t="s">
        <v>788</v>
      </c>
      <c r="T327" s="2" t="s">
        <v>1613</v>
      </c>
      <c r="U327" s="2" t="s">
        <v>1286</v>
      </c>
      <c r="V327" s="2">
        <v>8984319834</v>
      </c>
      <c r="W327" s="2" t="s">
        <v>1129</v>
      </c>
      <c r="X327" s="2" t="s">
        <v>809</v>
      </c>
      <c r="Y327" s="2" t="s">
        <v>1184</v>
      </c>
      <c r="Z327" s="2" t="s">
        <v>1185</v>
      </c>
      <c r="AA327" s="2">
        <v>12500</v>
      </c>
      <c r="AB327" s="2">
        <v>200</v>
      </c>
      <c r="AC327" s="2">
        <v>1200</v>
      </c>
      <c r="AD327" s="2">
        <v>300</v>
      </c>
      <c r="AE327" s="2">
        <f t="shared" si="45"/>
        <v>13600</v>
      </c>
      <c r="AF327" s="2">
        <v>5000</v>
      </c>
      <c r="AG327" s="4">
        <v>45914</v>
      </c>
      <c r="AH327" s="2">
        <f t="shared" si="46"/>
        <v>8600</v>
      </c>
      <c r="AI327" s="2">
        <v>3000</v>
      </c>
      <c r="AJ327" s="4">
        <v>45944</v>
      </c>
      <c r="AK327" s="2">
        <f t="shared" si="47"/>
        <v>5600</v>
      </c>
      <c r="AL327" s="2">
        <v>3000</v>
      </c>
      <c r="AM327" s="4">
        <v>45975</v>
      </c>
      <c r="AN327" s="2">
        <f t="shared" si="48"/>
        <v>2600</v>
      </c>
      <c r="AO327" s="2" cm="1">
        <f t="array" ref="AO327">_xlfn.IFS(AN327&gt;=5000,3000,AN327&gt;=2000,1000,AN327&gt;=500,500,AN327&lt;500,AN327)</f>
        <v>1000</v>
      </c>
      <c r="AP327" s="4">
        <v>46005</v>
      </c>
      <c r="AQ327" s="2">
        <f t="shared" si="49"/>
        <v>1600</v>
      </c>
      <c r="AR327" s="2">
        <v>1000</v>
      </c>
      <c r="AS327" s="4">
        <v>46036</v>
      </c>
      <c r="AT327" s="2">
        <f t="shared" si="50"/>
        <v>600</v>
      </c>
      <c r="AU327" s="2">
        <v>600</v>
      </c>
      <c r="AV327" s="4">
        <v>46067</v>
      </c>
      <c r="AW327" s="2">
        <v>0</v>
      </c>
      <c r="AX327" s="2">
        <f t="shared" si="51"/>
        <v>13600</v>
      </c>
      <c r="AY327" s="2">
        <f t="shared" si="52"/>
        <v>0</v>
      </c>
      <c r="AZ327" s="2" t="str">
        <f t="shared" si="53"/>
        <v>Paid</v>
      </c>
      <c r="BA327" s="9" t="str" cm="1">
        <f t="array" ref="BA327">_xlfn.IFS(AZ327="Paid","R",AZ327="Unpaid","Q")</f>
        <v>R</v>
      </c>
      <c r="BB327" s="8" t="s">
        <v>2817</v>
      </c>
    </row>
    <row r="328" spans="1:54" x14ac:dyDescent="0.25">
      <c r="A328" s="2">
        <v>327</v>
      </c>
      <c r="B328" s="2">
        <v>327</v>
      </c>
      <c r="C328" s="2" t="s">
        <v>678</v>
      </c>
      <c r="D328" s="2" t="s">
        <v>1971</v>
      </c>
      <c r="E328" s="2" t="s">
        <v>679</v>
      </c>
      <c r="F328" s="4">
        <v>45909</v>
      </c>
      <c r="G328" s="8" t="s">
        <v>29</v>
      </c>
      <c r="H328" s="8" t="s">
        <v>1248</v>
      </c>
      <c r="I328" s="2" t="s">
        <v>14</v>
      </c>
      <c r="J328" s="2" t="s">
        <v>512</v>
      </c>
      <c r="K328" s="2" t="s">
        <v>791</v>
      </c>
      <c r="L328" s="2" t="s">
        <v>1259</v>
      </c>
      <c r="M328" s="2" t="s">
        <v>1262</v>
      </c>
      <c r="N328" s="2" t="s">
        <v>2342</v>
      </c>
      <c r="O328" s="4">
        <v>37082</v>
      </c>
      <c r="P328" s="2" t="s">
        <v>2762</v>
      </c>
      <c r="Q328" s="2" t="s">
        <v>2513</v>
      </c>
      <c r="R328" s="2" t="s">
        <v>2393</v>
      </c>
      <c r="S328" s="2" t="s">
        <v>820</v>
      </c>
      <c r="T328" s="2" t="s">
        <v>1614</v>
      </c>
      <c r="U328" s="2" t="s">
        <v>1269</v>
      </c>
      <c r="V328" s="2">
        <v>8765832482</v>
      </c>
      <c r="W328" s="2" t="s">
        <v>1130</v>
      </c>
      <c r="X328" s="2" t="s">
        <v>811</v>
      </c>
      <c r="Y328" s="2" t="s">
        <v>1184</v>
      </c>
      <c r="Z328" s="2" t="s">
        <v>1185</v>
      </c>
      <c r="AA328" s="2">
        <v>2500</v>
      </c>
      <c r="AB328" s="2">
        <v>200</v>
      </c>
      <c r="AC328" s="2">
        <v>400</v>
      </c>
      <c r="AD328" s="2">
        <v>200</v>
      </c>
      <c r="AE328" s="2">
        <f t="shared" si="45"/>
        <v>2900</v>
      </c>
      <c r="AF328" s="2">
        <v>1000</v>
      </c>
      <c r="AG328" s="4">
        <v>45919</v>
      </c>
      <c r="AH328" s="2">
        <f t="shared" si="46"/>
        <v>1900</v>
      </c>
      <c r="AI328" s="2">
        <v>500</v>
      </c>
      <c r="AJ328" s="4">
        <v>45949</v>
      </c>
      <c r="AK328" s="2">
        <f t="shared" si="47"/>
        <v>1400</v>
      </c>
      <c r="AL328" s="2">
        <v>500</v>
      </c>
      <c r="AM328" s="4">
        <v>45980</v>
      </c>
      <c r="AN328" s="2">
        <f t="shared" si="48"/>
        <v>900</v>
      </c>
      <c r="AO328" s="2" cm="1">
        <f t="array" ref="AO328">_xlfn.IFS(AN328&gt;=5000,3000,AN328&gt;=2000,1000,AN328&gt;=500,500,AN328&lt;500,AN328)</f>
        <v>500</v>
      </c>
      <c r="AP328" s="4">
        <v>46010</v>
      </c>
      <c r="AQ328" s="2">
        <f t="shared" si="49"/>
        <v>400</v>
      </c>
      <c r="AR328" s="2">
        <v>400</v>
      </c>
      <c r="AS328" s="4">
        <v>46041</v>
      </c>
      <c r="AT328" s="2">
        <f t="shared" si="50"/>
        <v>0</v>
      </c>
      <c r="AU328" s="2" t="s">
        <v>1200</v>
      </c>
      <c r="AV328" s="4" t="s">
        <v>1200</v>
      </c>
      <c r="AW328" s="2" t="s">
        <v>1200</v>
      </c>
      <c r="AX328" s="2">
        <f t="shared" si="51"/>
        <v>2900</v>
      </c>
      <c r="AY328" s="2">
        <f t="shared" si="52"/>
        <v>0</v>
      </c>
      <c r="AZ328" s="2" t="str">
        <f t="shared" si="53"/>
        <v>Paid</v>
      </c>
      <c r="BA328" s="9" t="str" cm="1">
        <f t="array" ref="BA328">_xlfn.IFS(AZ328="Paid","R",AZ328="Unpaid","Q")</f>
        <v>R</v>
      </c>
      <c r="BB328" s="8" t="s">
        <v>2815</v>
      </c>
    </row>
    <row r="329" spans="1:54" x14ac:dyDescent="0.25">
      <c r="A329" s="2">
        <v>328</v>
      </c>
      <c r="B329" s="2">
        <v>328</v>
      </c>
      <c r="C329" s="2" t="s">
        <v>680</v>
      </c>
      <c r="D329" s="2" t="s">
        <v>1972</v>
      </c>
      <c r="E329" s="2" t="s">
        <v>681</v>
      </c>
      <c r="F329" s="4">
        <v>45909</v>
      </c>
      <c r="G329" s="8" t="s">
        <v>32</v>
      </c>
      <c r="H329" s="8" t="s">
        <v>1249</v>
      </c>
      <c r="I329" s="2" t="s">
        <v>14</v>
      </c>
      <c r="J329" s="2" t="s">
        <v>512</v>
      </c>
      <c r="K329" s="2" t="s">
        <v>791</v>
      </c>
      <c r="L329" s="2" t="s">
        <v>1258</v>
      </c>
      <c r="M329" s="2" t="s">
        <v>1264</v>
      </c>
      <c r="N329" s="2" t="s">
        <v>2343</v>
      </c>
      <c r="O329" s="4">
        <v>35339</v>
      </c>
      <c r="P329" s="2" t="s">
        <v>2737</v>
      </c>
      <c r="Q329" s="2" t="s">
        <v>2424</v>
      </c>
      <c r="R329" s="2" t="s">
        <v>2393</v>
      </c>
      <c r="S329" s="2" t="s">
        <v>788</v>
      </c>
      <c r="T329" s="2" t="s">
        <v>1615</v>
      </c>
      <c r="U329" s="2" t="s">
        <v>1270</v>
      </c>
      <c r="V329" s="2">
        <v>6815031452</v>
      </c>
      <c r="W329" s="2" t="s">
        <v>1131</v>
      </c>
      <c r="X329" s="2" t="s">
        <v>811</v>
      </c>
      <c r="Y329" s="2" t="s">
        <v>1184</v>
      </c>
      <c r="Z329" s="2" t="s">
        <v>1185</v>
      </c>
      <c r="AA329" s="2">
        <v>2000</v>
      </c>
      <c r="AB329" s="2">
        <v>200</v>
      </c>
      <c r="AC329" s="2">
        <v>300</v>
      </c>
      <c r="AD329" s="2">
        <v>0</v>
      </c>
      <c r="AE329" s="2">
        <f t="shared" si="45"/>
        <v>2500</v>
      </c>
      <c r="AF329" s="2">
        <v>1000</v>
      </c>
      <c r="AG329" s="4">
        <v>45919</v>
      </c>
      <c r="AH329" s="2">
        <f t="shared" si="46"/>
        <v>1500</v>
      </c>
      <c r="AI329" s="2">
        <v>500</v>
      </c>
      <c r="AJ329" s="4">
        <v>45949</v>
      </c>
      <c r="AK329" s="2">
        <f t="shared" si="47"/>
        <v>1000</v>
      </c>
      <c r="AL329" s="2">
        <v>500</v>
      </c>
      <c r="AM329" s="4">
        <v>45980</v>
      </c>
      <c r="AN329" s="2">
        <f t="shared" si="48"/>
        <v>500</v>
      </c>
      <c r="AO329" s="2" cm="1">
        <f t="array" ref="AO329">_xlfn.IFS(AN329&gt;=5000,3000,AN329&gt;=2000,1000,AN329&gt;=500,500,AN329&lt;500,AN329)</f>
        <v>500</v>
      </c>
      <c r="AP329" s="4">
        <v>46010</v>
      </c>
      <c r="AQ329" s="2">
        <f t="shared" si="49"/>
        <v>0</v>
      </c>
      <c r="AR329" s="2" t="s">
        <v>1200</v>
      </c>
      <c r="AS329" s="4" t="s">
        <v>1200</v>
      </c>
      <c r="AT329" s="2" t="str">
        <f t="shared" si="50"/>
        <v/>
      </c>
      <c r="AU329" s="2" t="s">
        <v>1200</v>
      </c>
      <c r="AV329" s="4" t="s">
        <v>1200</v>
      </c>
      <c r="AW329" s="2" t="s">
        <v>1200</v>
      </c>
      <c r="AX329" s="2">
        <f t="shared" si="51"/>
        <v>2500</v>
      </c>
      <c r="AY329" s="2">
        <f t="shared" si="52"/>
        <v>0</v>
      </c>
      <c r="AZ329" s="2" t="str">
        <f t="shared" si="53"/>
        <v>Paid</v>
      </c>
      <c r="BA329" s="9" t="str" cm="1">
        <f t="array" ref="BA329">_xlfn.IFS(AZ329="Paid","R",AZ329="Unpaid","Q")</f>
        <v>R</v>
      </c>
      <c r="BB329" s="8" t="s">
        <v>2815</v>
      </c>
    </row>
    <row r="330" spans="1:54" x14ac:dyDescent="0.25">
      <c r="A330" s="2">
        <v>329</v>
      </c>
      <c r="B330" s="2">
        <v>329</v>
      </c>
      <c r="C330" s="2" t="s">
        <v>682</v>
      </c>
      <c r="D330" s="2" t="s">
        <v>1973</v>
      </c>
      <c r="E330" s="2" t="s">
        <v>683</v>
      </c>
      <c r="F330" s="4">
        <v>45915</v>
      </c>
      <c r="G330" s="8" t="s">
        <v>26</v>
      </c>
      <c r="H330" s="8" t="s">
        <v>1243</v>
      </c>
      <c r="I330" s="2" t="s">
        <v>9</v>
      </c>
      <c r="J330" s="2" t="s">
        <v>551</v>
      </c>
      <c r="K330" s="2" t="s">
        <v>787</v>
      </c>
      <c r="L330" s="2" t="s">
        <v>1257</v>
      </c>
      <c r="M330" s="2" t="s">
        <v>1261</v>
      </c>
      <c r="N330" s="2" t="s">
        <v>2344</v>
      </c>
      <c r="O330" s="4">
        <v>36294</v>
      </c>
      <c r="P330" s="2" t="s">
        <v>2763</v>
      </c>
      <c r="Q330" s="2" t="s">
        <v>2558</v>
      </c>
      <c r="R330" s="2" t="s">
        <v>2393</v>
      </c>
      <c r="S330" s="2" t="s">
        <v>788</v>
      </c>
      <c r="T330" s="2" t="s">
        <v>1616</v>
      </c>
      <c r="U330" s="2" t="s">
        <v>1282</v>
      </c>
      <c r="V330" s="2">
        <v>6351244992</v>
      </c>
      <c r="W330" s="2" t="s">
        <v>1132</v>
      </c>
      <c r="X330" s="2" t="s">
        <v>798</v>
      </c>
      <c r="Y330" s="2" t="s">
        <v>1184</v>
      </c>
      <c r="Z330" s="2" t="s">
        <v>1185</v>
      </c>
      <c r="AA330" s="2">
        <v>15000</v>
      </c>
      <c r="AB330" s="2">
        <v>200</v>
      </c>
      <c r="AC330" s="2">
        <v>1200</v>
      </c>
      <c r="AD330" s="2">
        <v>0</v>
      </c>
      <c r="AE330" s="2">
        <f t="shared" si="45"/>
        <v>16400</v>
      </c>
      <c r="AF330" s="2">
        <v>5000</v>
      </c>
      <c r="AG330" s="4">
        <v>45925</v>
      </c>
      <c r="AH330" s="2">
        <f t="shared" si="46"/>
        <v>11400</v>
      </c>
      <c r="AI330" s="2">
        <v>3000</v>
      </c>
      <c r="AJ330" s="4">
        <v>45955</v>
      </c>
      <c r="AK330" s="2">
        <f t="shared" si="47"/>
        <v>8400</v>
      </c>
      <c r="AL330" s="2">
        <v>3000</v>
      </c>
      <c r="AM330" s="4">
        <v>45986</v>
      </c>
      <c r="AN330" s="2">
        <f t="shared" si="48"/>
        <v>5400</v>
      </c>
      <c r="AO330" s="2" cm="1">
        <f t="array" ref="AO330">_xlfn.IFS(AN330&gt;=5000,3000,AN330&gt;=2000,1000,AN330&gt;=500,500,AN330&lt;500,AN330)</f>
        <v>3000</v>
      </c>
      <c r="AP330" s="4">
        <v>46016</v>
      </c>
      <c r="AQ330" s="2">
        <f t="shared" si="49"/>
        <v>2400</v>
      </c>
      <c r="AR330" s="2">
        <v>2000</v>
      </c>
      <c r="AS330" s="4">
        <v>46047</v>
      </c>
      <c r="AT330" s="2">
        <f t="shared" si="50"/>
        <v>400</v>
      </c>
      <c r="AU330" s="2">
        <v>400</v>
      </c>
      <c r="AV330" s="4">
        <v>46078</v>
      </c>
      <c r="AW330" s="2">
        <v>0</v>
      </c>
      <c r="AX330" s="2">
        <f t="shared" si="51"/>
        <v>16400</v>
      </c>
      <c r="AY330" s="2">
        <f t="shared" si="52"/>
        <v>0</v>
      </c>
      <c r="AZ330" s="2" t="str">
        <f t="shared" si="53"/>
        <v>Paid</v>
      </c>
      <c r="BA330" s="9" t="str" cm="1">
        <f t="array" ref="BA330">_xlfn.IFS(AZ330="Paid","R",AZ330="Unpaid","Q")</f>
        <v>R</v>
      </c>
      <c r="BB330" s="8" t="s">
        <v>2815</v>
      </c>
    </row>
    <row r="331" spans="1:54" x14ac:dyDescent="0.25">
      <c r="A331" s="2">
        <v>330</v>
      </c>
      <c r="B331" s="2">
        <v>330</v>
      </c>
      <c r="C331" s="2" t="s">
        <v>684</v>
      </c>
      <c r="D331" s="2" t="s">
        <v>1944</v>
      </c>
      <c r="E331" s="2" t="s">
        <v>685</v>
      </c>
      <c r="F331" s="4">
        <v>45918</v>
      </c>
      <c r="G331" s="8" t="s">
        <v>38</v>
      </c>
      <c r="H331" s="8" t="s">
        <v>1246</v>
      </c>
      <c r="I331" s="2" t="s">
        <v>9</v>
      </c>
      <c r="J331" s="2" t="s">
        <v>512</v>
      </c>
      <c r="K331" s="2" t="s">
        <v>795</v>
      </c>
      <c r="L331" s="2" t="s">
        <v>1260</v>
      </c>
      <c r="M331" s="2" t="s">
        <v>1261</v>
      </c>
      <c r="N331" s="2" t="s">
        <v>2345</v>
      </c>
      <c r="O331" s="4">
        <v>35073</v>
      </c>
      <c r="P331" s="2" t="s">
        <v>2764</v>
      </c>
      <c r="Q331" s="2" t="s">
        <v>2439</v>
      </c>
      <c r="R331" s="2" t="s">
        <v>2396</v>
      </c>
      <c r="S331" s="2" t="s">
        <v>788</v>
      </c>
      <c r="T331" s="2" t="s">
        <v>1617</v>
      </c>
      <c r="U331" s="2" t="s">
        <v>1270</v>
      </c>
      <c r="V331" s="2">
        <v>6417548943</v>
      </c>
      <c r="W331" s="2" t="s">
        <v>1133</v>
      </c>
      <c r="X331" s="2" t="s">
        <v>790</v>
      </c>
      <c r="Y331" s="2" t="s">
        <v>1184</v>
      </c>
      <c r="Z331" s="2" t="s">
        <v>1185</v>
      </c>
      <c r="AA331" s="2">
        <v>6000</v>
      </c>
      <c r="AB331" s="2">
        <v>200</v>
      </c>
      <c r="AC331" s="2">
        <v>800</v>
      </c>
      <c r="AD331" s="2">
        <v>200</v>
      </c>
      <c r="AE331" s="2">
        <f t="shared" si="45"/>
        <v>6800</v>
      </c>
      <c r="AF331" s="2">
        <v>2500</v>
      </c>
      <c r="AG331" s="4">
        <v>45928</v>
      </c>
      <c r="AH331" s="2">
        <f t="shared" si="46"/>
        <v>4300</v>
      </c>
      <c r="AI331" s="2">
        <v>1000</v>
      </c>
      <c r="AJ331" s="4">
        <v>45958</v>
      </c>
      <c r="AK331" s="2">
        <f t="shared" si="47"/>
        <v>3300</v>
      </c>
      <c r="AL331" s="2">
        <v>1000</v>
      </c>
      <c r="AM331" s="4">
        <v>45989</v>
      </c>
      <c r="AN331" s="2">
        <f t="shared" si="48"/>
        <v>2300</v>
      </c>
      <c r="AO331" s="2" cm="1">
        <f t="array" ref="AO331">_xlfn.IFS(AN331&gt;=5000,3000,AN331&gt;=2000,1000,AN331&gt;=500,500,AN331&lt;500,AN331)</f>
        <v>1000</v>
      </c>
      <c r="AP331" s="4">
        <v>46019</v>
      </c>
      <c r="AQ331" s="2">
        <f t="shared" si="49"/>
        <v>1300</v>
      </c>
      <c r="AR331" s="2">
        <v>1000</v>
      </c>
      <c r="AS331" s="4">
        <v>46050</v>
      </c>
      <c r="AT331" s="2">
        <f t="shared" si="50"/>
        <v>300</v>
      </c>
      <c r="AU331" s="2">
        <v>300</v>
      </c>
      <c r="AV331" s="4">
        <v>46081</v>
      </c>
      <c r="AW331" s="2">
        <v>0</v>
      </c>
      <c r="AX331" s="2">
        <f t="shared" si="51"/>
        <v>6800</v>
      </c>
      <c r="AY331" s="2">
        <f t="shared" si="52"/>
        <v>0</v>
      </c>
      <c r="AZ331" s="2" t="str">
        <f t="shared" si="53"/>
        <v>Paid</v>
      </c>
      <c r="BA331" s="9" t="str" cm="1">
        <f t="array" ref="BA331">_xlfn.IFS(AZ331="Paid","R",AZ331="Unpaid","Q")</f>
        <v>R</v>
      </c>
      <c r="BB331" s="8" t="s">
        <v>2815</v>
      </c>
    </row>
    <row r="332" spans="1:54" x14ac:dyDescent="0.25">
      <c r="A332" s="2">
        <v>331</v>
      </c>
      <c r="B332" s="2">
        <v>331</v>
      </c>
      <c r="C332" s="2" t="s">
        <v>686</v>
      </c>
      <c r="D332" s="2" t="s">
        <v>1974</v>
      </c>
      <c r="E332" s="2" t="s">
        <v>687</v>
      </c>
      <c r="F332" s="4">
        <v>45921</v>
      </c>
      <c r="G332" s="8" t="s">
        <v>18</v>
      </c>
      <c r="H332" s="8" t="s">
        <v>1253</v>
      </c>
      <c r="I332" s="2" t="s">
        <v>9</v>
      </c>
      <c r="J332" s="2" t="s">
        <v>512</v>
      </c>
      <c r="K332" s="2" t="s">
        <v>795</v>
      </c>
      <c r="L332" s="2" t="s">
        <v>1260</v>
      </c>
      <c r="M332" s="2" t="s">
        <v>1261</v>
      </c>
      <c r="N332" s="2" t="s">
        <v>2346</v>
      </c>
      <c r="O332" s="4">
        <v>33904</v>
      </c>
      <c r="P332" s="2" t="s">
        <v>2709</v>
      </c>
      <c r="Q332" s="2" t="s">
        <v>2619</v>
      </c>
      <c r="R332" s="2" t="s">
        <v>2396</v>
      </c>
      <c r="S332" s="2" t="s">
        <v>820</v>
      </c>
      <c r="T332" s="2" t="s">
        <v>1618</v>
      </c>
      <c r="U332" s="2" t="s">
        <v>1275</v>
      </c>
      <c r="V332" s="2">
        <v>6656728719</v>
      </c>
      <c r="W332" s="2" t="s">
        <v>1134</v>
      </c>
      <c r="X332" s="2" t="s">
        <v>1183</v>
      </c>
      <c r="Y332" s="2" t="s">
        <v>1184</v>
      </c>
      <c r="Z332" s="2" t="s">
        <v>1185</v>
      </c>
      <c r="AA332" s="2">
        <v>7000</v>
      </c>
      <c r="AB332" s="2">
        <v>200</v>
      </c>
      <c r="AC332" s="2">
        <v>800</v>
      </c>
      <c r="AD332" s="2">
        <v>300</v>
      </c>
      <c r="AE332" s="2">
        <f t="shared" si="45"/>
        <v>7700</v>
      </c>
      <c r="AF332" s="2">
        <v>2500</v>
      </c>
      <c r="AG332" s="4">
        <v>45931</v>
      </c>
      <c r="AH332" s="2">
        <f t="shared" si="46"/>
        <v>5200</v>
      </c>
      <c r="AI332" s="2">
        <v>3000</v>
      </c>
      <c r="AJ332" s="4">
        <v>45962</v>
      </c>
      <c r="AK332" s="2">
        <f t="shared" si="47"/>
        <v>2200</v>
      </c>
      <c r="AL332" s="2">
        <v>1000</v>
      </c>
      <c r="AM332" s="4">
        <v>45992</v>
      </c>
      <c r="AN332" s="2">
        <f t="shared" si="48"/>
        <v>1200</v>
      </c>
      <c r="AO332" s="2" cm="1">
        <f t="array" ref="AO332">_xlfn.IFS(AN332&gt;=5000,3000,AN332&gt;=2000,1000,AN332&gt;=500,500,AN332&lt;500,AN332)</f>
        <v>500</v>
      </c>
      <c r="AP332" s="4">
        <v>46023</v>
      </c>
      <c r="AQ332" s="2">
        <f t="shared" si="49"/>
        <v>700</v>
      </c>
      <c r="AR332" s="2">
        <v>500</v>
      </c>
      <c r="AS332" s="4">
        <v>46054</v>
      </c>
      <c r="AT332" s="2">
        <f t="shared" si="50"/>
        <v>200</v>
      </c>
      <c r="AU332" s="2">
        <v>200</v>
      </c>
      <c r="AV332" s="4">
        <v>46082</v>
      </c>
      <c r="AW332" s="2">
        <v>0</v>
      </c>
      <c r="AX332" s="2">
        <f t="shared" si="51"/>
        <v>7700</v>
      </c>
      <c r="AY332" s="2">
        <f t="shared" si="52"/>
        <v>0</v>
      </c>
      <c r="AZ332" s="2" t="str">
        <f t="shared" si="53"/>
        <v>Paid</v>
      </c>
      <c r="BA332" s="9" t="str" cm="1">
        <f t="array" ref="BA332">_xlfn.IFS(AZ332="Paid","R",AZ332="Unpaid","Q")</f>
        <v>R</v>
      </c>
      <c r="BB332" s="8" t="s">
        <v>2815</v>
      </c>
    </row>
    <row r="333" spans="1:54" x14ac:dyDescent="0.25">
      <c r="A333" s="2">
        <v>332</v>
      </c>
      <c r="B333" s="2">
        <v>332</v>
      </c>
      <c r="C333" s="2" t="s">
        <v>688</v>
      </c>
      <c r="D333" s="2" t="s">
        <v>1975</v>
      </c>
      <c r="E333" s="2" t="s">
        <v>689</v>
      </c>
      <c r="F333" s="4">
        <v>45922</v>
      </c>
      <c r="G333" s="8" t="s">
        <v>45</v>
      </c>
      <c r="H333" s="8" t="s">
        <v>1250</v>
      </c>
      <c r="I333" s="2" t="s">
        <v>14</v>
      </c>
      <c r="J333" s="2" t="s">
        <v>512</v>
      </c>
      <c r="K333" s="2" t="s">
        <v>791</v>
      </c>
      <c r="L333" s="2" t="s">
        <v>1257</v>
      </c>
      <c r="M333" s="2" t="s">
        <v>1261</v>
      </c>
      <c r="N333" s="2" t="s">
        <v>2347</v>
      </c>
      <c r="O333" s="4">
        <v>35514</v>
      </c>
      <c r="P333" s="2" t="s">
        <v>2765</v>
      </c>
      <c r="Q333" s="2" t="s">
        <v>2392</v>
      </c>
      <c r="R333" s="2" t="s">
        <v>2393</v>
      </c>
      <c r="S333" s="2" t="s">
        <v>820</v>
      </c>
      <c r="T333" s="2" t="s">
        <v>1619</v>
      </c>
      <c r="U333" s="2" t="s">
        <v>1274</v>
      </c>
      <c r="V333" s="2">
        <v>9632729518</v>
      </c>
      <c r="W333" s="2" t="s">
        <v>1135</v>
      </c>
      <c r="X333" s="2" t="s">
        <v>813</v>
      </c>
      <c r="Y333" s="2" t="s">
        <v>1184</v>
      </c>
      <c r="Z333" s="2" t="s">
        <v>1185</v>
      </c>
      <c r="AA333" s="2">
        <v>2000</v>
      </c>
      <c r="AB333" s="2">
        <v>200</v>
      </c>
      <c r="AC333" s="2">
        <v>300</v>
      </c>
      <c r="AD333" s="2">
        <v>300</v>
      </c>
      <c r="AE333" s="2">
        <f t="shared" si="45"/>
        <v>2200</v>
      </c>
      <c r="AF333" s="2">
        <v>500</v>
      </c>
      <c r="AG333" s="4">
        <v>45932</v>
      </c>
      <c r="AH333" s="2">
        <f t="shared" si="46"/>
        <v>1700</v>
      </c>
      <c r="AI333" s="2">
        <v>500</v>
      </c>
      <c r="AJ333" s="4">
        <v>45963</v>
      </c>
      <c r="AK333" s="2">
        <f t="shared" si="47"/>
        <v>1200</v>
      </c>
      <c r="AL333" s="2">
        <v>500</v>
      </c>
      <c r="AM333" s="4">
        <v>45993</v>
      </c>
      <c r="AN333" s="2">
        <f t="shared" si="48"/>
        <v>700</v>
      </c>
      <c r="AO333" s="2" cm="1">
        <f t="array" ref="AO333">_xlfn.IFS(AN333&gt;=5000,3000,AN333&gt;=2000,1000,AN333&gt;=500,500,AN333&lt;500,AN333)</f>
        <v>500</v>
      </c>
      <c r="AP333" s="4">
        <v>46024</v>
      </c>
      <c r="AQ333" s="2">
        <f t="shared" si="49"/>
        <v>200</v>
      </c>
      <c r="AR333" s="2">
        <v>200</v>
      </c>
      <c r="AS333" s="4">
        <v>46055</v>
      </c>
      <c r="AT333" s="2">
        <f t="shared" si="50"/>
        <v>0</v>
      </c>
      <c r="AU333" s="2" t="s">
        <v>1200</v>
      </c>
      <c r="AV333" s="4" t="s">
        <v>1200</v>
      </c>
      <c r="AW333" s="2" t="s">
        <v>1200</v>
      </c>
      <c r="AX333" s="2">
        <f t="shared" si="51"/>
        <v>2200</v>
      </c>
      <c r="AY333" s="2">
        <f t="shared" si="52"/>
        <v>0</v>
      </c>
      <c r="AZ333" s="2" t="str">
        <f t="shared" si="53"/>
        <v>Paid</v>
      </c>
      <c r="BA333" s="9" t="str" cm="1">
        <f t="array" ref="BA333">_xlfn.IFS(AZ333="Paid","R",AZ333="Unpaid","Q")</f>
        <v>R</v>
      </c>
      <c r="BB333" s="8" t="s">
        <v>2815</v>
      </c>
    </row>
    <row r="334" spans="1:54" x14ac:dyDescent="0.25">
      <c r="A334" s="2">
        <v>333</v>
      </c>
      <c r="B334" s="2">
        <v>333</v>
      </c>
      <c r="C334" s="2" t="s">
        <v>690</v>
      </c>
      <c r="D334" s="2" t="s">
        <v>1976</v>
      </c>
      <c r="E334" s="2" t="s">
        <v>691</v>
      </c>
      <c r="F334" s="4">
        <v>45922</v>
      </c>
      <c r="G334" s="8" t="s">
        <v>32</v>
      </c>
      <c r="H334" s="8" t="s">
        <v>1249</v>
      </c>
      <c r="I334" s="2" t="s">
        <v>14</v>
      </c>
      <c r="J334" s="2" t="s">
        <v>512</v>
      </c>
      <c r="K334" s="2" t="s">
        <v>791</v>
      </c>
      <c r="L334" s="2" t="s">
        <v>1258</v>
      </c>
      <c r="M334" s="2" t="s">
        <v>1264</v>
      </c>
      <c r="N334" s="2" t="s">
        <v>2348</v>
      </c>
      <c r="O334" s="4">
        <v>36804</v>
      </c>
      <c r="P334" s="2" t="s">
        <v>2766</v>
      </c>
      <c r="Q334" s="2" t="s">
        <v>2449</v>
      </c>
      <c r="R334" s="2" t="s">
        <v>2393</v>
      </c>
      <c r="S334" s="2" t="s">
        <v>820</v>
      </c>
      <c r="T334" s="2" t="s">
        <v>1620</v>
      </c>
      <c r="U334" s="2" t="s">
        <v>1279</v>
      </c>
      <c r="V334" s="2">
        <v>9531133623</v>
      </c>
      <c r="W334" s="2" t="s">
        <v>1136</v>
      </c>
      <c r="X334" s="2" t="s">
        <v>807</v>
      </c>
      <c r="Y334" s="2" t="s">
        <v>1184</v>
      </c>
      <c r="Z334" s="2" t="s">
        <v>1185</v>
      </c>
      <c r="AA334" s="2">
        <v>2000</v>
      </c>
      <c r="AB334" s="2">
        <v>200</v>
      </c>
      <c r="AC334" s="2">
        <v>300</v>
      </c>
      <c r="AD334" s="2">
        <v>0</v>
      </c>
      <c r="AE334" s="2">
        <f t="shared" si="45"/>
        <v>2500</v>
      </c>
      <c r="AF334" s="2">
        <v>1000</v>
      </c>
      <c r="AG334" s="4">
        <v>45932</v>
      </c>
      <c r="AH334" s="2">
        <f t="shared" si="46"/>
        <v>1500</v>
      </c>
      <c r="AI334" s="2">
        <v>500</v>
      </c>
      <c r="AJ334" s="4">
        <v>45963</v>
      </c>
      <c r="AK334" s="2">
        <f t="shared" si="47"/>
        <v>1000</v>
      </c>
      <c r="AL334" s="2">
        <v>500</v>
      </c>
      <c r="AM334" s="4">
        <v>45993</v>
      </c>
      <c r="AN334" s="2">
        <f t="shared" si="48"/>
        <v>500</v>
      </c>
      <c r="AO334" s="2" cm="1">
        <f t="array" ref="AO334">_xlfn.IFS(AN334&gt;=5000,3000,AN334&gt;=2000,1000,AN334&gt;=500,500,AN334&lt;500,AN334)</f>
        <v>500</v>
      </c>
      <c r="AP334" s="4">
        <v>46024</v>
      </c>
      <c r="AQ334" s="2">
        <f t="shared" si="49"/>
        <v>0</v>
      </c>
      <c r="AR334" s="2" t="s">
        <v>1200</v>
      </c>
      <c r="AS334" s="4" t="s">
        <v>1200</v>
      </c>
      <c r="AT334" s="2" t="str">
        <f t="shared" si="50"/>
        <v/>
      </c>
      <c r="AU334" s="2" t="s">
        <v>1200</v>
      </c>
      <c r="AV334" s="4" t="s">
        <v>1200</v>
      </c>
      <c r="AW334" s="2" t="s">
        <v>1200</v>
      </c>
      <c r="AX334" s="2">
        <f t="shared" si="51"/>
        <v>2500</v>
      </c>
      <c r="AY334" s="2">
        <f t="shared" si="52"/>
        <v>0</v>
      </c>
      <c r="AZ334" s="2" t="str">
        <f t="shared" si="53"/>
        <v>Paid</v>
      </c>
      <c r="BA334" s="9" t="str" cm="1">
        <f t="array" ref="BA334">_xlfn.IFS(AZ334="Paid","R",AZ334="Unpaid","Q")</f>
        <v>R</v>
      </c>
      <c r="BB334" s="8" t="s">
        <v>2815</v>
      </c>
    </row>
    <row r="335" spans="1:54" x14ac:dyDescent="0.25">
      <c r="A335" s="2">
        <v>334</v>
      </c>
      <c r="B335" s="2">
        <v>334</v>
      </c>
      <c r="C335" s="2" t="s">
        <v>692</v>
      </c>
      <c r="D335" s="2" t="s">
        <v>1977</v>
      </c>
      <c r="E335" s="2" t="s">
        <v>693</v>
      </c>
      <c r="F335" s="4">
        <v>45923</v>
      </c>
      <c r="G335" s="8" t="s">
        <v>95</v>
      </c>
      <c r="H335" s="8" t="s">
        <v>1245</v>
      </c>
      <c r="I335" s="2" t="s">
        <v>14</v>
      </c>
      <c r="J335" s="2" t="s">
        <v>512</v>
      </c>
      <c r="K335" s="2" t="s">
        <v>791</v>
      </c>
      <c r="L335" s="2" t="s">
        <v>1260</v>
      </c>
      <c r="M335" s="2" t="s">
        <v>1261</v>
      </c>
      <c r="N335" s="2" t="s">
        <v>2349</v>
      </c>
      <c r="O335" s="4">
        <v>35173</v>
      </c>
      <c r="P335" s="2" t="s">
        <v>2656</v>
      </c>
      <c r="Q335" s="2" t="s">
        <v>2478</v>
      </c>
      <c r="R335" s="2" t="s">
        <v>2393</v>
      </c>
      <c r="S335" s="2" t="s">
        <v>788</v>
      </c>
      <c r="T335" s="2" t="s">
        <v>1621</v>
      </c>
      <c r="U335" s="2" t="s">
        <v>1276</v>
      </c>
      <c r="V335" s="2">
        <v>6555221595</v>
      </c>
      <c r="W335" s="2" t="s">
        <v>1137</v>
      </c>
      <c r="X335" s="2" t="s">
        <v>807</v>
      </c>
      <c r="Y335" s="2" t="s">
        <v>1184</v>
      </c>
      <c r="Z335" s="2" t="s">
        <v>1185</v>
      </c>
      <c r="AA335" s="2">
        <v>3500</v>
      </c>
      <c r="AB335" s="2">
        <v>200</v>
      </c>
      <c r="AC335" s="2">
        <v>500</v>
      </c>
      <c r="AD335" s="2">
        <v>0</v>
      </c>
      <c r="AE335" s="2">
        <f t="shared" si="45"/>
        <v>4200</v>
      </c>
      <c r="AF335" s="2">
        <v>1000</v>
      </c>
      <c r="AG335" s="4">
        <v>45933</v>
      </c>
      <c r="AH335" s="2">
        <f t="shared" si="46"/>
        <v>3200</v>
      </c>
      <c r="AI335" s="2">
        <v>1000</v>
      </c>
      <c r="AJ335" s="4">
        <v>45964</v>
      </c>
      <c r="AK335" s="2">
        <f t="shared" si="47"/>
        <v>2200</v>
      </c>
      <c r="AL335" s="2">
        <v>1000</v>
      </c>
      <c r="AM335" s="4">
        <v>45994</v>
      </c>
      <c r="AN335" s="2">
        <f t="shared" si="48"/>
        <v>1200</v>
      </c>
      <c r="AO335" s="2" cm="1">
        <f t="array" ref="AO335">_xlfn.IFS(AN335&gt;=5000,3000,AN335&gt;=2000,1000,AN335&gt;=500,500,AN335&lt;500,AN335)</f>
        <v>500</v>
      </c>
      <c r="AP335" s="4">
        <v>46025</v>
      </c>
      <c r="AQ335" s="2">
        <f t="shared" si="49"/>
        <v>700</v>
      </c>
      <c r="AR335" s="2">
        <v>500</v>
      </c>
      <c r="AS335" s="4">
        <v>46056</v>
      </c>
      <c r="AT335" s="2">
        <f t="shared" si="50"/>
        <v>200</v>
      </c>
      <c r="AU335" s="2">
        <v>200</v>
      </c>
      <c r="AV335" s="4">
        <v>46084</v>
      </c>
      <c r="AW335" s="2">
        <v>0</v>
      </c>
      <c r="AX335" s="2">
        <f t="shared" si="51"/>
        <v>4200</v>
      </c>
      <c r="AY335" s="2">
        <f t="shared" si="52"/>
        <v>0</v>
      </c>
      <c r="AZ335" s="2" t="str">
        <f t="shared" si="53"/>
        <v>Paid</v>
      </c>
      <c r="BA335" s="9" t="str" cm="1">
        <f t="array" ref="BA335">_xlfn.IFS(AZ335="Paid","R",AZ335="Unpaid","Q")</f>
        <v>R</v>
      </c>
      <c r="BB335" s="8" t="s">
        <v>2815</v>
      </c>
    </row>
    <row r="336" spans="1:54" x14ac:dyDescent="0.25">
      <c r="A336" s="2">
        <v>335</v>
      </c>
      <c r="B336" s="2">
        <v>335</v>
      </c>
      <c r="C336" s="2" t="s">
        <v>694</v>
      </c>
      <c r="D336" s="2" t="s">
        <v>1978</v>
      </c>
      <c r="E336" s="2" t="s">
        <v>695</v>
      </c>
      <c r="F336" s="4">
        <v>45925</v>
      </c>
      <c r="G336" s="8" t="s">
        <v>8</v>
      </c>
      <c r="H336" s="8" t="s">
        <v>1242</v>
      </c>
      <c r="I336" s="2" t="s">
        <v>9</v>
      </c>
      <c r="J336" s="2" t="s">
        <v>551</v>
      </c>
      <c r="K336" s="2" t="s">
        <v>787</v>
      </c>
      <c r="L336" s="2" t="s">
        <v>1257</v>
      </c>
      <c r="M336" s="2" t="s">
        <v>1261</v>
      </c>
      <c r="N336" s="2" t="s">
        <v>2350</v>
      </c>
      <c r="O336" s="4">
        <v>33579</v>
      </c>
      <c r="P336" s="2" t="s">
        <v>2767</v>
      </c>
      <c r="Q336" s="2" t="s">
        <v>2420</v>
      </c>
      <c r="R336" s="2" t="s">
        <v>2393</v>
      </c>
      <c r="S336" s="2" t="s">
        <v>788</v>
      </c>
      <c r="T336" s="2" t="s">
        <v>1622</v>
      </c>
      <c r="U336" s="2" t="s">
        <v>1278</v>
      </c>
      <c r="V336" s="2">
        <v>7303393380</v>
      </c>
      <c r="W336" s="2" t="s">
        <v>1138</v>
      </c>
      <c r="X336" s="2" t="s">
        <v>1183</v>
      </c>
      <c r="Y336" s="2" t="s">
        <v>1184</v>
      </c>
      <c r="Z336" s="2" t="s">
        <v>1185</v>
      </c>
      <c r="AA336" s="2">
        <v>12500</v>
      </c>
      <c r="AB336" s="2">
        <v>200</v>
      </c>
      <c r="AC336" s="2">
        <v>1200</v>
      </c>
      <c r="AD336" s="2">
        <v>300</v>
      </c>
      <c r="AE336" s="2">
        <f t="shared" si="45"/>
        <v>13600</v>
      </c>
      <c r="AF336" s="2">
        <v>5000</v>
      </c>
      <c r="AG336" s="4">
        <v>45935</v>
      </c>
      <c r="AH336" s="2">
        <f t="shared" si="46"/>
        <v>8600</v>
      </c>
      <c r="AI336" s="2">
        <v>3000</v>
      </c>
      <c r="AJ336" s="4">
        <v>45966</v>
      </c>
      <c r="AK336" s="2">
        <f t="shared" si="47"/>
        <v>5600</v>
      </c>
      <c r="AL336" s="2">
        <v>3000</v>
      </c>
      <c r="AM336" s="4">
        <v>45996</v>
      </c>
      <c r="AN336" s="2">
        <f t="shared" si="48"/>
        <v>2600</v>
      </c>
      <c r="AO336" s="2" cm="1">
        <f t="array" ref="AO336">_xlfn.IFS(AN336&gt;=5000,3000,AN336&gt;=2000,1000,AN336&gt;=500,500,AN336&lt;500,AN336)</f>
        <v>1000</v>
      </c>
      <c r="AP336" s="4">
        <v>46027</v>
      </c>
      <c r="AQ336" s="2">
        <f t="shared" si="49"/>
        <v>1600</v>
      </c>
      <c r="AR336" s="2">
        <v>1000</v>
      </c>
      <c r="AS336" s="4">
        <v>46058</v>
      </c>
      <c r="AT336" s="2">
        <f t="shared" si="50"/>
        <v>600</v>
      </c>
      <c r="AU336" s="2">
        <v>600</v>
      </c>
      <c r="AV336" s="4">
        <v>46086</v>
      </c>
      <c r="AW336" s="2">
        <v>0</v>
      </c>
      <c r="AX336" s="2">
        <f t="shared" si="51"/>
        <v>13600</v>
      </c>
      <c r="AY336" s="2">
        <f t="shared" si="52"/>
        <v>0</v>
      </c>
      <c r="AZ336" s="2" t="str">
        <f t="shared" si="53"/>
        <v>Paid</v>
      </c>
      <c r="BA336" s="9" t="str" cm="1">
        <f t="array" ref="BA336">_xlfn.IFS(AZ336="Paid","R",AZ336="Unpaid","Q")</f>
        <v>R</v>
      </c>
      <c r="BB336" s="8" t="s">
        <v>2815</v>
      </c>
    </row>
    <row r="337" spans="1:54" x14ac:dyDescent="0.25">
      <c r="A337" s="2">
        <v>336</v>
      </c>
      <c r="B337" s="2">
        <v>336</v>
      </c>
      <c r="C337" s="2" t="s">
        <v>696</v>
      </c>
      <c r="D337" s="2" t="s">
        <v>1979</v>
      </c>
      <c r="E337" s="2" t="s">
        <v>697</v>
      </c>
      <c r="F337" s="4">
        <v>45926</v>
      </c>
      <c r="G337" s="8" t="s">
        <v>21</v>
      </c>
      <c r="H337" s="8" t="s">
        <v>1252</v>
      </c>
      <c r="I337" s="2" t="s">
        <v>14</v>
      </c>
      <c r="J337" s="2" t="s">
        <v>512</v>
      </c>
      <c r="K337" s="2" t="s">
        <v>791</v>
      </c>
      <c r="L337" s="2" t="s">
        <v>1258</v>
      </c>
      <c r="M337" s="2" t="s">
        <v>1264</v>
      </c>
      <c r="N337" s="2" t="s">
        <v>2351</v>
      </c>
      <c r="O337" s="4">
        <v>38349</v>
      </c>
      <c r="P337" s="2" t="s">
        <v>2768</v>
      </c>
      <c r="Q337" s="2" t="s">
        <v>2395</v>
      </c>
      <c r="R337" s="2" t="s">
        <v>2396</v>
      </c>
      <c r="S337" s="2" t="s">
        <v>792</v>
      </c>
      <c r="T337" s="2" t="s">
        <v>1623</v>
      </c>
      <c r="U337" s="2" t="s">
        <v>1272</v>
      </c>
      <c r="V337" s="2">
        <v>9246570606</v>
      </c>
      <c r="W337" s="2" t="s">
        <v>1139</v>
      </c>
      <c r="X337" s="2" t="s">
        <v>798</v>
      </c>
      <c r="Y337" s="2" t="s">
        <v>1184</v>
      </c>
      <c r="Z337" s="2" t="s">
        <v>1185</v>
      </c>
      <c r="AA337" s="2">
        <v>3000</v>
      </c>
      <c r="AB337" s="2">
        <v>200</v>
      </c>
      <c r="AC337" s="2">
        <v>300</v>
      </c>
      <c r="AD337" s="2">
        <v>200</v>
      </c>
      <c r="AE337" s="2">
        <f t="shared" si="45"/>
        <v>3300</v>
      </c>
      <c r="AF337" s="2">
        <v>1000</v>
      </c>
      <c r="AG337" s="4">
        <v>45936</v>
      </c>
      <c r="AH337" s="2">
        <f t="shared" si="46"/>
        <v>2300</v>
      </c>
      <c r="AI337" s="2">
        <v>1000</v>
      </c>
      <c r="AJ337" s="4">
        <v>45967</v>
      </c>
      <c r="AK337" s="2">
        <f t="shared" si="47"/>
        <v>1300</v>
      </c>
      <c r="AL337" s="2">
        <v>500</v>
      </c>
      <c r="AM337" s="4">
        <v>45997</v>
      </c>
      <c r="AN337" s="2">
        <f t="shared" si="48"/>
        <v>800</v>
      </c>
      <c r="AO337" s="2" cm="1">
        <f t="array" ref="AO337">_xlfn.IFS(AN337&gt;=5000,3000,AN337&gt;=2000,1000,AN337&gt;=500,500,AN337&lt;500,AN337)</f>
        <v>500</v>
      </c>
      <c r="AP337" s="4">
        <v>46028</v>
      </c>
      <c r="AQ337" s="2">
        <f t="shared" si="49"/>
        <v>300</v>
      </c>
      <c r="AR337" s="2">
        <v>300</v>
      </c>
      <c r="AS337" s="4">
        <v>46059</v>
      </c>
      <c r="AT337" s="2">
        <f t="shared" si="50"/>
        <v>0</v>
      </c>
      <c r="AU337" s="2" t="s">
        <v>1200</v>
      </c>
      <c r="AV337" s="4" t="s">
        <v>1200</v>
      </c>
      <c r="AW337" s="2" t="s">
        <v>1200</v>
      </c>
      <c r="AX337" s="2">
        <f t="shared" si="51"/>
        <v>3300</v>
      </c>
      <c r="AY337" s="2">
        <f t="shared" si="52"/>
        <v>0</v>
      </c>
      <c r="AZ337" s="2" t="str">
        <f t="shared" si="53"/>
        <v>Paid</v>
      </c>
      <c r="BA337" s="9" t="str" cm="1">
        <f t="array" ref="BA337">_xlfn.IFS(AZ337="Paid","R",AZ337="Unpaid","Q")</f>
        <v>R</v>
      </c>
      <c r="BB337" s="8" t="s">
        <v>2815</v>
      </c>
    </row>
    <row r="338" spans="1:54" x14ac:dyDescent="0.25">
      <c r="A338" s="2">
        <v>337</v>
      </c>
      <c r="B338" s="2">
        <v>337</v>
      </c>
      <c r="C338" s="2" t="s">
        <v>698</v>
      </c>
      <c r="D338" s="2" t="s">
        <v>1980</v>
      </c>
      <c r="E338" s="2" t="s">
        <v>699</v>
      </c>
      <c r="F338" s="4">
        <v>45931</v>
      </c>
      <c r="G338" s="8" t="s">
        <v>38</v>
      </c>
      <c r="H338" s="8" t="s">
        <v>1246</v>
      </c>
      <c r="I338" s="2" t="s">
        <v>9</v>
      </c>
      <c r="J338" s="2" t="s">
        <v>512</v>
      </c>
      <c r="K338" s="2" t="s">
        <v>795</v>
      </c>
      <c r="L338" s="2" t="s">
        <v>1258</v>
      </c>
      <c r="M338" s="2" t="s">
        <v>1264</v>
      </c>
      <c r="N338" s="2" t="s">
        <v>2352</v>
      </c>
      <c r="O338" s="4">
        <v>36818</v>
      </c>
      <c r="P338" s="2" t="s">
        <v>2769</v>
      </c>
      <c r="Q338" s="2" t="s">
        <v>2428</v>
      </c>
      <c r="R338" s="2" t="s">
        <v>2393</v>
      </c>
      <c r="S338" s="2" t="s">
        <v>792</v>
      </c>
      <c r="T338" s="2" t="s">
        <v>1624</v>
      </c>
      <c r="U338" s="2" t="s">
        <v>1268</v>
      </c>
      <c r="V338" s="2">
        <v>8979512574</v>
      </c>
      <c r="W338" s="2" t="s">
        <v>1140</v>
      </c>
      <c r="X338" s="2" t="s">
        <v>809</v>
      </c>
      <c r="Y338" s="2" t="s">
        <v>1184</v>
      </c>
      <c r="Z338" s="2" t="s">
        <v>1185</v>
      </c>
      <c r="AA338" s="2">
        <v>6000</v>
      </c>
      <c r="AB338" s="2">
        <v>200</v>
      </c>
      <c r="AC338" s="2">
        <v>800</v>
      </c>
      <c r="AD338" s="2">
        <v>200</v>
      </c>
      <c r="AE338" s="2">
        <f t="shared" si="45"/>
        <v>6800</v>
      </c>
      <c r="AF338" s="2">
        <v>2500</v>
      </c>
      <c r="AG338" s="4">
        <v>45941</v>
      </c>
      <c r="AH338" s="2">
        <f t="shared" si="46"/>
        <v>4300</v>
      </c>
      <c r="AI338" s="2">
        <v>1000</v>
      </c>
      <c r="AJ338" s="4">
        <v>45972</v>
      </c>
      <c r="AK338" s="2">
        <f t="shared" si="47"/>
        <v>3300</v>
      </c>
      <c r="AL338" s="2">
        <v>1000</v>
      </c>
      <c r="AM338" s="4">
        <v>46002</v>
      </c>
      <c r="AN338" s="2">
        <f t="shared" si="48"/>
        <v>2300</v>
      </c>
      <c r="AO338" s="2" cm="1">
        <f t="array" ref="AO338">_xlfn.IFS(AN338&gt;=5000,3000,AN338&gt;=2000,1000,AN338&gt;=500,500,AN338&lt;500,AN338)</f>
        <v>1000</v>
      </c>
      <c r="AP338" s="4">
        <v>46033</v>
      </c>
      <c r="AQ338" s="2">
        <f t="shared" si="49"/>
        <v>1300</v>
      </c>
      <c r="AR338" s="2">
        <v>1000</v>
      </c>
      <c r="AS338" s="4">
        <v>46064</v>
      </c>
      <c r="AT338" s="2">
        <f t="shared" si="50"/>
        <v>300</v>
      </c>
      <c r="AU338" s="2">
        <v>300</v>
      </c>
      <c r="AV338" s="4">
        <v>46092</v>
      </c>
      <c r="AW338" s="2">
        <v>0</v>
      </c>
      <c r="AX338" s="2">
        <f t="shared" si="51"/>
        <v>6800</v>
      </c>
      <c r="AY338" s="2">
        <f t="shared" si="52"/>
        <v>0</v>
      </c>
      <c r="AZ338" s="2" t="str">
        <f t="shared" si="53"/>
        <v>Paid</v>
      </c>
      <c r="BA338" s="9" t="str" cm="1">
        <f t="array" ref="BA338">_xlfn.IFS(AZ338="Paid","R",AZ338="Unpaid","Q")</f>
        <v>R</v>
      </c>
      <c r="BB338" s="8" t="s">
        <v>2815</v>
      </c>
    </row>
    <row r="339" spans="1:54" x14ac:dyDescent="0.25">
      <c r="A339" s="2">
        <v>338</v>
      </c>
      <c r="B339" s="2">
        <v>338</v>
      </c>
      <c r="C339" s="2" t="s">
        <v>700</v>
      </c>
      <c r="D339" s="2" t="s">
        <v>1981</v>
      </c>
      <c r="E339" s="2" t="s">
        <v>701</v>
      </c>
      <c r="F339" s="4">
        <v>45937</v>
      </c>
      <c r="G339" s="8" t="s">
        <v>18</v>
      </c>
      <c r="H339" s="8" t="s">
        <v>1253</v>
      </c>
      <c r="I339" s="2" t="s">
        <v>9</v>
      </c>
      <c r="J339" s="2" t="s">
        <v>512</v>
      </c>
      <c r="K339" s="2" t="s">
        <v>795</v>
      </c>
      <c r="L339" s="2" t="s">
        <v>1257</v>
      </c>
      <c r="M339" s="2" t="s">
        <v>1261</v>
      </c>
      <c r="N339" s="2" t="s">
        <v>2353</v>
      </c>
      <c r="O339" s="4">
        <v>39577</v>
      </c>
      <c r="P339" s="2" t="s">
        <v>2770</v>
      </c>
      <c r="Q339" s="2" t="s">
        <v>2560</v>
      </c>
      <c r="R339" s="2" t="s">
        <v>2396</v>
      </c>
      <c r="S339" s="2" t="s">
        <v>820</v>
      </c>
      <c r="T339" s="2" t="s">
        <v>1625</v>
      </c>
      <c r="U339" s="2" t="s">
        <v>1275</v>
      </c>
      <c r="V339" s="2">
        <v>7383837050</v>
      </c>
      <c r="W339" s="2" t="s">
        <v>1141</v>
      </c>
      <c r="X339" s="2" t="s">
        <v>811</v>
      </c>
      <c r="Y339" s="2" t="s">
        <v>1184</v>
      </c>
      <c r="Z339" s="2" t="s">
        <v>1185</v>
      </c>
      <c r="AA339" s="2">
        <v>7000</v>
      </c>
      <c r="AB339" s="2">
        <v>200</v>
      </c>
      <c r="AC339" s="2">
        <v>800</v>
      </c>
      <c r="AD339" s="2">
        <v>0</v>
      </c>
      <c r="AE339" s="2">
        <f t="shared" si="45"/>
        <v>8000</v>
      </c>
      <c r="AF339" s="2">
        <v>2500</v>
      </c>
      <c r="AG339" s="4">
        <v>45947</v>
      </c>
      <c r="AH339" s="2">
        <f t="shared" si="46"/>
        <v>5500</v>
      </c>
      <c r="AI339" s="2">
        <v>3000</v>
      </c>
      <c r="AJ339" s="4">
        <v>45978</v>
      </c>
      <c r="AK339" s="2">
        <f t="shared" si="47"/>
        <v>2500</v>
      </c>
      <c r="AL339" s="2">
        <v>1000</v>
      </c>
      <c r="AM339" s="4">
        <v>46008</v>
      </c>
      <c r="AN339" s="2">
        <f t="shared" si="48"/>
        <v>1500</v>
      </c>
      <c r="AO339" s="2" cm="1">
        <f t="array" ref="AO339">_xlfn.IFS(AN339&gt;=5000,3000,AN339&gt;=2000,1000,AN339&gt;=500,500,AN339&lt;500,AN339)</f>
        <v>500</v>
      </c>
      <c r="AP339" s="4">
        <v>46039</v>
      </c>
      <c r="AQ339" s="2">
        <f t="shared" si="49"/>
        <v>1000</v>
      </c>
      <c r="AR339" s="2">
        <v>1000</v>
      </c>
      <c r="AS339" s="4">
        <v>46070</v>
      </c>
      <c r="AT339" s="2">
        <f t="shared" si="50"/>
        <v>0</v>
      </c>
      <c r="AU339" s="2" t="s">
        <v>1200</v>
      </c>
      <c r="AV339" s="4" t="s">
        <v>1200</v>
      </c>
      <c r="AW339" s="2" t="s">
        <v>1200</v>
      </c>
      <c r="AX339" s="2">
        <f t="shared" si="51"/>
        <v>8000</v>
      </c>
      <c r="AY339" s="2">
        <f t="shared" si="52"/>
        <v>0</v>
      </c>
      <c r="AZ339" s="2" t="str">
        <f t="shared" si="53"/>
        <v>Paid</v>
      </c>
      <c r="BA339" s="9" t="str" cm="1">
        <f t="array" ref="BA339">_xlfn.IFS(AZ339="Paid","R",AZ339="Unpaid","Q")</f>
        <v>R</v>
      </c>
      <c r="BB339" s="8" t="s">
        <v>2815</v>
      </c>
    </row>
    <row r="340" spans="1:54" x14ac:dyDescent="0.25">
      <c r="A340" s="2">
        <v>339</v>
      </c>
      <c r="B340" s="2">
        <v>339</v>
      </c>
      <c r="C340" s="2" t="s">
        <v>702</v>
      </c>
      <c r="D340" s="2" t="s">
        <v>1982</v>
      </c>
      <c r="E340" s="2" t="s">
        <v>703</v>
      </c>
      <c r="F340" s="4">
        <v>45937</v>
      </c>
      <c r="G340" s="8" t="s">
        <v>70</v>
      </c>
      <c r="H340" s="8" t="s">
        <v>1247</v>
      </c>
      <c r="I340" s="2" t="s">
        <v>9</v>
      </c>
      <c r="J340" s="2" t="s">
        <v>512</v>
      </c>
      <c r="K340" s="2" t="s">
        <v>795</v>
      </c>
      <c r="L340" s="2" t="s">
        <v>1259</v>
      </c>
      <c r="M340" s="2" t="s">
        <v>1262</v>
      </c>
      <c r="N340" s="2" t="s">
        <v>2354</v>
      </c>
      <c r="O340" s="4">
        <v>38493</v>
      </c>
      <c r="P340" s="2" t="s">
        <v>2771</v>
      </c>
      <c r="Q340" s="2" t="s">
        <v>2498</v>
      </c>
      <c r="R340" s="2" t="s">
        <v>2393</v>
      </c>
      <c r="S340" s="2" t="s">
        <v>788</v>
      </c>
      <c r="T340" s="2" t="s">
        <v>1555</v>
      </c>
      <c r="U340" s="2" t="s">
        <v>1268</v>
      </c>
      <c r="V340" s="2">
        <v>8020681718</v>
      </c>
      <c r="W340" s="2" t="s">
        <v>1142</v>
      </c>
      <c r="X340" s="2" t="s">
        <v>1183</v>
      </c>
      <c r="Y340" s="2" t="s">
        <v>1184</v>
      </c>
      <c r="Z340" s="2" t="s">
        <v>1185</v>
      </c>
      <c r="AA340" s="2">
        <v>8000</v>
      </c>
      <c r="AB340" s="2">
        <v>200</v>
      </c>
      <c r="AC340" s="2">
        <v>1000</v>
      </c>
      <c r="AD340" s="2">
        <v>500</v>
      </c>
      <c r="AE340" s="2">
        <f t="shared" si="45"/>
        <v>8700</v>
      </c>
      <c r="AF340" s="2">
        <v>2500</v>
      </c>
      <c r="AG340" s="4">
        <v>45947</v>
      </c>
      <c r="AH340" s="2">
        <f t="shared" si="46"/>
        <v>6200</v>
      </c>
      <c r="AI340" s="2">
        <v>3000</v>
      </c>
      <c r="AJ340" s="4">
        <v>45978</v>
      </c>
      <c r="AK340" s="2">
        <f t="shared" si="47"/>
        <v>3200</v>
      </c>
      <c r="AL340" s="2">
        <v>1000</v>
      </c>
      <c r="AM340" s="4">
        <v>46008</v>
      </c>
      <c r="AN340" s="2">
        <f t="shared" si="48"/>
        <v>2200</v>
      </c>
      <c r="AO340" s="2" cm="1">
        <f t="array" ref="AO340">_xlfn.IFS(AN340&gt;=5000,3000,AN340&gt;=2000,1000,AN340&gt;=500,500,AN340&lt;500,AN340)</f>
        <v>1000</v>
      </c>
      <c r="AP340" s="4">
        <v>46039</v>
      </c>
      <c r="AQ340" s="2">
        <f t="shared" si="49"/>
        <v>1200</v>
      </c>
      <c r="AR340" s="2">
        <v>1000</v>
      </c>
      <c r="AS340" s="4">
        <v>46070</v>
      </c>
      <c r="AT340" s="2">
        <f t="shared" si="50"/>
        <v>200</v>
      </c>
      <c r="AU340" s="2">
        <v>200</v>
      </c>
      <c r="AV340" s="4">
        <v>46098</v>
      </c>
      <c r="AW340" s="2">
        <v>0</v>
      </c>
      <c r="AX340" s="2">
        <f t="shared" si="51"/>
        <v>8700</v>
      </c>
      <c r="AY340" s="2">
        <f t="shared" si="52"/>
        <v>0</v>
      </c>
      <c r="AZ340" s="2" t="str">
        <f t="shared" si="53"/>
        <v>Paid</v>
      </c>
      <c r="BA340" s="9" t="str" cm="1">
        <f t="array" ref="BA340">_xlfn.IFS(AZ340="Paid","R",AZ340="Unpaid","Q")</f>
        <v>R</v>
      </c>
      <c r="BB340" s="8" t="s">
        <v>2815</v>
      </c>
    </row>
    <row r="341" spans="1:54" x14ac:dyDescent="0.25">
      <c r="A341" s="2">
        <v>340</v>
      </c>
      <c r="B341" s="2">
        <v>340</v>
      </c>
      <c r="C341" s="2" t="s">
        <v>704</v>
      </c>
      <c r="D341" s="2" t="s">
        <v>1791</v>
      </c>
      <c r="E341" s="2" t="s">
        <v>705</v>
      </c>
      <c r="F341" s="4">
        <v>45937</v>
      </c>
      <c r="G341" s="8" t="s">
        <v>38</v>
      </c>
      <c r="H341" s="8" t="s">
        <v>1246</v>
      </c>
      <c r="I341" s="2" t="s">
        <v>9</v>
      </c>
      <c r="J341" s="2" t="s">
        <v>512</v>
      </c>
      <c r="K341" s="2" t="s">
        <v>795</v>
      </c>
      <c r="L341" s="2" t="s">
        <v>1259</v>
      </c>
      <c r="M341" s="2" t="s">
        <v>1262</v>
      </c>
      <c r="N341" s="2" t="s">
        <v>2355</v>
      </c>
      <c r="O341" s="4">
        <v>39100</v>
      </c>
      <c r="P341" s="2" t="s">
        <v>2772</v>
      </c>
      <c r="Q341" s="2" t="s">
        <v>2560</v>
      </c>
      <c r="R341" s="2" t="s">
        <v>2393</v>
      </c>
      <c r="S341" s="2" t="s">
        <v>792</v>
      </c>
      <c r="T341" s="2" t="s">
        <v>1626</v>
      </c>
      <c r="U341" s="2" t="s">
        <v>1277</v>
      </c>
      <c r="V341" s="2">
        <v>6760849105</v>
      </c>
      <c r="W341" s="2" t="s">
        <v>1143</v>
      </c>
      <c r="X341" s="2" t="s">
        <v>809</v>
      </c>
      <c r="Y341" s="2" t="s">
        <v>1184</v>
      </c>
      <c r="Z341" s="2" t="s">
        <v>1185</v>
      </c>
      <c r="AA341" s="2">
        <v>6000</v>
      </c>
      <c r="AB341" s="2">
        <v>200</v>
      </c>
      <c r="AC341" s="2">
        <v>800</v>
      </c>
      <c r="AD341" s="2">
        <v>200</v>
      </c>
      <c r="AE341" s="2">
        <f t="shared" si="45"/>
        <v>6800</v>
      </c>
      <c r="AF341" s="2">
        <v>2500</v>
      </c>
      <c r="AG341" s="4">
        <v>45947</v>
      </c>
      <c r="AH341" s="2">
        <f t="shared" si="46"/>
        <v>4300</v>
      </c>
      <c r="AI341" s="2">
        <v>1000</v>
      </c>
      <c r="AJ341" s="4">
        <v>45978</v>
      </c>
      <c r="AK341" s="2">
        <f t="shared" si="47"/>
        <v>3300</v>
      </c>
      <c r="AL341" s="2">
        <v>1000</v>
      </c>
      <c r="AM341" s="4">
        <v>46008</v>
      </c>
      <c r="AN341" s="2">
        <f t="shared" si="48"/>
        <v>2300</v>
      </c>
      <c r="AO341" s="2" cm="1">
        <f t="array" ref="AO341">_xlfn.IFS(AN341&gt;=5000,3000,AN341&gt;=2000,1000,AN341&gt;=500,500,AN341&lt;500,AN341)</f>
        <v>1000</v>
      </c>
      <c r="AP341" s="4">
        <v>46039</v>
      </c>
      <c r="AQ341" s="2">
        <f t="shared" si="49"/>
        <v>1300</v>
      </c>
      <c r="AR341" s="2">
        <v>1000</v>
      </c>
      <c r="AS341" s="4">
        <v>46070</v>
      </c>
      <c r="AT341" s="2">
        <f t="shared" si="50"/>
        <v>300</v>
      </c>
      <c r="AU341" s="2">
        <v>300</v>
      </c>
      <c r="AV341" s="4">
        <v>46098</v>
      </c>
      <c r="AW341" s="2">
        <v>0</v>
      </c>
      <c r="AX341" s="2">
        <f t="shared" si="51"/>
        <v>6800</v>
      </c>
      <c r="AY341" s="2">
        <f t="shared" si="52"/>
        <v>0</v>
      </c>
      <c r="AZ341" s="2" t="str">
        <f t="shared" si="53"/>
        <v>Paid</v>
      </c>
      <c r="BA341" s="9" t="str" cm="1">
        <f t="array" ref="BA341">_xlfn.IFS(AZ341="Paid","R",AZ341="Unpaid","Q")</f>
        <v>R</v>
      </c>
      <c r="BB341" s="8" t="s">
        <v>2815</v>
      </c>
    </row>
    <row r="342" spans="1:54" x14ac:dyDescent="0.25">
      <c r="A342" s="2">
        <v>341</v>
      </c>
      <c r="B342" s="2">
        <v>341</v>
      </c>
      <c r="C342" s="2" t="s">
        <v>706</v>
      </c>
      <c r="D342" s="2" t="s">
        <v>1983</v>
      </c>
      <c r="E342" s="2" t="s">
        <v>707</v>
      </c>
      <c r="F342" s="4">
        <v>45943</v>
      </c>
      <c r="G342" s="8" t="s">
        <v>65</v>
      </c>
      <c r="H342" s="8" t="s">
        <v>65</v>
      </c>
      <c r="I342" s="2" t="s">
        <v>14</v>
      </c>
      <c r="J342" s="2" t="s">
        <v>512</v>
      </c>
      <c r="K342" s="2" t="s">
        <v>791</v>
      </c>
      <c r="L342" s="2" t="s">
        <v>1256</v>
      </c>
      <c r="M342" s="2" t="s">
        <v>1263</v>
      </c>
      <c r="N342" s="2" t="s">
        <v>2356</v>
      </c>
      <c r="O342" s="4">
        <v>36952</v>
      </c>
      <c r="P342" s="2" t="s">
        <v>2773</v>
      </c>
      <c r="Q342" s="2" t="s">
        <v>2414</v>
      </c>
      <c r="R342" s="2" t="s">
        <v>2393</v>
      </c>
      <c r="S342" s="2" t="s">
        <v>788</v>
      </c>
      <c r="T342" s="2" t="s">
        <v>1627</v>
      </c>
      <c r="U342" s="2" t="s">
        <v>1274</v>
      </c>
      <c r="V342" s="2">
        <v>8248092657</v>
      </c>
      <c r="W342" s="2" t="s">
        <v>1144</v>
      </c>
      <c r="X342" s="2" t="s">
        <v>794</v>
      </c>
      <c r="Y342" s="2" t="s">
        <v>1184</v>
      </c>
      <c r="Z342" s="2" t="s">
        <v>1185</v>
      </c>
      <c r="AA342" s="2">
        <v>2500</v>
      </c>
      <c r="AB342" s="2">
        <v>200</v>
      </c>
      <c r="AC342" s="2">
        <v>500</v>
      </c>
      <c r="AD342" s="2">
        <v>200</v>
      </c>
      <c r="AE342" s="2">
        <f t="shared" si="45"/>
        <v>3000</v>
      </c>
      <c r="AF342" s="2">
        <v>1000</v>
      </c>
      <c r="AG342" s="4">
        <v>45953</v>
      </c>
      <c r="AH342" s="2">
        <f t="shared" si="46"/>
        <v>2000</v>
      </c>
      <c r="AI342" s="2">
        <v>1000</v>
      </c>
      <c r="AJ342" s="4">
        <v>45984</v>
      </c>
      <c r="AK342" s="2">
        <f t="shared" si="47"/>
        <v>1000</v>
      </c>
      <c r="AL342" s="2">
        <v>500</v>
      </c>
      <c r="AM342" s="4">
        <v>46014</v>
      </c>
      <c r="AN342" s="2">
        <f t="shared" si="48"/>
        <v>500</v>
      </c>
      <c r="AO342" s="2" cm="1">
        <f t="array" ref="AO342">_xlfn.IFS(AN342&gt;=5000,3000,AN342&gt;=2000,1000,AN342&gt;=500,500,AN342&lt;500,AN342)</f>
        <v>500</v>
      </c>
      <c r="AP342" s="4">
        <v>46045</v>
      </c>
      <c r="AQ342" s="2">
        <f t="shared" si="49"/>
        <v>0</v>
      </c>
      <c r="AR342" s="2" t="s">
        <v>1200</v>
      </c>
      <c r="AS342" s="4" t="s">
        <v>1200</v>
      </c>
      <c r="AT342" s="2" t="str">
        <f t="shared" si="50"/>
        <v/>
      </c>
      <c r="AU342" s="2" t="s">
        <v>1200</v>
      </c>
      <c r="AV342" s="4" t="s">
        <v>1200</v>
      </c>
      <c r="AW342" s="2" t="s">
        <v>1200</v>
      </c>
      <c r="AX342" s="2">
        <f t="shared" si="51"/>
        <v>3000</v>
      </c>
      <c r="AY342" s="2">
        <f t="shared" si="52"/>
        <v>0</v>
      </c>
      <c r="AZ342" s="2" t="str">
        <f t="shared" si="53"/>
        <v>Paid</v>
      </c>
      <c r="BA342" s="9" t="str" cm="1">
        <f t="array" ref="BA342">_xlfn.IFS(AZ342="Paid","R",AZ342="Unpaid","Q")</f>
        <v>R</v>
      </c>
      <c r="BB342" s="8" t="s">
        <v>2815</v>
      </c>
    </row>
    <row r="343" spans="1:54" x14ac:dyDescent="0.25">
      <c r="A343" s="2">
        <v>342</v>
      </c>
      <c r="B343" s="2">
        <v>342</v>
      </c>
      <c r="C343" s="2" t="s">
        <v>708</v>
      </c>
      <c r="D343" s="2" t="s">
        <v>1984</v>
      </c>
      <c r="E343" s="2" t="s">
        <v>709</v>
      </c>
      <c r="F343" s="4">
        <v>45952</v>
      </c>
      <c r="G343" s="8" t="s">
        <v>21</v>
      </c>
      <c r="H343" s="8" t="s">
        <v>1252</v>
      </c>
      <c r="I343" s="2" t="s">
        <v>14</v>
      </c>
      <c r="J343" s="2" t="s">
        <v>512</v>
      </c>
      <c r="K343" s="2" t="s">
        <v>791</v>
      </c>
      <c r="L343" s="2" t="s">
        <v>1257</v>
      </c>
      <c r="M343" s="2" t="s">
        <v>1261</v>
      </c>
      <c r="N343" s="2" t="s">
        <v>2357</v>
      </c>
      <c r="O343" s="4">
        <v>39625</v>
      </c>
      <c r="P343" s="2" t="s">
        <v>2774</v>
      </c>
      <c r="Q343" s="2" t="s">
        <v>2480</v>
      </c>
      <c r="R343" s="2" t="s">
        <v>2393</v>
      </c>
      <c r="S343" s="2" t="s">
        <v>788</v>
      </c>
      <c r="T343" s="2" t="s">
        <v>1628</v>
      </c>
      <c r="U343" s="2" t="s">
        <v>1286</v>
      </c>
      <c r="V343" s="2">
        <v>6910278314</v>
      </c>
      <c r="W343" s="2" t="s">
        <v>1145</v>
      </c>
      <c r="X343" s="2" t="s">
        <v>811</v>
      </c>
      <c r="Y343" s="2" t="s">
        <v>1184</v>
      </c>
      <c r="Z343" s="2" t="s">
        <v>1185</v>
      </c>
      <c r="AA343" s="2">
        <v>3000</v>
      </c>
      <c r="AB343" s="2">
        <v>200</v>
      </c>
      <c r="AC343" s="2">
        <v>300</v>
      </c>
      <c r="AD343" s="2">
        <v>500</v>
      </c>
      <c r="AE343" s="2">
        <f t="shared" si="45"/>
        <v>3000</v>
      </c>
      <c r="AF343" s="2">
        <v>1000</v>
      </c>
      <c r="AG343" s="4">
        <v>45962</v>
      </c>
      <c r="AH343" s="2">
        <f t="shared" si="46"/>
        <v>2000</v>
      </c>
      <c r="AI343" s="2">
        <v>1000</v>
      </c>
      <c r="AJ343" s="4">
        <v>45992</v>
      </c>
      <c r="AK343" s="2">
        <f t="shared" si="47"/>
        <v>1000</v>
      </c>
      <c r="AL343" s="2">
        <v>500</v>
      </c>
      <c r="AM343" s="4">
        <v>46023</v>
      </c>
      <c r="AN343" s="2">
        <f t="shared" si="48"/>
        <v>500</v>
      </c>
      <c r="AO343" s="2" cm="1">
        <f t="array" ref="AO343">_xlfn.IFS(AN343&gt;=5000,3000,AN343&gt;=2000,1000,AN343&gt;=500,500,AN343&lt;500,AN343)</f>
        <v>500</v>
      </c>
      <c r="AP343" s="4">
        <v>46054</v>
      </c>
      <c r="AQ343" s="2">
        <f t="shared" si="49"/>
        <v>0</v>
      </c>
      <c r="AR343" s="2" t="s">
        <v>1200</v>
      </c>
      <c r="AS343" s="4" t="s">
        <v>1200</v>
      </c>
      <c r="AT343" s="2" t="str">
        <f t="shared" si="50"/>
        <v/>
      </c>
      <c r="AU343" s="2" t="s">
        <v>1200</v>
      </c>
      <c r="AV343" s="4" t="s">
        <v>1200</v>
      </c>
      <c r="AW343" s="2" t="s">
        <v>1200</v>
      </c>
      <c r="AX343" s="2">
        <f t="shared" si="51"/>
        <v>3000</v>
      </c>
      <c r="AY343" s="2">
        <f t="shared" si="52"/>
        <v>0</v>
      </c>
      <c r="AZ343" s="2" t="str">
        <f t="shared" si="53"/>
        <v>Paid</v>
      </c>
      <c r="BA343" s="9" t="str" cm="1">
        <f t="array" ref="BA343">_xlfn.IFS(AZ343="Paid","R",AZ343="Unpaid","Q")</f>
        <v>R</v>
      </c>
      <c r="BB343" s="8" t="s">
        <v>2815</v>
      </c>
    </row>
    <row r="344" spans="1:54" x14ac:dyDescent="0.25">
      <c r="A344" s="2">
        <v>343</v>
      </c>
      <c r="B344" s="2">
        <v>343</v>
      </c>
      <c r="C344" s="2" t="s">
        <v>710</v>
      </c>
      <c r="D344" s="2" t="s">
        <v>1985</v>
      </c>
      <c r="E344" s="2" t="s">
        <v>711</v>
      </c>
      <c r="F344" s="4">
        <v>45953</v>
      </c>
      <c r="G344" s="8" t="s">
        <v>18</v>
      </c>
      <c r="H344" s="8" t="s">
        <v>1253</v>
      </c>
      <c r="I344" s="2" t="s">
        <v>9</v>
      </c>
      <c r="J344" s="2" t="s">
        <v>512</v>
      </c>
      <c r="K344" s="2" t="s">
        <v>795</v>
      </c>
      <c r="L344" s="2" t="s">
        <v>1259</v>
      </c>
      <c r="M344" s="2" t="s">
        <v>1262</v>
      </c>
      <c r="N344" s="2" t="s">
        <v>2358</v>
      </c>
      <c r="O344" s="4">
        <v>33464</v>
      </c>
      <c r="P344" s="2" t="s">
        <v>2775</v>
      </c>
      <c r="Q344" s="2" t="s">
        <v>2527</v>
      </c>
      <c r="R344" s="2" t="s">
        <v>2396</v>
      </c>
      <c r="S344" s="2" t="s">
        <v>796</v>
      </c>
      <c r="T344" s="2" t="s">
        <v>1629</v>
      </c>
      <c r="U344" s="2" t="s">
        <v>1286</v>
      </c>
      <c r="V344" s="2">
        <v>8123315772</v>
      </c>
      <c r="W344" s="2" t="s">
        <v>1146</v>
      </c>
      <c r="X344" s="2" t="s">
        <v>811</v>
      </c>
      <c r="Y344" s="2" t="s">
        <v>1184</v>
      </c>
      <c r="Z344" s="2" t="s">
        <v>1185</v>
      </c>
      <c r="AA344" s="2">
        <v>7000</v>
      </c>
      <c r="AB344" s="2">
        <v>200</v>
      </c>
      <c r="AC344" s="2">
        <v>800</v>
      </c>
      <c r="AD344" s="2">
        <v>0</v>
      </c>
      <c r="AE344" s="2">
        <f t="shared" si="45"/>
        <v>8000</v>
      </c>
      <c r="AF344" s="2">
        <v>2500</v>
      </c>
      <c r="AG344" s="4">
        <v>45963</v>
      </c>
      <c r="AH344" s="2">
        <f t="shared" si="46"/>
        <v>5500</v>
      </c>
      <c r="AI344" s="2">
        <v>3000</v>
      </c>
      <c r="AJ344" s="4">
        <v>45993</v>
      </c>
      <c r="AK344" s="2">
        <f t="shared" si="47"/>
        <v>2500</v>
      </c>
      <c r="AL344" s="2">
        <v>1000</v>
      </c>
      <c r="AM344" s="4">
        <v>46024</v>
      </c>
      <c r="AN344" s="2">
        <f t="shared" si="48"/>
        <v>1500</v>
      </c>
      <c r="AO344" s="2" cm="1">
        <f t="array" ref="AO344">_xlfn.IFS(AN344&gt;=5000,3000,AN344&gt;=2000,1000,AN344&gt;=500,500,AN344&lt;500,AN344)</f>
        <v>500</v>
      </c>
      <c r="AP344" s="4">
        <v>46055</v>
      </c>
      <c r="AQ344" s="2">
        <f t="shared" si="49"/>
        <v>1000</v>
      </c>
      <c r="AR344" s="2">
        <v>1000</v>
      </c>
      <c r="AS344" s="4">
        <v>46083</v>
      </c>
      <c r="AT344" s="2">
        <f t="shared" si="50"/>
        <v>0</v>
      </c>
      <c r="AU344" s="2" t="s">
        <v>1200</v>
      </c>
      <c r="AV344" s="4" t="s">
        <v>1200</v>
      </c>
      <c r="AW344" s="2" t="s">
        <v>1200</v>
      </c>
      <c r="AX344" s="2">
        <f t="shared" si="51"/>
        <v>8000</v>
      </c>
      <c r="AY344" s="2">
        <f t="shared" si="52"/>
        <v>0</v>
      </c>
      <c r="AZ344" s="2" t="str">
        <f t="shared" si="53"/>
        <v>Paid</v>
      </c>
      <c r="BA344" s="9" t="str" cm="1">
        <f t="array" ref="BA344">_xlfn.IFS(AZ344="Paid","R",AZ344="Unpaid","Q")</f>
        <v>R</v>
      </c>
      <c r="BB344" s="8" t="s">
        <v>2815</v>
      </c>
    </row>
    <row r="345" spans="1:54" x14ac:dyDescent="0.25">
      <c r="A345" s="2">
        <v>344</v>
      </c>
      <c r="B345" s="2">
        <v>344</v>
      </c>
      <c r="C345" s="2" t="s">
        <v>712</v>
      </c>
      <c r="D345" s="2" t="s">
        <v>1986</v>
      </c>
      <c r="E345" s="2" t="s">
        <v>713</v>
      </c>
      <c r="F345" s="4">
        <v>45955</v>
      </c>
      <c r="G345" s="8" t="s">
        <v>26</v>
      </c>
      <c r="H345" s="8" t="s">
        <v>1243</v>
      </c>
      <c r="I345" s="2" t="s">
        <v>9</v>
      </c>
      <c r="J345" s="2" t="s">
        <v>551</v>
      </c>
      <c r="K345" s="2" t="s">
        <v>787</v>
      </c>
      <c r="L345" s="2" t="s">
        <v>1256</v>
      </c>
      <c r="M345" s="2" t="s">
        <v>1263</v>
      </c>
      <c r="N345" s="2" t="s">
        <v>2359</v>
      </c>
      <c r="O345" s="4">
        <v>38190</v>
      </c>
      <c r="P345" s="2" t="s">
        <v>2776</v>
      </c>
      <c r="Q345" s="2" t="s">
        <v>2441</v>
      </c>
      <c r="R345" s="2" t="s">
        <v>2396</v>
      </c>
      <c r="S345" s="2" t="s">
        <v>820</v>
      </c>
      <c r="T345" s="2" t="s">
        <v>1630</v>
      </c>
      <c r="U345" s="2" t="s">
        <v>1271</v>
      </c>
      <c r="V345" s="2">
        <v>7288578001</v>
      </c>
      <c r="W345" s="2" t="s">
        <v>1147</v>
      </c>
      <c r="X345" s="2" t="s">
        <v>809</v>
      </c>
      <c r="Y345" s="2" t="s">
        <v>1184</v>
      </c>
      <c r="Z345" s="2" t="s">
        <v>1185</v>
      </c>
      <c r="AA345" s="2">
        <v>15000</v>
      </c>
      <c r="AB345" s="2">
        <v>200</v>
      </c>
      <c r="AC345" s="2">
        <v>1200</v>
      </c>
      <c r="AD345" s="2">
        <v>200</v>
      </c>
      <c r="AE345" s="2">
        <f t="shared" si="45"/>
        <v>16200</v>
      </c>
      <c r="AF345" s="2">
        <v>5000</v>
      </c>
      <c r="AG345" s="4">
        <v>45965</v>
      </c>
      <c r="AH345" s="2">
        <f t="shared" si="46"/>
        <v>11200</v>
      </c>
      <c r="AI345" s="2">
        <v>3000</v>
      </c>
      <c r="AJ345" s="4">
        <v>45995</v>
      </c>
      <c r="AK345" s="2">
        <f t="shared" si="47"/>
        <v>8200</v>
      </c>
      <c r="AL345" s="2">
        <v>3000</v>
      </c>
      <c r="AM345" s="4">
        <v>46026</v>
      </c>
      <c r="AN345" s="2">
        <f t="shared" si="48"/>
        <v>5200</v>
      </c>
      <c r="AO345" s="2" cm="1">
        <f t="array" ref="AO345">_xlfn.IFS(AN345&gt;=5000,3000,AN345&gt;=2000,1000,AN345&gt;=500,500,AN345&lt;500,AN345)</f>
        <v>3000</v>
      </c>
      <c r="AP345" s="4">
        <v>46057</v>
      </c>
      <c r="AQ345" s="2">
        <f t="shared" si="49"/>
        <v>2200</v>
      </c>
      <c r="AR345" s="2">
        <v>2000</v>
      </c>
      <c r="AS345" s="4">
        <v>46085</v>
      </c>
      <c r="AT345" s="2">
        <f t="shared" si="50"/>
        <v>200</v>
      </c>
      <c r="AU345" s="2">
        <v>200</v>
      </c>
      <c r="AV345" s="4">
        <v>46116</v>
      </c>
      <c r="AW345" s="2">
        <v>0</v>
      </c>
      <c r="AX345" s="2">
        <f t="shared" si="51"/>
        <v>16200</v>
      </c>
      <c r="AY345" s="2">
        <f t="shared" si="52"/>
        <v>0</v>
      </c>
      <c r="AZ345" s="2" t="str">
        <f t="shared" si="53"/>
        <v>Paid</v>
      </c>
      <c r="BA345" s="9" t="str" cm="1">
        <f t="array" ref="BA345">_xlfn.IFS(AZ345="Paid","R",AZ345="Unpaid","Q")</f>
        <v>R</v>
      </c>
      <c r="BB345" s="8" t="s">
        <v>2815</v>
      </c>
    </row>
    <row r="346" spans="1:54" x14ac:dyDescent="0.25">
      <c r="A346" s="2">
        <v>345</v>
      </c>
      <c r="B346" s="2">
        <v>345</v>
      </c>
      <c r="C346" s="2" t="s">
        <v>714</v>
      </c>
      <c r="D346" s="2" t="s">
        <v>1987</v>
      </c>
      <c r="E346" s="2" t="s">
        <v>715</v>
      </c>
      <c r="F346" s="4">
        <v>45957</v>
      </c>
      <c r="G346" s="8" t="s">
        <v>65</v>
      </c>
      <c r="H346" s="8" t="s">
        <v>65</v>
      </c>
      <c r="I346" s="2" t="s">
        <v>14</v>
      </c>
      <c r="J346" s="2" t="s">
        <v>512</v>
      </c>
      <c r="K346" s="2" t="s">
        <v>791</v>
      </c>
      <c r="L346" s="2" t="s">
        <v>1259</v>
      </c>
      <c r="M346" s="2" t="s">
        <v>1262</v>
      </c>
      <c r="N346" s="2" t="s">
        <v>2360</v>
      </c>
      <c r="O346" s="4">
        <v>35042</v>
      </c>
      <c r="P346" s="2" t="s">
        <v>2777</v>
      </c>
      <c r="Q346" s="2" t="s">
        <v>2498</v>
      </c>
      <c r="R346" s="2" t="s">
        <v>2393</v>
      </c>
      <c r="S346" s="2" t="s">
        <v>820</v>
      </c>
      <c r="T346" s="2" t="s">
        <v>1631</v>
      </c>
      <c r="U346" s="2" t="s">
        <v>1273</v>
      </c>
      <c r="V346" s="2">
        <v>6349077703</v>
      </c>
      <c r="W346" s="2" t="s">
        <v>1148</v>
      </c>
      <c r="X346" s="2" t="s">
        <v>1183</v>
      </c>
      <c r="Y346" s="2" t="s">
        <v>1184</v>
      </c>
      <c r="Z346" s="2" t="s">
        <v>1185</v>
      </c>
      <c r="AA346" s="2">
        <v>2500</v>
      </c>
      <c r="AB346" s="2">
        <v>200</v>
      </c>
      <c r="AC346" s="2">
        <v>500</v>
      </c>
      <c r="AD346" s="2">
        <v>0</v>
      </c>
      <c r="AE346" s="2">
        <f t="shared" si="45"/>
        <v>3200</v>
      </c>
      <c r="AF346" s="2">
        <v>1000</v>
      </c>
      <c r="AG346" s="4">
        <v>45967</v>
      </c>
      <c r="AH346" s="2">
        <f t="shared" si="46"/>
        <v>2200</v>
      </c>
      <c r="AI346" s="2">
        <v>1000</v>
      </c>
      <c r="AJ346" s="4">
        <v>45997</v>
      </c>
      <c r="AK346" s="2">
        <f t="shared" si="47"/>
        <v>1200</v>
      </c>
      <c r="AL346" s="2">
        <v>500</v>
      </c>
      <c r="AM346" s="4">
        <v>46028</v>
      </c>
      <c r="AN346" s="2">
        <f t="shared" si="48"/>
        <v>700</v>
      </c>
      <c r="AO346" s="2" cm="1">
        <f t="array" ref="AO346">_xlfn.IFS(AN346&gt;=5000,3000,AN346&gt;=2000,1000,AN346&gt;=500,500,AN346&lt;500,AN346)</f>
        <v>500</v>
      </c>
      <c r="AP346" s="4">
        <v>46059</v>
      </c>
      <c r="AQ346" s="2">
        <f t="shared" si="49"/>
        <v>200</v>
      </c>
      <c r="AR346" s="2">
        <v>200</v>
      </c>
      <c r="AS346" s="4">
        <v>46087</v>
      </c>
      <c r="AT346" s="2">
        <f t="shared" si="50"/>
        <v>0</v>
      </c>
      <c r="AU346" s="2" t="s">
        <v>1200</v>
      </c>
      <c r="AV346" s="4" t="s">
        <v>1200</v>
      </c>
      <c r="AW346" s="2" t="s">
        <v>1200</v>
      </c>
      <c r="AX346" s="2">
        <f t="shared" si="51"/>
        <v>3200</v>
      </c>
      <c r="AY346" s="2">
        <f t="shared" si="52"/>
        <v>0</v>
      </c>
      <c r="AZ346" s="2" t="str">
        <f t="shared" si="53"/>
        <v>Paid</v>
      </c>
      <c r="BA346" s="9" t="str" cm="1">
        <f t="array" ref="BA346">_xlfn.IFS(AZ346="Paid","R",AZ346="Unpaid","Q")</f>
        <v>R</v>
      </c>
      <c r="BB346" s="8" t="s">
        <v>2815</v>
      </c>
    </row>
    <row r="347" spans="1:54" x14ac:dyDescent="0.25">
      <c r="A347" s="2">
        <v>346</v>
      </c>
      <c r="B347" s="2">
        <v>346</v>
      </c>
      <c r="C347" s="2" t="s">
        <v>716</v>
      </c>
      <c r="D347" s="2" t="s">
        <v>1988</v>
      </c>
      <c r="E347" s="2" t="s">
        <v>717</v>
      </c>
      <c r="F347" s="4">
        <v>45957</v>
      </c>
      <c r="G347" s="8" t="s">
        <v>18</v>
      </c>
      <c r="H347" s="8" t="s">
        <v>1253</v>
      </c>
      <c r="I347" s="2" t="s">
        <v>9</v>
      </c>
      <c r="J347" s="2" t="s">
        <v>512</v>
      </c>
      <c r="K347" s="2" t="s">
        <v>795</v>
      </c>
      <c r="L347" s="2" t="s">
        <v>1256</v>
      </c>
      <c r="M347" s="2" t="s">
        <v>1263</v>
      </c>
      <c r="N347" s="2" t="s">
        <v>2361</v>
      </c>
      <c r="O347" s="4">
        <v>37868</v>
      </c>
      <c r="P347" s="2" t="s">
        <v>2778</v>
      </c>
      <c r="Q347" s="2" t="s">
        <v>2430</v>
      </c>
      <c r="R347" s="2" t="s">
        <v>2396</v>
      </c>
      <c r="S347" s="2" t="s">
        <v>820</v>
      </c>
      <c r="T347" s="2" t="s">
        <v>1632</v>
      </c>
      <c r="U347" s="2" t="s">
        <v>1269</v>
      </c>
      <c r="V347" s="2">
        <v>9033973388</v>
      </c>
      <c r="W347" s="2" t="s">
        <v>1149</v>
      </c>
      <c r="X347" s="2" t="s">
        <v>813</v>
      </c>
      <c r="Y347" s="2" t="s">
        <v>1184</v>
      </c>
      <c r="Z347" s="2" t="s">
        <v>1185</v>
      </c>
      <c r="AA347" s="2">
        <v>7000</v>
      </c>
      <c r="AB347" s="2">
        <v>200</v>
      </c>
      <c r="AC347" s="2">
        <v>800</v>
      </c>
      <c r="AD347" s="2">
        <v>0</v>
      </c>
      <c r="AE347" s="2">
        <f t="shared" si="45"/>
        <v>8000</v>
      </c>
      <c r="AF347" s="2">
        <v>2500</v>
      </c>
      <c r="AG347" s="4">
        <v>45967</v>
      </c>
      <c r="AH347" s="2">
        <f t="shared" si="46"/>
        <v>5500</v>
      </c>
      <c r="AI347" s="2">
        <v>3000</v>
      </c>
      <c r="AJ347" s="4">
        <v>45997</v>
      </c>
      <c r="AK347" s="2">
        <f t="shared" si="47"/>
        <v>2500</v>
      </c>
      <c r="AL347" s="2">
        <v>1000</v>
      </c>
      <c r="AM347" s="4">
        <v>46028</v>
      </c>
      <c r="AN347" s="2">
        <f t="shared" si="48"/>
        <v>1500</v>
      </c>
      <c r="AO347" s="2" cm="1">
        <f t="array" ref="AO347">_xlfn.IFS(AN347&gt;=5000,3000,AN347&gt;=2000,1000,AN347&gt;=500,500,AN347&lt;500,AN347)</f>
        <v>500</v>
      </c>
      <c r="AP347" s="4">
        <v>46059</v>
      </c>
      <c r="AQ347" s="2">
        <f t="shared" si="49"/>
        <v>1000</v>
      </c>
      <c r="AR347" s="2">
        <v>1000</v>
      </c>
      <c r="AS347" s="4">
        <v>46087</v>
      </c>
      <c r="AT347" s="2">
        <f t="shared" si="50"/>
        <v>0</v>
      </c>
      <c r="AU347" s="2" t="s">
        <v>1200</v>
      </c>
      <c r="AV347" s="4" t="s">
        <v>1200</v>
      </c>
      <c r="AW347" s="2" t="s">
        <v>1200</v>
      </c>
      <c r="AX347" s="2">
        <f t="shared" si="51"/>
        <v>8000</v>
      </c>
      <c r="AY347" s="2">
        <f t="shared" si="52"/>
        <v>0</v>
      </c>
      <c r="AZ347" s="2" t="str">
        <f t="shared" si="53"/>
        <v>Paid</v>
      </c>
      <c r="BA347" s="9" t="str" cm="1">
        <f t="array" ref="BA347">_xlfn.IFS(AZ347="Paid","R",AZ347="Unpaid","Q")</f>
        <v>R</v>
      </c>
      <c r="BB347" s="8" t="s">
        <v>2815</v>
      </c>
    </row>
    <row r="348" spans="1:54" x14ac:dyDescent="0.25">
      <c r="A348" s="2">
        <v>347</v>
      </c>
      <c r="B348" s="2">
        <v>347</v>
      </c>
      <c r="C348" s="2" t="s">
        <v>718</v>
      </c>
      <c r="D348" s="2" t="s">
        <v>1989</v>
      </c>
      <c r="E348" s="2" t="s">
        <v>719</v>
      </c>
      <c r="F348" s="4">
        <v>45958</v>
      </c>
      <c r="G348" s="8" t="s">
        <v>29</v>
      </c>
      <c r="H348" s="8" t="s">
        <v>1248</v>
      </c>
      <c r="I348" s="2" t="s">
        <v>14</v>
      </c>
      <c r="J348" s="2" t="s">
        <v>512</v>
      </c>
      <c r="K348" s="2" t="s">
        <v>791</v>
      </c>
      <c r="L348" s="2" t="s">
        <v>1259</v>
      </c>
      <c r="M348" s="2" t="s">
        <v>1262</v>
      </c>
      <c r="N348" s="2" t="s">
        <v>2362</v>
      </c>
      <c r="O348" s="4">
        <v>39846</v>
      </c>
      <c r="P348" s="2" t="s">
        <v>2779</v>
      </c>
      <c r="Q348" s="2" t="s">
        <v>2405</v>
      </c>
      <c r="R348" s="2" t="s">
        <v>2393</v>
      </c>
      <c r="S348" s="2" t="s">
        <v>796</v>
      </c>
      <c r="T348" s="2" t="s">
        <v>1633</v>
      </c>
      <c r="U348" s="2" t="s">
        <v>1271</v>
      </c>
      <c r="V348" s="2">
        <v>6893251906</v>
      </c>
      <c r="W348" s="2" t="s">
        <v>1150</v>
      </c>
      <c r="X348" s="2" t="s">
        <v>837</v>
      </c>
      <c r="Y348" s="2" t="s">
        <v>1184</v>
      </c>
      <c r="Z348" s="2" t="s">
        <v>1185</v>
      </c>
      <c r="AA348" s="2">
        <v>2500</v>
      </c>
      <c r="AB348" s="2">
        <v>200</v>
      </c>
      <c r="AC348" s="2">
        <v>400</v>
      </c>
      <c r="AD348" s="2">
        <v>500</v>
      </c>
      <c r="AE348" s="2">
        <f t="shared" si="45"/>
        <v>2600</v>
      </c>
      <c r="AF348" s="2">
        <v>1000</v>
      </c>
      <c r="AG348" s="4">
        <v>45968</v>
      </c>
      <c r="AH348" s="2">
        <f t="shared" si="46"/>
        <v>1600</v>
      </c>
      <c r="AI348" s="2">
        <v>500</v>
      </c>
      <c r="AJ348" s="4">
        <v>45998</v>
      </c>
      <c r="AK348" s="2">
        <f t="shared" si="47"/>
        <v>1100</v>
      </c>
      <c r="AL348" s="2">
        <v>500</v>
      </c>
      <c r="AM348" s="4">
        <v>46029</v>
      </c>
      <c r="AN348" s="2">
        <f t="shared" si="48"/>
        <v>600</v>
      </c>
      <c r="AO348" s="2" cm="1">
        <f t="array" ref="AO348">_xlfn.IFS(AN348&gt;=5000,3000,AN348&gt;=2000,1000,AN348&gt;=500,500,AN348&lt;500,AN348)</f>
        <v>500</v>
      </c>
      <c r="AP348" s="4">
        <v>46060</v>
      </c>
      <c r="AQ348" s="2">
        <f t="shared" si="49"/>
        <v>100</v>
      </c>
      <c r="AR348" s="2">
        <v>100</v>
      </c>
      <c r="AS348" s="4">
        <v>46088</v>
      </c>
      <c r="AT348" s="2">
        <f t="shared" si="50"/>
        <v>0</v>
      </c>
      <c r="AU348" s="2" t="s">
        <v>1200</v>
      </c>
      <c r="AV348" s="4" t="s">
        <v>1200</v>
      </c>
      <c r="AW348" s="2" t="s">
        <v>1200</v>
      </c>
      <c r="AX348" s="2">
        <f t="shared" si="51"/>
        <v>2600</v>
      </c>
      <c r="AY348" s="2">
        <f t="shared" si="52"/>
        <v>0</v>
      </c>
      <c r="AZ348" s="2" t="str">
        <f t="shared" si="53"/>
        <v>Paid</v>
      </c>
      <c r="BA348" s="9" t="str" cm="1">
        <f t="array" ref="BA348">_xlfn.IFS(AZ348="Paid","R",AZ348="Unpaid","Q")</f>
        <v>R</v>
      </c>
      <c r="BB348" s="8" t="s">
        <v>2815</v>
      </c>
    </row>
    <row r="349" spans="1:54" x14ac:dyDescent="0.25">
      <c r="A349" s="2">
        <v>348</v>
      </c>
      <c r="B349" s="2">
        <v>348</v>
      </c>
      <c r="C349" s="2" t="s">
        <v>720</v>
      </c>
      <c r="D349" s="2" t="s">
        <v>1812</v>
      </c>
      <c r="E349" s="2" t="s">
        <v>721</v>
      </c>
      <c r="F349" s="4">
        <v>45973</v>
      </c>
      <c r="G349" s="8" t="s">
        <v>21</v>
      </c>
      <c r="H349" s="8" t="s">
        <v>1252</v>
      </c>
      <c r="I349" s="2" t="s">
        <v>14</v>
      </c>
      <c r="J349" s="2" t="s">
        <v>512</v>
      </c>
      <c r="K349" s="2" t="s">
        <v>791</v>
      </c>
      <c r="L349" s="2" t="s">
        <v>1260</v>
      </c>
      <c r="M349" s="2" t="s">
        <v>1261</v>
      </c>
      <c r="N349" s="2" t="s">
        <v>2363</v>
      </c>
      <c r="O349" s="4">
        <v>33100</v>
      </c>
      <c r="P349" s="2" t="s">
        <v>2780</v>
      </c>
      <c r="Q349" s="2" t="s">
        <v>2609</v>
      </c>
      <c r="R349" s="2" t="s">
        <v>2393</v>
      </c>
      <c r="S349" s="2" t="s">
        <v>792</v>
      </c>
      <c r="T349" s="2" t="s">
        <v>1634</v>
      </c>
      <c r="U349" s="2" t="s">
        <v>1277</v>
      </c>
      <c r="V349" s="2">
        <v>8183010222</v>
      </c>
      <c r="W349" s="2" t="s">
        <v>1151</v>
      </c>
      <c r="X349" s="2" t="s">
        <v>811</v>
      </c>
      <c r="Y349" s="2" t="s">
        <v>1184</v>
      </c>
      <c r="Z349" s="2" t="s">
        <v>1185</v>
      </c>
      <c r="AA349" s="2">
        <v>3000</v>
      </c>
      <c r="AB349" s="2">
        <v>200</v>
      </c>
      <c r="AC349" s="2">
        <v>300</v>
      </c>
      <c r="AD349" s="2">
        <v>500</v>
      </c>
      <c r="AE349" s="2">
        <f t="shared" si="45"/>
        <v>3000</v>
      </c>
      <c r="AF349" s="2">
        <v>1000</v>
      </c>
      <c r="AG349" s="4">
        <v>45983</v>
      </c>
      <c r="AH349" s="2">
        <f t="shared" si="46"/>
        <v>2000</v>
      </c>
      <c r="AI349" s="2">
        <v>1000</v>
      </c>
      <c r="AJ349" s="4">
        <v>46013</v>
      </c>
      <c r="AK349" s="2">
        <f t="shared" si="47"/>
        <v>1000</v>
      </c>
      <c r="AL349" s="2">
        <v>500</v>
      </c>
      <c r="AM349" s="4">
        <v>46044</v>
      </c>
      <c r="AN349" s="2">
        <f t="shared" si="48"/>
        <v>500</v>
      </c>
      <c r="AO349" s="2" cm="1">
        <f t="array" ref="AO349">_xlfn.IFS(AN349&gt;=5000,3000,AN349&gt;=2000,1000,AN349&gt;=500,500,AN349&lt;500,AN349)</f>
        <v>500</v>
      </c>
      <c r="AP349" s="4">
        <v>46075</v>
      </c>
      <c r="AQ349" s="2">
        <f t="shared" si="49"/>
        <v>0</v>
      </c>
      <c r="AR349" s="2" t="s">
        <v>1200</v>
      </c>
      <c r="AS349" s="4" t="s">
        <v>1200</v>
      </c>
      <c r="AT349" s="2" t="str">
        <f t="shared" si="50"/>
        <v/>
      </c>
      <c r="AU349" s="2" t="s">
        <v>1200</v>
      </c>
      <c r="AV349" s="4" t="s">
        <v>1200</v>
      </c>
      <c r="AW349" s="2" t="s">
        <v>1200</v>
      </c>
      <c r="AX349" s="2">
        <f t="shared" si="51"/>
        <v>3000</v>
      </c>
      <c r="AY349" s="2">
        <f t="shared" si="52"/>
        <v>0</v>
      </c>
      <c r="AZ349" s="2" t="str">
        <f t="shared" si="53"/>
        <v>Paid</v>
      </c>
      <c r="BA349" s="9" t="str" cm="1">
        <f t="array" ref="BA349">_xlfn.IFS(AZ349="Paid","R",AZ349="Unpaid","Q")</f>
        <v>R</v>
      </c>
      <c r="BB349" s="8" t="s">
        <v>2815</v>
      </c>
    </row>
    <row r="350" spans="1:54" x14ac:dyDescent="0.25">
      <c r="A350" s="2">
        <v>349</v>
      </c>
      <c r="B350" s="2">
        <v>349</v>
      </c>
      <c r="C350" s="2" t="s">
        <v>722</v>
      </c>
      <c r="D350" s="2" t="s">
        <v>1990</v>
      </c>
      <c r="E350" s="2" t="s">
        <v>723</v>
      </c>
      <c r="F350" s="4">
        <v>45974</v>
      </c>
      <c r="G350" s="8" t="s">
        <v>45</v>
      </c>
      <c r="H350" s="8" t="s">
        <v>1250</v>
      </c>
      <c r="I350" s="2" t="s">
        <v>14</v>
      </c>
      <c r="J350" s="2" t="s">
        <v>512</v>
      </c>
      <c r="K350" s="2" t="s">
        <v>791</v>
      </c>
      <c r="L350" s="2" t="s">
        <v>1256</v>
      </c>
      <c r="M350" s="2" t="s">
        <v>1263</v>
      </c>
      <c r="N350" s="2" t="s">
        <v>2364</v>
      </c>
      <c r="O350" s="4">
        <v>37263</v>
      </c>
      <c r="P350" s="2" t="s">
        <v>2781</v>
      </c>
      <c r="Q350" s="2" t="s">
        <v>2556</v>
      </c>
      <c r="R350" s="2" t="s">
        <v>2393</v>
      </c>
      <c r="S350" s="2" t="s">
        <v>820</v>
      </c>
      <c r="T350" s="2" t="s">
        <v>1635</v>
      </c>
      <c r="U350" s="2" t="s">
        <v>1272</v>
      </c>
      <c r="V350" s="2">
        <v>9816214237</v>
      </c>
      <c r="W350" s="2" t="s">
        <v>1152</v>
      </c>
      <c r="X350" s="2" t="s">
        <v>798</v>
      </c>
      <c r="Y350" s="2" t="s">
        <v>1184</v>
      </c>
      <c r="Z350" s="2" t="s">
        <v>1185</v>
      </c>
      <c r="AA350" s="2">
        <v>2000</v>
      </c>
      <c r="AB350" s="2">
        <v>200</v>
      </c>
      <c r="AC350" s="2">
        <v>300</v>
      </c>
      <c r="AD350" s="2">
        <v>200</v>
      </c>
      <c r="AE350" s="2">
        <f t="shared" si="45"/>
        <v>2300</v>
      </c>
      <c r="AF350" s="2">
        <v>500</v>
      </c>
      <c r="AG350" s="4">
        <v>45984</v>
      </c>
      <c r="AH350" s="2">
        <f t="shared" si="46"/>
        <v>1800</v>
      </c>
      <c r="AI350" s="2">
        <v>500</v>
      </c>
      <c r="AJ350" s="4">
        <v>46014</v>
      </c>
      <c r="AK350" s="2">
        <f t="shared" si="47"/>
        <v>1300</v>
      </c>
      <c r="AL350" s="2">
        <v>500</v>
      </c>
      <c r="AM350" s="4">
        <v>46045</v>
      </c>
      <c r="AN350" s="2">
        <f t="shared" si="48"/>
        <v>800</v>
      </c>
      <c r="AO350" s="2" cm="1">
        <f t="array" ref="AO350">_xlfn.IFS(AN350&gt;=5000,3000,AN350&gt;=2000,1000,AN350&gt;=500,500,AN350&lt;500,AN350)</f>
        <v>500</v>
      </c>
      <c r="AP350" s="4">
        <v>46076</v>
      </c>
      <c r="AQ350" s="2">
        <f t="shared" si="49"/>
        <v>300</v>
      </c>
      <c r="AR350" s="2">
        <v>300</v>
      </c>
      <c r="AS350" s="4">
        <v>46104</v>
      </c>
      <c r="AT350" s="2">
        <f t="shared" si="50"/>
        <v>0</v>
      </c>
      <c r="AU350" s="2" t="s">
        <v>1200</v>
      </c>
      <c r="AV350" s="4" t="s">
        <v>1200</v>
      </c>
      <c r="AW350" s="2" t="s">
        <v>1200</v>
      </c>
      <c r="AX350" s="2">
        <f t="shared" si="51"/>
        <v>2300</v>
      </c>
      <c r="AY350" s="2">
        <f t="shared" si="52"/>
        <v>0</v>
      </c>
      <c r="AZ350" s="2" t="str">
        <f t="shared" si="53"/>
        <v>Paid</v>
      </c>
      <c r="BA350" s="9" t="str" cm="1">
        <f t="array" ref="BA350">_xlfn.IFS(AZ350="Paid","R",AZ350="Unpaid","Q")</f>
        <v>R</v>
      </c>
      <c r="BB350" s="8" t="s">
        <v>2815</v>
      </c>
    </row>
    <row r="351" spans="1:54" x14ac:dyDescent="0.25">
      <c r="A351" s="2">
        <v>350</v>
      </c>
      <c r="B351" s="2">
        <v>350</v>
      </c>
      <c r="C351" s="2" t="s">
        <v>724</v>
      </c>
      <c r="D351" s="2" t="s">
        <v>1991</v>
      </c>
      <c r="E351" s="2" t="s">
        <v>725</v>
      </c>
      <c r="F351" s="4">
        <v>45974</v>
      </c>
      <c r="G351" s="8" t="s">
        <v>26</v>
      </c>
      <c r="H351" s="8" t="s">
        <v>1243</v>
      </c>
      <c r="I351" s="2" t="s">
        <v>9</v>
      </c>
      <c r="J351" s="2" t="s">
        <v>551</v>
      </c>
      <c r="K351" s="2" t="s">
        <v>787</v>
      </c>
      <c r="L351" s="2" t="s">
        <v>1259</v>
      </c>
      <c r="M351" s="2" t="s">
        <v>1262</v>
      </c>
      <c r="N351" s="2" t="s">
        <v>2365</v>
      </c>
      <c r="O351" s="4">
        <v>40028</v>
      </c>
      <c r="P351" s="2" t="s">
        <v>2782</v>
      </c>
      <c r="Q351" s="2" t="s">
        <v>2444</v>
      </c>
      <c r="R351" s="2" t="s">
        <v>2393</v>
      </c>
      <c r="S351" s="2" t="s">
        <v>792</v>
      </c>
      <c r="T351" s="2" t="s">
        <v>1636</v>
      </c>
      <c r="U351" s="2" t="s">
        <v>1275</v>
      </c>
      <c r="V351" s="2">
        <v>6157828232</v>
      </c>
      <c r="W351" s="2" t="s">
        <v>1153</v>
      </c>
      <c r="X351" s="2" t="s">
        <v>798</v>
      </c>
      <c r="Y351" s="2" t="s">
        <v>1184</v>
      </c>
      <c r="Z351" s="2" t="s">
        <v>1185</v>
      </c>
      <c r="AA351" s="2">
        <v>15000</v>
      </c>
      <c r="AB351" s="2">
        <v>200</v>
      </c>
      <c r="AC351" s="2">
        <v>1200</v>
      </c>
      <c r="AD351" s="2">
        <v>200</v>
      </c>
      <c r="AE351" s="2">
        <f t="shared" si="45"/>
        <v>16200</v>
      </c>
      <c r="AF351" s="2">
        <v>5000</v>
      </c>
      <c r="AG351" s="4">
        <v>45984</v>
      </c>
      <c r="AH351" s="2">
        <f t="shared" si="46"/>
        <v>11200</v>
      </c>
      <c r="AI351" s="2">
        <v>3000</v>
      </c>
      <c r="AJ351" s="4">
        <v>46014</v>
      </c>
      <c r="AK351" s="2">
        <f t="shared" si="47"/>
        <v>8200</v>
      </c>
      <c r="AL351" s="2">
        <v>3000</v>
      </c>
      <c r="AM351" s="4">
        <v>46045</v>
      </c>
      <c r="AN351" s="2">
        <f t="shared" si="48"/>
        <v>5200</v>
      </c>
      <c r="AO351" s="2" cm="1">
        <f t="array" ref="AO351">_xlfn.IFS(AN351&gt;=5000,3000,AN351&gt;=2000,1000,AN351&gt;=500,500,AN351&lt;500,AN351)</f>
        <v>3000</v>
      </c>
      <c r="AP351" s="4">
        <v>46076</v>
      </c>
      <c r="AQ351" s="2">
        <f t="shared" si="49"/>
        <v>2200</v>
      </c>
      <c r="AR351" s="2">
        <v>2000</v>
      </c>
      <c r="AS351" s="4">
        <v>46104</v>
      </c>
      <c r="AT351" s="2">
        <f t="shared" si="50"/>
        <v>200</v>
      </c>
      <c r="AU351" s="2">
        <v>200</v>
      </c>
      <c r="AV351" s="4">
        <v>46135</v>
      </c>
      <c r="AW351" s="2">
        <v>0</v>
      </c>
      <c r="AX351" s="2">
        <f t="shared" si="51"/>
        <v>16200</v>
      </c>
      <c r="AY351" s="2">
        <f t="shared" si="52"/>
        <v>0</v>
      </c>
      <c r="AZ351" s="2" t="str">
        <f t="shared" si="53"/>
        <v>Paid</v>
      </c>
      <c r="BA351" s="9" t="str" cm="1">
        <f t="array" ref="BA351">_xlfn.IFS(AZ351="Paid","R",AZ351="Unpaid","Q")</f>
        <v>R</v>
      </c>
      <c r="BB351" s="8" t="s">
        <v>2815</v>
      </c>
    </row>
    <row r="352" spans="1:54" x14ac:dyDescent="0.25">
      <c r="A352" s="2">
        <v>351</v>
      </c>
      <c r="B352" s="2">
        <v>351</v>
      </c>
      <c r="C352" s="2" t="s">
        <v>726</v>
      </c>
      <c r="D352" s="2" t="s">
        <v>1992</v>
      </c>
      <c r="E352" s="2" t="s">
        <v>727</v>
      </c>
      <c r="F352" s="4">
        <v>45975</v>
      </c>
      <c r="G352" s="8" t="s">
        <v>95</v>
      </c>
      <c r="H352" s="8" t="s">
        <v>1245</v>
      </c>
      <c r="I352" s="2" t="s">
        <v>14</v>
      </c>
      <c r="J352" s="2" t="s">
        <v>512</v>
      </c>
      <c r="K352" s="2" t="s">
        <v>791</v>
      </c>
      <c r="L352" s="2" t="s">
        <v>1258</v>
      </c>
      <c r="M352" s="2" t="s">
        <v>1264</v>
      </c>
      <c r="N352" s="2" t="s">
        <v>2366</v>
      </c>
      <c r="O352" s="4">
        <v>34573</v>
      </c>
      <c r="P352" s="2" t="s">
        <v>2783</v>
      </c>
      <c r="Q352" s="2" t="s">
        <v>2529</v>
      </c>
      <c r="R352" s="2" t="s">
        <v>2393</v>
      </c>
      <c r="S352" s="2" t="s">
        <v>788</v>
      </c>
      <c r="T352" s="2" t="s">
        <v>1637</v>
      </c>
      <c r="U352" s="2" t="s">
        <v>1283</v>
      </c>
      <c r="V352" s="2">
        <v>7244588955</v>
      </c>
      <c r="W352" s="2" t="s">
        <v>1154</v>
      </c>
      <c r="X352" s="2" t="s">
        <v>794</v>
      </c>
      <c r="Y352" s="2" t="s">
        <v>1184</v>
      </c>
      <c r="Z352" s="2" t="s">
        <v>1185</v>
      </c>
      <c r="AA352" s="2">
        <v>3500</v>
      </c>
      <c r="AB352" s="2">
        <v>200</v>
      </c>
      <c r="AC352" s="2">
        <v>500</v>
      </c>
      <c r="AD352" s="2">
        <v>200</v>
      </c>
      <c r="AE352" s="2">
        <f t="shared" si="45"/>
        <v>4000</v>
      </c>
      <c r="AF352" s="2">
        <v>1000</v>
      </c>
      <c r="AG352" s="4">
        <v>45985</v>
      </c>
      <c r="AH352" s="2">
        <f t="shared" si="46"/>
        <v>3000</v>
      </c>
      <c r="AI352" s="2">
        <v>1000</v>
      </c>
      <c r="AJ352" s="4">
        <v>46015</v>
      </c>
      <c r="AK352" s="2">
        <f t="shared" si="47"/>
        <v>2000</v>
      </c>
      <c r="AL352" s="2">
        <v>1000</v>
      </c>
      <c r="AM352" s="4">
        <v>46046</v>
      </c>
      <c r="AN352" s="2">
        <f t="shared" si="48"/>
        <v>1000</v>
      </c>
      <c r="AO352" s="2" cm="1">
        <f t="array" ref="AO352">_xlfn.IFS(AN352&gt;=5000,3000,AN352&gt;=2000,1000,AN352&gt;=500,500,AN352&lt;500,AN352)</f>
        <v>500</v>
      </c>
      <c r="AP352" s="4">
        <v>46077</v>
      </c>
      <c r="AQ352" s="2">
        <f t="shared" si="49"/>
        <v>500</v>
      </c>
      <c r="AR352" s="2">
        <v>500</v>
      </c>
      <c r="AS352" s="4">
        <v>46105</v>
      </c>
      <c r="AT352" s="2">
        <f t="shared" si="50"/>
        <v>0</v>
      </c>
      <c r="AU352" s="2" t="s">
        <v>1200</v>
      </c>
      <c r="AV352" s="4" t="s">
        <v>1200</v>
      </c>
      <c r="AW352" s="2" t="s">
        <v>1200</v>
      </c>
      <c r="AX352" s="2">
        <f t="shared" si="51"/>
        <v>4000</v>
      </c>
      <c r="AY352" s="2">
        <f t="shared" si="52"/>
        <v>0</v>
      </c>
      <c r="AZ352" s="2" t="str">
        <f t="shared" si="53"/>
        <v>Paid</v>
      </c>
      <c r="BA352" s="9" t="str" cm="1">
        <f t="array" ref="BA352">_xlfn.IFS(AZ352="Paid","R",AZ352="Unpaid","Q")</f>
        <v>R</v>
      </c>
      <c r="BB352" s="8" t="s">
        <v>2815</v>
      </c>
    </row>
    <row r="353" spans="1:54" x14ac:dyDescent="0.25">
      <c r="A353" s="2">
        <v>352</v>
      </c>
      <c r="B353" s="2">
        <v>352</v>
      </c>
      <c r="C353" s="2" t="s">
        <v>728</v>
      </c>
      <c r="D353" s="2" t="s">
        <v>1993</v>
      </c>
      <c r="E353" s="2" t="s">
        <v>729</v>
      </c>
      <c r="F353" s="4">
        <v>45977</v>
      </c>
      <c r="G353" s="8" t="s">
        <v>65</v>
      </c>
      <c r="H353" s="8" t="s">
        <v>65</v>
      </c>
      <c r="I353" s="2" t="s">
        <v>14</v>
      </c>
      <c r="J353" s="2" t="s">
        <v>512</v>
      </c>
      <c r="K353" s="2" t="s">
        <v>791</v>
      </c>
      <c r="L353" s="2" t="s">
        <v>1259</v>
      </c>
      <c r="M353" s="2" t="s">
        <v>1262</v>
      </c>
      <c r="N353" s="2" t="s">
        <v>2367</v>
      </c>
      <c r="O353" s="4">
        <v>34680</v>
      </c>
      <c r="P353" s="2" t="s">
        <v>2784</v>
      </c>
      <c r="Q353" s="2" t="s">
        <v>2560</v>
      </c>
      <c r="R353" s="2" t="s">
        <v>2393</v>
      </c>
      <c r="S353" s="2" t="s">
        <v>788</v>
      </c>
      <c r="T353" s="2" t="s">
        <v>1638</v>
      </c>
      <c r="U353" s="2" t="s">
        <v>1280</v>
      </c>
      <c r="V353" s="2">
        <v>9620916483</v>
      </c>
      <c r="W353" s="2" t="s">
        <v>1155</v>
      </c>
      <c r="X353" s="2" t="s">
        <v>1183</v>
      </c>
      <c r="Y353" s="2" t="s">
        <v>1184</v>
      </c>
      <c r="Z353" s="2" t="s">
        <v>1185</v>
      </c>
      <c r="AA353" s="2">
        <v>2500</v>
      </c>
      <c r="AB353" s="2">
        <v>200</v>
      </c>
      <c r="AC353" s="2">
        <v>500</v>
      </c>
      <c r="AD353" s="2">
        <v>0</v>
      </c>
      <c r="AE353" s="2">
        <f t="shared" si="45"/>
        <v>3200</v>
      </c>
      <c r="AF353" s="2">
        <v>1000</v>
      </c>
      <c r="AG353" s="4">
        <v>45987</v>
      </c>
      <c r="AH353" s="2">
        <f t="shared" si="46"/>
        <v>2200</v>
      </c>
      <c r="AI353" s="2">
        <v>1000</v>
      </c>
      <c r="AJ353" s="4">
        <v>46017</v>
      </c>
      <c r="AK353" s="2">
        <f t="shared" si="47"/>
        <v>1200</v>
      </c>
      <c r="AL353" s="2">
        <v>500</v>
      </c>
      <c r="AM353" s="4">
        <v>46048</v>
      </c>
      <c r="AN353" s="2">
        <f t="shared" si="48"/>
        <v>700</v>
      </c>
      <c r="AO353" s="2" cm="1">
        <f t="array" ref="AO353">_xlfn.IFS(AN353&gt;=5000,3000,AN353&gt;=2000,1000,AN353&gt;=500,500,AN353&lt;500,AN353)</f>
        <v>500</v>
      </c>
      <c r="AP353" s="4">
        <v>46079</v>
      </c>
      <c r="AQ353" s="2">
        <f t="shared" si="49"/>
        <v>200</v>
      </c>
      <c r="AR353" s="2">
        <v>200</v>
      </c>
      <c r="AS353" s="4">
        <v>46107</v>
      </c>
      <c r="AT353" s="2">
        <f t="shared" si="50"/>
        <v>0</v>
      </c>
      <c r="AU353" s="2" t="s">
        <v>1200</v>
      </c>
      <c r="AV353" s="4" t="s">
        <v>1200</v>
      </c>
      <c r="AW353" s="2" t="s">
        <v>1200</v>
      </c>
      <c r="AX353" s="2">
        <f t="shared" si="51"/>
        <v>3200</v>
      </c>
      <c r="AY353" s="2">
        <f t="shared" si="52"/>
        <v>0</v>
      </c>
      <c r="AZ353" s="2" t="str">
        <f t="shared" si="53"/>
        <v>Paid</v>
      </c>
      <c r="BA353" s="9" t="str" cm="1">
        <f t="array" ref="BA353">_xlfn.IFS(AZ353="Paid","R",AZ353="Unpaid","Q")</f>
        <v>R</v>
      </c>
      <c r="BB353" s="8" t="s">
        <v>2815</v>
      </c>
    </row>
    <row r="354" spans="1:54" x14ac:dyDescent="0.25">
      <c r="A354" s="2">
        <v>353</v>
      </c>
      <c r="B354" s="2">
        <v>353</v>
      </c>
      <c r="C354" s="2" t="s">
        <v>730</v>
      </c>
      <c r="D354" s="2" t="s">
        <v>1994</v>
      </c>
      <c r="E354" s="2" t="s">
        <v>731</v>
      </c>
      <c r="F354" s="4">
        <v>45979</v>
      </c>
      <c r="G354" s="8" t="s">
        <v>26</v>
      </c>
      <c r="H354" s="8" t="s">
        <v>1243</v>
      </c>
      <c r="I354" s="2" t="s">
        <v>9</v>
      </c>
      <c r="J354" s="2" t="s">
        <v>551</v>
      </c>
      <c r="K354" s="2" t="s">
        <v>787</v>
      </c>
      <c r="L354" s="2" t="s">
        <v>1258</v>
      </c>
      <c r="M354" s="2" t="s">
        <v>1264</v>
      </c>
      <c r="N354" s="2" t="s">
        <v>2368</v>
      </c>
      <c r="O354" s="4">
        <v>36082</v>
      </c>
      <c r="P354" s="2" t="s">
        <v>2785</v>
      </c>
      <c r="Q354" s="2" t="s">
        <v>2527</v>
      </c>
      <c r="R354" s="2" t="s">
        <v>2393</v>
      </c>
      <c r="S354" s="2" t="s">
        <v>820</v>
      </c>
      <c r="T354" s="2" t="s">
        <v>1639</v>
      </c>
      <c r="U354" s="2" t="s">
        <v>1272</v>
      </c>
      <c r="V354" s="2">
        <v>6073083000</v>
      </c>
      <c r="W354" s="2" t="s">
        <v>1156</v>
      </c>
      <c r="X354" s="2" t="s">
        <v>1183</v>
      </c>
      <c r="Y354" s="2" t="s">
        <v>1184</v>
      </c>
      <c r="Z354" s="2" t="s">
        <v>1185</v>
      </c>
      <c r="AA354" s="2">
        <v>15000</v>
      </c>
      <c r="AB354" s="2">
        <v>200</v>
      </c>
      <c r="AC354" s="2">
        <v>1200</v>
      </c>
      <c r="AD354" s="2">
        <v>300</v>
      </c>
      <c r="AE354" s="2">
        <f t="shared" si="45"/>
        <v>16100</v>
      </c>
      <c r="AF354" s="2">
        <v>5000</v>
      </c>
      <c r="AG354" s="4">
        <v>45989</v>
      </c>
      <c r="AH354" s="2">
        <f t="shared" si="46"/>
        <v>11100</v>
      </c>
      <c r="AI354" s="2">
        <v>3000</v>
      </c>
      <c r="AJ354" s="4">
        <v>46019</v>
      </c>
      <c r="AK354" s="2">
        <f t="shared" si="47"/>
        <v>8100</v>
      </c>
      <c r="AL354" s="2">
        <v>3000</v>
      </c>
      <c r="AM354" s="4">
        <v>46050</v>
      </c>
      <c r="AN354" s="2">
        <f t="shared" si="48"/>
        <v>5100</v>
      </c>
      <c r="AO354" s="2" cm="1">
        <f t="array" ref="AO354">_xlfn.IFS(AN354&gt;=5000,3000,AN354&gt;=2000,1000,AN354&gt;=500,500,AN354&lt;500,AN354)</f>
        <v>3000</v>
      </c>
      <c r="AP354" s="4">
        <v>46081</v>
      </c>
      <c r="AQ354" s="2">
        <f t="shared" si="49"/>
        <v>2100</v>
      </c>
      <c r="AR354" s="2">
        <v>2000</v>
      </c>
      <c r="AS354" s="4">
        <v>46109</v>
      </c>
      <c r="AT354" s="2">
        <f t="shared" si="50"/>
        <v>100</v>
      </c>
      <c r="AU354" s="2">
        <v>100</v>
      </c>
      <c r="AV354" s="4">
        <v>46140</v>
      </c>
      <c r="AW354" s="2">
        <v>0</v>
      </c>
      <c r="AX354" s="2">
        <f t="shared" si="51"/>
        <v>16100</v>
      </c>
      <c r="AY354" s="2">
        <f t="shared" si="52"/>
        <v>0</v>
      </c>
      <c r="AZ354" s="2" t="str">
        <f t="shared" si="53"/>
        <v>Paid</v>
      </c>
      <c r="BA354" s="9" t="str" cm="1">
        <f t="array" ref="BA354">_xlfn.IFS(AZ354="Paid","R",AZ354="Unpaid","Q")</f>
        <v>R</v>
      </c>
      <c r="BB354" s="8" t="s">
        <v>2815</v>
      </c>
    </row>
    <row r="355" spans="1:54" x14ac:dyDescent="0.25">
      <c r="A355" s="2">
        <v>354</v>
      </c>
      <c r="B355" s="2">
        <v>354</v>
      </c>
      <c r="C355" s="2" t="s">
        <v>732</v>
      </c>
      <c r="D355" s="2" t="s">
        <v>1995</v>
      </c>
      <c r="E355" s="2" t="s">
        <v>733</v>
      </c>
      <c r="F355" s="4">
        <v>45979</v>
      </c>
      <c r="G355" s="8" t="s">
        <v>21</v>
      </c>
      <c r="H355" s="8" t="s">
        <v>1252</v>
      </c>
      <c r="I355" s="2" t="s">
        <v>14</v>
      </c>
      <c r="J355" s="2" t="s">
        <v>512</v>
      </c>
      <c r="K355" s="2" t="s">
        <v>791</v>
      </c>
      <c r="L355" s="2" t="s">
        <v>1258</v>
      </c>
      <c r="M355" s="2" t="s">
        <v>1264</v>
      </c>
      <c r="N355" s="2" t="s">
        <v>2369</v>
      </c>
      <c r="O355" s="4">
        <v>33470</v>
      </c>
      <c r="P355" s="2" t="s">
        <v>2786</v>
      </c>
      <c r="Q355" s="2" t="s">
        <v>2434</v>
      </c>
      <c r="R355" s="2" t="s">
        <v>2396</v>
      </c>
      <c r="S355" s="2" t="s">
        <v>788</v>
      </c>
      <c r="T355" s="2" t="s">
        <v>1640</v>
      </c>
      <c r="U355" s="2" t="s">
        <v>1281</v>
      </c>
      <c r="V355" s="2">
        <v>7839486984</v>
      </c>
      <c r="W355" s="2" t="s">
        <v>1157</v>
      </c>
      <c r="X355" s="2" t="s">
        <v>794</v>
      </c>
      <c r="Y355" s="2" t="s">
        <v>1184</v>
      </c>
      <c r="Z355" s="2" t="s">
        <v>1185</v>
      </c>
      <c r="AA355" s="2">
        <v>3000</v>
      </c>
      <c r="AB355" s="2">
        <v>200</v>
      </c>
      <c r="AC355" s="2">
        <v>300</v>
      </c>
      <c r="AD355" s="2">
        <v>500</v>
      </c>
      <c r="AE355" s="2">
        <f t="shared" si="45"/>
        <v>3000</v>
      </c>
      <c r="AF355" s="2">
        <v>1000</v>
      </c>
      <c r="AG355" s="4">
        <v>45989</v>
      </c>
      <c r="AH355" s="2">
        <f t="shared" si="46"/>
        <v>2000</v>
      </c>
      <c r="AI355" s="2">
        <v>1000</v>
      </c>
      <c r="AJ355" s="4">
        <v>46019</v>
      </c>
      <c r="AK355" s="2">
        <f t="shared" si="47"/>
        <v>1000</v>
      </c>
      <c r="AL355" s="2">
        <v>500</v>
      </c>
      <c r="AM355" s="4">
        <v>46050</v>
      </c>
      <c r="AN355" s="2">
        <f t="shared" si="48"/>
        <v>500</v>
      </c>
      <c r="AO355" s="2" cm="1">
        <f t="array" ref="AO355">_xlfn.IFS(AN355&gt;=5000,3000,AN355&gt;=2000,1000,AN355&gt;=500,500,AN355&lt;500,AN355)</f>
        <v>500</v>
      </c>
      <c r="AP355" s="4">
        <v>46081</v>
      </c>
      <c r="AQ355" s="2">
        <f t="shared" si="49"/>
        <v>0</v>
      </c>
      <c r="AR355" s="2" t="s">
        <v>1200</v>
      </c>
      <c r="AS355" s="4" t="s">
        <v>1200</v>
      </c>
      <c r="AT355" s="2" t="str">
        <f t="shared" si="50"/>
        <v/>
      </c>
      <c r="AU355" s="2" t="s">
        <v>1200</v>
      </c>
      <c r="AV355" s="4" t="s">
        <v>1200</v>
      </c>
      <c r="AW355" s="2" t="s">
        <v>1200</v>
      </c>
      <c r="AX355" s="2">
        <f t="shared" si="51"/>
        <v>3000</v>
      </c>
      <c r="AY355" s="2">
        <f t="shared" si="52"/>
        <v>0</v>
      </c>
      <c r="AZ355" s="2" t="str">
        <f t="shared" si="53"/>
        <v>Paid</v>
      </c>
      <c r="BA355" s="9" t="str" cm="1">
        <f t="array" ref="BA355">_xlfn.IFS(AZ355="Paid","R",AZ355="Unpaid","Q")</f>
        <v>R</v>
      </c>
      <c r="BB355" s="8" t="s">
        <v>2815</v>
      </c>
    </row>
    <row r="356" spans="1:54" x14ac:dyDescent="0.25">
      <c r="A356" s="2">
        <v>355</v>
      </c>
      <c r="B356" s="2">
        <v>355</v>
      </c>
      <c r="C356" s="2" t="s">
        <v>734</v>
      </c>
      <c r="D356" s="2" t="s">
        <v>1996</v>
      </c>
      <c r="E356" s="2" t="s">
        <v>735</v>
      </c>
      <c r="F356" s="4">
        <v>45980</v>
      </c>
      <c r="G356" s="8" t="s">
        <v>65</v>
      </c>
      <c r="H356" s="8" t="s">
        <v>65</v>
      </c>
      <c r="I356" s="2" t="s">
        <v>14</v>
      </c>
      <c r="J356" s="2" t="s">
        <v>512</v>
      </c>
      <c r="K356" s="2" t="s">
        <v>791</v>
      </c>
      <c r="L356" s="2" t="s">
        <v>1257</v>
      </c>
      <c r="M356" s="2" t="s">
        <v>1261</v>
      </c>
      <c r="N356" s="2" t="s">
        <v>2370</v>
      </c>
      <c r="O356" s="4">
        <v>33130</v>
      </c>
      <c r="P356" s="2" t="s">
        <v>2787</v>
      </c>
      <c r="Q356" s="2" t="s">
        <v>2609</v>
      </c>
      <c r="R356" s="2" t="s">
        <v>2393</v>
      </c>
      <c r="S356" s="2" t="s">
        <v>796</v>
      </c>
      <c r="T356" s="2" t="s">
        <v>1641</v>
      </c>
      <c r="U356" s="2" t="s">
        <v>1283</v>
      </c>
      <c r="V356" s="2">
        <v>7156662806</v>
      </c>
      <c r="W356" s="2" t="s">
        <v>1158</v>
      </c>
      <c r="X356" s="2" t="s">
        <v>837</v>
      </c>
      <c r="Y356" s="2" t="s">
        <v>1184</v>
      </c>
      <c r="Z356" s="2" t="s">
        <v>1185</v>
      </c>
      <c r="AA356" s="2">
        <v>2500</v>
      </c>
      <c r="AB356" s="2">
        <v>200</v>
      </c>
      <c r="AC356" s="2">
        <v>500</v>
      </c>
      <c r="AD356" s="2">
        <v>300</v>
      </c>
      <c r="AE356" s="2">
        <f t="shared" si="45"/>
        <v>2900</v>
      </c>
      <c r="AF356" s="2">
        <v>1000</v>
      </c>
      <c r="AG356" s="4">
        <v>45990</v>
      </c>
      <c r="AH356" s="2">
        <f t="shared" si="46"/>
        <v>1900</v>
      </c>
      <c r="AI356" s="2">
        <v>500</v>
      </c>
      <c r="AJ356" s="4">
        <v>46020</v>
      </c>
      <c r="AK356" s="2">
        <f t="shared" si="47"/>
        <v>1400</v>
      </c>
      <c r="AL356" s="2">
        <v>500</v>
      </c>
      <c r="AM356" s="4">
        <v>46051</v>
      </c>
      <c r="AN356" s="2">
        <f t="shared" si="48"/>
        <v>900</v>
      </c>
      <c r="AO356" s="2" cm="1">
        <f t="array" ref="AO356">_xlfn.IFS(AN356&gt;=5000,3000,AN356&gt;=2000,1000,AN356&gt;=500,500,AN356&lt;500,AN356)</f>
        <v>500</v>
      </c>
      <c r="AP356" s="4">
        <v>46081</v>
      </c>
      <c r="AQ356" s="2">
        <f t="shared" si="49"/>
        <v>400</v>
      </c>
      <c r="AR356" s="2">
        <v>400</v>
      </c>
      <c r="AS356" s="4">
        <v>46109</v>
      </c>
      <c r="AT356" s="2">
        <f t="shared" si="50"/>
        <v>0</v>
      </c>
      <c r="AU356" s="2" t="s">
        <v>1200</v>
      </c>
      <c r="AV356" s="4" t="s">
        <v>1200</v>
      </c>
      <c r="AW356" s="2" t="s">
        <v>1200</v>
      </c>
      <c r="AX356" s="2">
        <f t="shared" si="51"/>
        <v>2900</v>
      </c>
      <c r="AY356" s="2">
        <f t="shared" si="52"/>
        <v>0</v>
      </c>
      <c r="AZ356" s="2" t="str">
        <f t="shared" si="53"/>
        <v>Paid</v>
      </c>
      <c r="BA356" s="9" t="str" cm="1">
        <f t="array" ref="BA356">_xlfn.IFS(AZ356="Paid","R",AZ356="Unpaid","Q")</f>
        <v>R</v>
      </c>
      <c r="BB356" s="8" t="s">
        <v>2815</v>
      </c>
    </row>
    <row r="357" spans="1:54" x14ac:dyDescent="0.25">
      <c r="A357" s="2">
        <v>356</v>
      </c>
      <c r="B357" s="2">
        <v>356</v>
      </c>
      <c r="C357" s="2" t="s">
        <v>736</v>
      </c>
      <c r="D357" s="2" t="s">
        <v>1997</v>
      </c>
      <c r="E357" s="2" t="s">
        <v>737</v>
      </c>
      <c r="F357" s="4">
        <v>45980</v>
      </c>
      <c r="G357" s="8" t="s">
        <v>13</v>
      </c>
      <c r="H357" s="8" t="s">
        <v>1254</v>
      </c>
      <c r="I357" s="2" t="s">
        <v>14</v>
      </c>
      <c r="J357" s="2" t="s">
        <v>512</v>
      </c>
      <c r="K357" s="2" t="s">
        <v>791</v>
      </c>
      <c r="L357" s="2" t="s">
        <v>1258</v>
      </c>
      <c r="M357" s="2" t="s">
        <v>1264</v>
      </c>
      <c r="N357" s="2" t="s">
        <v>2371</v>
      </c>
      <c r="O357" s="4">
        <v>37063</v>
      </c>
      <c r="P357" s="2" t="s">
        <v>2788</v>
      </c>
      <c r="Q357" s="2" t="s">
        <v>2527</v>
      </c>
      <c r="R357" s="2" t="s">
        <v>2393</v>
      </c>
      <c r="S357" s="2" t="s">
        <v>796</v>
      </c>
      <c r="T357" s="2" t="s">
        <v>1642</v>
      </c>
      <c r="U357" s="2" t="s">
        <v>1280</v>
      </c>
      <c r="V357" s="2">
        <v>7176631593</v>
      </c>
      <c r="W357" s="2" t="s">
        <v>1159</v>
      </c>
      <c r="X357" s="2" t="s">
        <v>822</v>
      </c>
      <c r="Y357" s="2" t="s">
        <v>1184</v>
      </c>
      <c r="Z357" s="2" t="s">
        <v>1185</v>
      </c>
      <c r="AA357" s="2">
        <v>3000</v>
      </c>
      <c r="AB357" s="2">
        <v>200</v>
      </c>
      <c r="AC357" s="2">
        <v>500</v>
      </c>
      <c r="AD357" s="2">
        <v>300</v>
      </c>
      <c r="AE357" s="2">
        <f t="shared" si="45"/>
        <v>3400</v>
      </c>
      <c r="AF357" s="2">
        <v>1000</v>
      </c>
      <c r="AG357" s="4">
        <v>45990</v>
      </c>
      <c r="AH357" s="2">
        <f t="shared" si="46"/>
        <v>2400</v>
      </c>
      <c r="AI357" s="2">
        <v>1000</v>
      </c>
      <c r="AJ357" s="4">
        <v>46020</v>
      </c>
      <c r="AK357" s="2">
        <f t="shared" si="47"/>
        <v>1400</v>
      </c>
      <c r="AL357" s="2">
        <v>500</v>
      </c>
      <c r="AM357" s="4">
        <v>46051</v>
      </c>
      <c r="AN357" s="2">
        <f t="shared" si="48"/>
        <v>900</v>
      </c>
      <c r="AO357" s="2" cm="1">
        <f t="array" ref="AO357">_xlfn.IFS(AN357&gt;=5000,3000,AN357&gt;=2000,1000,AN357&gt;=500,500,AN357&lt;500,AN357)</f>
        <v>500</v>
      </c>
      <c r="AP357" s="4">
        <v>46081</v>
      </c>
      <c r="AQ357" s="2">
        <f t="shared" si="49"/>
        <v>400</v>
      </c>
      <c r="AR357" s="2">
        <v>400</v>
      </c>
      <c r="AS357" s="4">
        <v>46109</v>
      </c>
      <c r="AT357" s="2">
        <f t="shared" si="50"/>
        <v>0</v>
      </c>
      <c r="AU357" s="2" t="s">
        <v>1200</v>
      </c>
      <c r="AV357" s="4" t="s">
        <v>1200</v>
      </c>
      <c r="AW357" s="2" t="s">
        <v>1200</v>
      </c>
      <c r="AX357" s="2">
        <f t="shared" si="51"/>
        <v>3400</v>
      </c>
      <c r="AY357" s="2">
        <f t="shared" si="52"/>
        <v>0</v>
      </c>
      <c r="AZ357" s="2" t="str">
        <f t="shared" si="53"/>
        <v>Paid</v>
      </c>
      <c r="BA357" s="9" t="str" cm="1">
        <f t="array" ref="BA357">_xlfn.IFS(AZ357="Paid","R",AZ357="Unpaid","Q")</f>
        <v>R</v>
      </c>
      <c r="BB357" s="8" t="s">
        <v>2815</v>
      </c>
    </row>
    <row r="358" spans="1:54" x14ac:dyDescent="0.25">
      <c r="A358" s="2">
        <v>357</v>
      </c>
      <c r="B358" s="2">
        <v>357</v>
      </c>
      <c r="C358" s="2" t="s">
        <v>738</v>
      </c>
      <c r="D358" s="2" t="s">
        <v>1998</v>
      </c>
      <c r="E358" s="2" t="s">
        <v>739</v>
      </c>
      <c r="F358" s="4">
        <v>45981</v>
      </c>
      <c r="G358" s="8" t="s">
        <v>45</v>
      </c>
      <c r="H358" s="8" t="s">
        <v>1250</v>
      </c>
      <c r="I358" s="2" t="s">
        <v>14</v>
      </c>
      <c r="J358" s="2" t="s">
        <v>512</v>
      </c>
      <c r="K358" s="2" t="s">
        <v>791</v>
      </c>
      <c r="L358" s="2" t="s">
        <v>1260</v>
      </c>
      <c r="M358" s="2" t="s">
        <v>1261</v>
      </c>
      <c r="N358" s="2" t="s">
        <v>2372</v>
      </c>
      <c r="O358" s="4">
        <v>35234</v>
      </c>
      <c r="P358" s="2" t="s">
        <v>2789</v>
      </c>
      <c r="Q358" s="2" t="s">
        <v>2459</v>
      </c>
      <c r="R358" s="2" t="s">
        <v>2393</v>
      </c>
      <c r="S358" s="2" t="s">
        <v>792</v>
      </c>
      <c r="T358" s="2" t="s">
        <v>1643</v>
      </c>
      <c r="U358" s="2" t="s">
        <v>1278</v>
      </c>
      <c r="V358" s="2">
        <v>7954941348</v>
      </c>
      <c r="W358" s="2" t="s">
        <v>1160</v>
      </c>
      <c r="X358" s="2" t="s">
        <v>813</v>
      </c>
      <c r="Y358" s="2" t="s">
        <v>1184</v>
      </c>
      <c r="Z358" s="2" t="s">
        <v>1185</v>
      </c>
      <c r="AA358" s="2">
        <v>2000</v>
      </c>
      <c r="AB358" s="2">
        <v>200</v>
      </c>
      <c r="AC358" s="2">
        <v>300</v>
      </c>
      <c r="AD358" s="2">
        <v>200</v>
      </c>
      <c r="AE358" s="2">
        <f t="shared" si="45"/>
        <v>2300</v>
      </c>
      <c r="AF358" s="2">
        <v>500</v>
      </c>
      <c r="AG358" s="4">
        <v>45991</v>
      </c>
      <c r="AH358" s="2">
        <f t="shared" si="46"/>
        <v>1800</v>
      </c>
      <c r="AI358" s="2">
        <v>500</v>
      </c>
      <c r="AJ358" s="4">
        <v>46021</v>
      </c>
      <c r="AK358" s="2">
        <f t="shared" si="47"/>
        <v>1300</v>
      </c>
      <c r="AL358" s="2">
        <v>500</v>
      </c>
      <c r="AM358" s="4">
        <v>46052</v>
      </c>
      <c r="AN358" s="2">
        <f t="shared" si="48"/>
        <v>800</v>
      </c>
      <c r="AO358" s="2" cm="1">
        <f t="array" ref="AO358">_xlfn.IFS(AN358&gt;=5000,3000,AN358&gt;=2000,1000,AN358&gt;=500,500,AN358&lt;500,AN358)</f>
        <v>500</v>
      </c>
      <c r="AP358" s="4">
        <v>46081</v>
      </c>
      <c r="AQ358" s="2">
        <f t="shared" si="49"/>
        <v>300</v>
      </c>
      <c r="AR358" s="2">
        <v>300</v>
      </c>
      <c r="AS358" s="4">
        <v>46109</v>
      </c>
      <c r="AT358" s="2">
        <f t="shared" si="50"/>
        <v>0</v>
      </c>
      <c r="AU358" s="2" t="s">
        <v>1200</v>
      </c>
      <c r="AV358" s="4" t="s">
        <v>1200</v>
      </c>
      <c r="AW358" s="2" t="s">
        <v>1200</v>
      </c>
      <c r="AX358" s="2">
        <f t="shared" si="51"/>
        <v>2300</v>
      </c>
      <c r="AY358" s="2">
        <f t="shared" si="52"/>
        <v>0</v>
      </c>
      <c r="AZ358" s="2" t="str">
        <f t="shared" si="53"/>
        <v>Paid</v>
      </c>
      <c r="BA358" s="9" t="str" cm="1">
        <f t="array" ref="BA358">_xlfn.IFS(AZ358="Paid","R",AZ358="Unpaid","Q")</f>
        <v>R</v>
      </c>
      <c r="BB358" s="8" t="s">
        <v>2815</v>
      </c>
    </row>
    <row r="359" spans="1:54" x14ac:dyDescent="0.25">
      <c r="A359" s="2">
        <v>358</v>
      </c>
      <c r="B359" s="2">
        <v>358</v>
      </c>
      <c r="C359" s="2" t="s">
        <v>740</v>
      </c>
      <c r="D359" s="2" t="s">
        <v>1999</v>
      </c>
      <c r="E359" s="2" t="s">
        <v>741</v>
      </c>
      <c r="F359" s="4">
        <v>45982</v>
      </c>
      <c r="G359" s="8" t="s">
        <v>29</v>
      </c>
      <c r="H359" s="8" t="s">
        <v>1248</v>
      </c>
      <c r="I359" s="2" t="s">
        <v>14</v>
      </c>
      <c r="J359" s="2" t="s">
        <v>512</v>
      </c>
      <c r="K359" s="2" t="s">
        <v>791</v>
      </c>
      <c r="L359" s="2" t="s">
        <v>1259</v>
      </c>
      <c r="M359" s="2" t="s">
        <v>1262</v>
      </c>
      <c r="N359" s="2" t="s">
        <v>2373</v>
      </c>
      <c r="O359" s="4">
        <v>36720</v>
      </c>
      <c r="P359" s="2" t="s">
        <v>2491</v>
      </c>
      <c r="Q359" s="2" t="s">
        <v>2432</v>
      </c>
      <c r="R359" s="2" t="s">
        <v>2393</v>
      </c>
      <c r="S359" s="2" t="s">
        <v>792</v>
      </c>
      <c r="T359" s="2" t="s">
        <v>1644</v>
      </c>
      <c r="U359" s="2" t="s">
        <v>1283</v>
      </c>
      <c r="V359" s="2">
        <v>6247604758</v>
      </c>
      <c r="W359" s="2" t="s">
        <v>1161</v>
      </c>
      <c r="X359" s="2" t="s">
        <v>798</v>
      </c>
      <c r="Y359" s="2" t="s">
        <v>1184</v>
      </c>
      <c r="Z359" s="2" t="s">
        <v>1185</v>
      </c>
      <c r="AA359" s="2">
        <v>2500</v>
      </c>
      <c r="AB359" s="2">
        <v>200</v>
      </c>
      <c r="AC359" s="2">
        <v>400</v>
      </c>
      <c r="AD359" s="2">
        <v>0</v>
      </c>
      <c r="AE359" s="2">
        <f t="shared" si="45"/>
        <v>3100</v>
      </c>
      <c r="AF359" s="2">
        <v>1000</v>
      </c>
      <c r="AG359" s="4">
        <v>45992</v>
      </c>
      <c r="AH359" s="2">
        <f t="shared" si="46"/>
        <v>2100</v>
      </c>
      <c r="AI359" s="2">
        <v>1000</v>
      </c>
      <c r="AJ359" s="4">
        <v>46023</v>
      </c>
      <c r="AK359" s="2">
        <f t="shared" si="47"/>
        <v>1100</v>
      </c>
      <c r="AL359" s="2">
        <v>500</v>
      </c>
      <c r="AM359" s="4">
        <v>46054</v>
      </c>
      <c r="AN359" s="2">
        <f t="shared" si="48"/>
        <v>600</v>
      </c>
      <c r="AO359" s="2" cm="1">
        <f t="array" ref="AO359">_xlfn.IFS(AN359&gt;=5000,3000,AN359&gt;=2000,1000,AN359&gt;=500,500,AN359&lt;500,AN359)</f>
        <v>500</v>
      </c>
      <c r="AP359" s="4">
        <v>46082</v>
      </c>
      <c r="AQ359" s="2">
        <f t="shared" si="49"/>
        <v>100</v>
      </c>
      <c r="AR359" s="2">
        <v>100</v>
      </c>
      <c r="AS359" s="4">
        <v>46113</v>
      </c>
      <c r="AT359" s="2">
        <f t="shared" si="50"/>
        <v>0</v>
      </c>
      <c r="AU359" s="2" t="s">
        <v>1200</v>
      </c>
      <c r="AV359" s="4" t="s">
        <v>1200</v>
      </c>
      <c r="AW359" s="2" t="s">
        <v>1200</v>
      </c>
      <c r="AX359" s="2">
        <f t="shared" si="51"/>
        <v>3100</v>
      </c>
      <c r="AY359" s="2">
        <f t="shared" si="52"/>
        <v>0</v>
      </c>
      <c r="AZ359" s="2" t="str">
        <f t="shared" si="53"/>
        <v>Paid</v>
      </c>
      <c r="BA359" s="9" t="str" cm="1">
        <f t="array" ref="BA359">_xlfn.IFS(AZ359="Paid","R",AZ359="Unpaid","Q")</f>
        <v>R</v>
      </c>
      <c r="BB359" s="8" t="s">
        <v>2815</v>
      </c>
    </row>
    <row r="360" spans="1:54" x14ac:dyDescent="0.25">
      <c r="A360" s="2">
        <v>359</v>
      </c>
      <c r="B360" s="2">
        <v>359</v>
      </c>
      <c r="C360" s="2" t="s">
        <v>742</v>
      </c>
      <c r="D360" s="2" t="s">
        <v>2000</v>
      </c>
      <c r="E360" s="2" t="s">
        <v>743</v>
      </c>
      <c r="F360" s="4">
        <v>45988</v>
      </c>
      <c r="G360" s="8" t="s">
        <v>32</v>
      </c>
      <c r="H360" s="8" t="s">
        <v>1249</v>
      </c>
      <c r="I360" s="2" t="s">
        <v>14</v>
      </c>
      <c r="J360" s="2" t="s">
        <v>512</v>
      </c>
      <c r="K360" s="2" t="s">
        <v>791</v>
      </c>
      <c r="L360" s="2" t="s">
        <v>1257</v>
      </c>
      <c r="M360" s="2" t="s">
        <v>1261</v>
      </c>
      <c r="N360" s="2" t="s">
        <v>2374</v>
      </c>
      <c r="O360" s="4">
        <v>35511</v>
      </c>
      <c r="P360" s="2" t="s">
        <v>2790</v>
      </c>
      <c r="Q360" s="2" t="s">
        <v>2523</v>
      </c>
      <c r="R360" s="2" t="s">
        <v>2393</v>
      </c>
      <c r="S360" s="2" t="s">
        <v>820</v>
      </c>
      <c r="T360" s="2" t="s">
        <v>1645</v>
      </c>
      <c r="U360" s="2" t="s">
        <v>1286</v>
      </c>
      <c r="V360" s="2">
        <v>6429792391</v>
      </c>
      <c r="W360" s="2" t="s">
        <v>1162</v>
      </c>
      <c r="X360" s="2" t="s">
        <v>1183</v>
      </c>
      <c r="Y360" s="2" t="s">
        <v>1184</v>
      </c>
      <c r="Z360" s="2" t="s">
        <v>1185</v>
      </c>
      <c r="AA360" s="2">
        <v>2000</v>
      </c>
      <c r="AB360" s="2">
        <v>200</v>
      </c>
      <c r="AC360" s="2">
        <v>300</v>
      </c>
      <c r="AD360" s="2">
        <v>500</v>
      </c>
      <c r="AE360" s="2">
        <f t="shared" si="45"/>
        <v>2000</v>
      </c>
      <c r="AF360" s="2">
        <v>500</v>
      </c>
      <c r="AG360" s="4">
        <v>45998</v>
      </c>
      <c r="AH360" s="2">
        <f t="shared" si="46"/>
        <v>1500</v>
      </c>
      <c r="AI360" s="2">
        <v>500</v>
      </c>
      <c r="AJ360" s="4">
        <v>46029</v>
      </c>
      <c r="AK360" s="2">
        <f t="shared" si="47"/>
        <v>1000</v>
      </c>
      <c r="AL360" s="2">
        <v>500</v>
      </c>
      <c r="AM360" s="4">
        <v>46060</v>
      </c>
      <c r="AN360" s="2">
        <f t="shared" si="48"/>
        <v>500</v>
      </c>
      <c r="AO360" s="2" cm="1">
        <f t="array" ref="AO360">_xlfn.IFS(AN360&gt;=5000,3000,AN360&gt;=2000,1000,AN360&gt;=500,500,AN360&lt;500,AN360)</f>
        <v>500</v>
      </c>
      <c r="AP360" s="4">
        <v>46088</v>
      </c>
      <c r="AQ360" s="2">
        <f t="shared" si="49"/>
        <v>0</v>
      </c>
      <c r="AR360" s="2" t="s">
        <v>1200</v>
      </c>
      <c r="AS360" s="4" t="s">
        <v>1200</v>
      </c>
      <c r="AT360" s="2" t="str">
        <f t="shared" si="50"/>
        <v/>
      </c>
      <c r="AU360" s="2" t="s">
        <v>1200</v>
      </c>
      <c r="AV360" s="4" t="s">
        <v>1200</v>
      </c>
      <c r="AW360" s="2" t="s">
        <v>1200</v>
      </c>
      <c r="AX360" s="2">
        <f t="shared" si="51"/>
        <v>2000</v>
      </c>
      <c r="AY360" s="2">
        <f t="shared" si="52"/>
        <v>0</v>
      </c>
      <c r="AZ360" s="2" t="str">
        <f t="shared" si="53"/>
        <v>Paid</v>
      </c>
      <c r="BA360" s="9" t="str" cm="1">
        <f t="array" ref="BA360">_xlfn.IFS(AZ360="Paid","R",AZ360="Unpaid","Q")</f>
        <v>R</v>
      </c>
      <c r="BB360" s="8" t="s">
        <v>2815</v>
      </c>
    </row>
    <row r="361" spans="1:54" x14ac:dyDescent="0.25">
      <c r="A361" s="2">
        <v>360</v>
      </c>
      <c r="B361" s="2">
        <v>360</v>
      </c>
      <c r="C361" s="2" t="s">
        <v>744</v>
      </c>
      <c r="D361" s="2" t="s">
        <v>2001</v>
      </c>
      <c r="E361" s="2" t="s">
        <v>745</v>
      </c>
      <c r="F361" s="4">
        <v>45989</v>
      </c>
      <c r="G361" s="8" t="s">
        <v>65</v>
      </c>
      <c r="H361" s="8" t="s">
        <v>65</v>
      </c>
      <c r="I361" s="2" t="s">
        <v>14</v>
      </c>
      <c r="J361" s="2" t="s">
        <v>512</v>
      </c>
      <c r="K361" s="2" t="s">
        <v>791</v>
      </c>
      <c r="L361" s="2" t="s">
        <v>1258</v>
      </c>
      <c r="M361" s="2" t="s">
        <v>1264</v>
      </c>
      <c r="N361" s="2" t="s">
        <v>2375</v>
      </c>
      <c r="O361" s="4">
        <v>40516</v>
      </c>
      <c r="P361" s="2" t="s">
        <v>2791</v>
      </c>
      <c r="Q361" s="2" t="s">
        <v>2558</v>
      </c>
      <c r="R361" s="2" t="s">
        <v>2393</v>
      </c>
      <c r="S361" s="2" t="s">
        <v>788</v>
      </c>
      <c r="T361" s="2" t="s">
        <v>1646</v>
      </c>
      <c r="U361" s="2" t="s">
        <v>1275</v>
      </c>
      <c r="V361" s="2">
        <v>6303396472</v>
      </c>
      <c r="W361" s="2" t="s">
        <v>1163</v>
      </c>
      <c r="X361" s="2" t="s">
        <v>809</v>
      </c>
      <c r="Y361" s="2" t="s">
        <v>1184</v>
      </c>
      <c r="Z361" s="2" t="s">
        <v>1185</v>
      </c>
      <c r="AA361" s="2">
        <v>2500</v>
      </c>
      <c r="AB361" s="2">
        <v>200</v>
      </c>
      <c r="AC361" s="2">
        <v>500</v>
      </c>
      <c r="AD361" s="2">
        <v>0</v>
      </c>
      <c r="AE361" s="2">
        <f t="shared" si="45"/>
        <v>3200</v>
      </c>
      <c r="AF361" s="2">
        <v>1000</v>
      </c>
      <c r="AG361" s="4">
        <v>45999</v>
      </c>
      <c r="AH361" s="2">
        <f t="shared" si="46"/>
        <v>2200</v>
      </c>
      <c r="AI361" s="2">
        <v>1000</v>
      </c>
      <c r="AJ361" s="4">
        <v>46030</v>
      </c>
      <c r="AK361" s="2">
        <f t="shared" si="47"/>
        <v>1200</v>
      </c>
      <c r="AL361" s="2">
        <v>500</v>
      </c>
      <c r="AM361" s="4">
        <v>46061</v>
      </c>
      <c r="AN361" s="2">
        <f t="shared" si="48"/>
        <v>700</v>
      </c>
      <c r="AO361" s="2" cm="1">
        <f t="array" ref="AO361">_xlfn.IFS(AN361&gt;=5000,3000,AN361&gt;=2000,1000,AN361&gt;=500,500,AN361&lt;500,AN361)</f>
        <v>500</v>
      </c>
      <c r="AP361" s="4">
        <v>46089</v>
      </c>
      <c r="AQ361" s="2">
        <f t="shared" si="49"/>
        <v>200</v>
      </c>
      <c r="AR361" s="2">
        <v>200</v>
      </c>
      <c r="AS361" s="4">
        <v>46120</v>
      </c>
      <c r="AT361" s="2">
        <f t="shared" si="50"/>
        <v>0</v>
      </c>
      <c r="AU361" s="2" t="s">
        <v>1200</v>
      </c>
      <c r="AV361" s="4" t="s">
        <v>1200</v>
      </c>
      <c r="AW361" s="2" t="s">
        <v>1200</v>
      </c>
      <c r="AX361" s="2">
        <f t="shared" si="51"/>
        <v>3200</v>
      </c>
      <c r="AY361" s="2">
        <f t="shared" si="52"/>
        <v>0</v>
      </c>
      <c r="AZ361" s="2" t="str">
        <f t="shared" si="53"/>
        <v>Paid</v>
      </c>
      <c r="BA361" s="9" t="str" cm="1">
        <f t="array" ref="BA361">_xlfn.IFS(AZ361="Paid","R",AZ361="Unpaid","Q")</f>
        <v>R</v>
      </c>
      <c r="BB361" s="8" t="s">
        <v>2815</v>
      </c>
    </row>
    <row r="362" spans="1:54" x14ac:dyDescent="0.25">
      <c r="A362" s="2">
        <v>361</v>
      </c>
      <c r="B362" s="2">
        <v>361</v>
      </c>
      <c r="C362" s="2" t="s">
        <v>746</v>
      </c>
      <c r="D362" s="2" t="s">
        <v>2002</v>
      </c>
      <c r="E362" s="2" t="s">
        <v>747</v>
      </c>
      <c r="F362" s="4">
        <v>45995</v>
      </c>
      <c r="G362" s="8" t="s">
        <v>45</v>
      </c>
      <c r="H362" s="8" t="s">
        <v>1250</v>
      </c>
      <c r="I362" s="2" t="s">
        <v>14</v>
      </c>
      <c r="J362" s="2" t="s">
        <v>512</v>
      </c>
      <c r="K362" s="2" t="s">
        <v>791</v>
      </c>
      <c r="L362" s="2" t="s">
        <v>1258</v>
      </c>
      <c r="M362" s="2" t="s">
        <v>1264</v>
      </c>
      <c r="N362" s="2" t="s">
        <v>2376</v>
      </c>
      <c r="O362" s="4">
        <v>39074</v>
      </c>
      <c r="P362" s="2" t="s">
        <v>2792</v>
      </c>
      <c r="Q362" s="2" t="s">
        <v>2444</v>
      </c>
      <c r="R362" s="2" t="s">
        <v>2393</v>
      </c>
      <c r="S362" s="2" t="s">
        <v>820</v>
      </c>
      <c r="T362" s="2" t="s">
        <v>1647</v>
      </c>
      <c r="U362" s="2" t="s">
        <v>1268</v>
      </c>
      <c r="V362" s="2">
        <v>7644854718</v>
      </c>
      <c r="W362" s="2" t="s">
        <v>1164</v>
      </c>
      <c r="X362" s="2" t="s">
        <v>798</v>
      </c>
      <c r="Y362" s="2" t="s">
        <v>1184</v>
      </c>
      <c r="Z362" s="2" t="s">
        <v>1185</v>
      </c>
      <c r="AA362" s="2">
        <v>2000</v>
      </c>
      <c r="AB362" s="2">
        <v>200</v>
      </c>
      <c r="AC362" s="2">
        <v>300</v>
      </c>
      <c r="AD362" s="2">
        <v>0</v>
      </c>
      <c r="AE362" s="2">
        <f t="shared" si="45"/>
        <v>2500</v>
      </c>
      <c r="AF362" s="2">
        <v>1000</v>
      </c>
      <c r="AG362" s="4">
        <v>46005</v>
      </c>
      <c r="AH362" s="2">
        <f t="shared" si="46"/>
        <v>1500</v>
      </c>
      <c r="AI362" s="2">
        <v>500</v>
      </c>
      <c r="AJ362" s="4">
        <v>46036</v>
      </c>
      <c r="AK362" s="2">
        <f t="shared" si="47"/>
        <v>1000</v>
      </c>
      <c r="AL362" s="2">
        <v>500</v>
      </c>
      <c r="AM362" s="4">
        <v>46067</v>
      </c>
      <c r="AN362" s="2">
        <f t="shared" si="48"/>
        <v>500</v>
      </c>
      <c r="AO362" s="2" cm="1">
        <f t="array" ref="AO362">_xlfn.IFS(AN362&gt;=5000,3000,AN362&gt;=2000,1000,AN362&gt;=500,500,AN362&lt;500,AN362)</f>
        <v>500</v>
      </c>
      <c r="AP362" s="4">
        <v>46095</v>
      </c>
      <c r="AQ362" s="2">
        <f t="shared" si="49"/>
        <v>0</v>
      </c>
      <c r="AR362" s="2" t="s">
        <v>1200</v>
      </c>
      <c r="AS362" s="4" t="s">
        <v>1200</v>
      </c>
      <c r="AT362" s="2" t="str">
        <f t="shared" si="50"/>
        <v/>
      </c>
      <c r="AU362" s="2" t="s">
        <v>1200</v>
      </c>
      <c r="AV362" s="4" t="s">
        <v>1200</v>
      </c>
      <c r="AW362" s="2" t="s">
        <v>1200</v>
      </c>
      <c r="AX362" s="2">
        <f t="shared" si="51"/>
        <v>2500</v>
      </c>
      <c r="AY362" s="2">
        <f t="shared" si="52"/>
        <v>0</v>
      </c>
      <c r="AZ362" s="2" t="str">
        <f t="shared" si="53"/>
        <v>Paid</v>
      </c>
      <c r="BA362" s="9" t="str" cm="1">
        <f t="array" ref="BA362">_xlfn.IFS(AZ362="Paid","R",AZ362="Unpaid","Q")</f>
        <v>R</v>
      </c>
      <c r="BB362" s="8" t="s">
        <v>2815</v>
      </c>
    </row>
    <row r="363" spans="1:54" x14ac:dyDescent="0.25">
      <c r="A363" s="2">
        <v>362</v>
      </c>
      <c r="B363" s="2">
        <v>362</v>
      </c>
      <c r="C363" s="2" t="s">
        <v>748</v>
      </c>
      <c r="D363" s="2" t="s">
        <v>1963</v>
      </c>
      <c r="E363" s="2" t="s">
        <v>749</v>
      </c>
      <c r="F363" s="4">
        <v>45998</v>
      </c>
      <c r="G363" s="8" t="s">
        <v>32</v>
      </c>
      <c r="H363" s="8" t="s">
        <v>1249</v>
      </c>
      <c r="I363" s="2" t="s">
        <v>14</v>
      </c>
      <c r="J363" s="2" t="s">
        <v>512</v>
      </c>
      <c r="K363" s="2" t="s">
        <v>791</v>
      </c>
      <c r="L363" s="2" t="s">
        <v>1258</v>
      </c>
      <c r="M363" s="2" t="s">
        <v>1264</v>
      </c>
      <c r="N363" s="2" t="s">
        <v>2377</v>
      </c>
      <c r="O363" s="4">
        <v>33028</v>
      </c>
      <c r="P363" s="2" t="s">
        <v>2793</v>
      </c>
      <c r="Q363" s="2" t="s">
        <v>2527</v>
      </c>
      <c r="R363" s="2" t="s">
        <v>2393</v>
      </c>
      <c r="S363" s="2" t="s">
        <v>788</v>
      </c>
      <c r="T363" s="2" t="s">
        <v>1648</v>
      </c>
      <c r="U363" s="2" t="s">
        <v>1270</v>
      </c>
      <c r="V363" s="2">
        <v>6003522675</v>
      </c>
      <c r="W363" s="2" t="s">
        <v>1165</v>
      </c>
      <c r="X363" s="2" t="s">
        <v>790</v>
      </c>
      <c r="Y363" s="2" t="s">
        <v>1184</v>
      </c>
      <c r="Z363" s="2" t="s">
        <v>1185</v>
      </c>
      <c r="AA363" s="2">
        <v>2000</v>
      </c>
      <c r="AB363" s="2">
        <v>200</v>
      </c>
      <c r="AC363" s="2">
        <v>300</v>
      </c>
      <c r="AD363" s="2">
        <v>500</v>
      </c>
      <c r="AE363" s="2">
        <f t="shared" si="45"/>
        <v>2000</v>
      </c>
      <c r="AF363" s="2">
        <v>500</v>
      </c>
      <c r="AG363" s="4">
        <v>46008</v>
      </c>
      <c r="AH363" s="2">
        <f t="shared" si="46"/>
        <v>1500</v>
      </c>
      <c r="AI363" s="2">
        <v>500</v>
      </c>
      <c r="AJ363" s="4">
        <v>46039</v>
      </c>
      <c r="AK363" s="2">
        <f t="shared" si="47"/>
        <v>1000</v>
      </c>
      <c r="AL363" s="2">
        <v>500</v>
      </c>
      <c r="AM363" s="4">
        <v>46070</v>
      </c>
      <c r="AN363" s="2">
        <f t="shared" si="48"/>
        <v>500</v>
      </c>
      <c r="AO363" s="2" cm="1">
        <f t="array" ref="AO363">_xlfn.IFS(AN363&gt;=5000,3000,AN363&gt;=2000,1000,AN363&gt;=500,500,AN363&lt;500,AN363)</f>
        <v>500</v>
      </c>
      <c r="AP363" s="4">
        <v>46098</v>
      </c>
      <c r="AQ363" s="2">
        <f t="shared" si="49"/>
        <v>0</v>
      </c>
      <c r="AR363" s="2" t="s">
        <v>1200</v>
      </c>
      <c r="AS363" s="4" t="s">
        <v>1200</v>
      </c>
      <c r="AT363" s="2" t="str">
        <f t="shared" si="50"/>
        <v/>
      </c>
      <c r="AU363" s="2" t="s">
        <v>1200</v>
      </c>
      <c r="AV363" s="4" t="s">
        <v>1200</v>
      </c>
      <c r="AW363" s="2" t="s">
        <v>1200</v>
      </c>
      <c r="AX363" s="2">
        <f t="shared" si="51"/>
        <v>2000</v>
      </c>
      <c r="AY363" s="2">
        <f t="shared" si="52"/>
        <v>0</v>
      </c>
      <c r="AZ363" s="2" t="str">
        <f t="shared" si="53"/>
        <v>Paid</v>
      </c>
      <c r="BA363" s="9" t="str" cm="1">
        <f t="array" ref="BA363">_xlfn.IFS(AZ363="Paid","R",AZ363="Unpaid","Q")</f>
        <v>R</v>
      </c>
      <c r="BB363" s="8" t="s">
        <v>2815</v>
      </c>
    </row>
    <row r="364" spans="1:54" x14ac:dyDescent="0.25">
      <c r="A364" s="2">
        <v>363</v>
      </c>
      <c r="B364" s="2">
        <v>363</v>
      </c>
      <c r="C364" s="2" t="s">
        <v>750</v>
      </c>
      <c r="D364" s="2" t="s">
        <v>2003</v>
      </c>
      <c r="E364" s="2" t="s">
        <v>751</v>
      </c>
      <c r="F364" s="4">
        <v>46001</v>
      </c>
      <c r="G364" s="8" t="s">
        <v>65</v>
      </c>
      <c r="H364" s="8" t="s">
        <v>65</v>
      </c>
      <c r="I364" s="2" t="s">
        <v>14</v>
      </c>
      <c r="J364" s="2" t="s">
        <v>512</v>
      </c>
      <c r="K364" s="2" t="s">
        <v>791</v>
      </c>
      <c r="L364" s="2" t="s">
        <v>1257</v>
      </c>
      <c r="M364" s="2" t="s">
        <v>1261</v>
      </c>
      <c r="N364" s="2" t="s">
        <v>2378</v>
      </c>
      <c r="O364" s="4">
        <v>37666</v>
      </c>
      <c r="P364" s="2" t="s">
        <v>2794</v>
      </c>
      <c r="Q364" s="2" t="s">
        <v>2560</v>
      </c>
      <c r="R364" s="2" t="s">
        <v>2393</v>
      </c>
      <c r="S364" s="2" t="s">
        <v>796</v>
      </c>
      <c r="T364" s="2" t="s">
        <v>1649</v>
      </c>
      <c r="U364" s="2" t="s">
        <v>1278</v>
      </c>
      <c r="V364" s="2">
        <v>6304923713</v>
      </c>
      <c r="W364" s="2" t="s">
        <v>1166</v>
      </c>
      <c r="X364" s="2" t="s">
        <v>1183</v>
      </c>
      <c r="Y364" s="2" t="s">
        <v>1184</v>
      </c>
      <c r="Z364" s="2" t="s">
        <v>1185</v>
      </c>
      <c r="AA364" s="2">
        <v>2500</v>
      </c>
      <c r="AB364" s="2">
        <v>200</v>
      </c>
      <c r="AC364" s="2">
        <v>500</v>
      </c>
      <c r="AD364" s="2">
        <v>0</v>
      </c>
      <c r="AE364" s="2">
        <f t="shared" si="45"/>
        <v>3200</v>
      </c>
      <c r="AF364" s="2">
        <v>1000</v>
      </c>
      <c r="AG364" s="4">
        <v>46011</v>
      </c>
      <c r="AH364" s="2">
        <f t="shared" si="46"/>
        <v>2200</v>
      </c>
      <c r="AI364" s="2">
        <v>1000</v>
      </c>
      <c r="AJ364" s="4">
        <v>46042</v>
      </c>
      <c r="AK364" s="2">
        <f t="shared" si="47"/>
        <v>1200</v>
      </c>
      <c r="AL364" s="2">
        <v>500</v>
      </c>
      <c r="AM364" s="4">
        <v>46073</v>
      </c>
      <c r="AN364" s="2">
        <f t="shared" si="48"/>
        <v>700</v>
      </c>
      <c r="AO364" s="2" cm="1">
        <f t="array" ref="AO364">_xlfn.IFS(AN364&gt;=5000,3000,AN364&gt;=2000,1000,AN364&gt;=500,500,AN364&lt;500,AN364)</f>
        <v>500</v>
      </c>
      <c r="AP364" s="4">
        <v>46101</v>
      </c>
      <c r="AQ364" s="2">
        <f t="shared" si="49"/>
        <v>200</v>
      </c>
      <c r="AR364" s="2">
        <v>200</v>
      </c>
      <c r="AS364" s="4">
        <v>46132</v>
      </c>
      <c r="AT364" s="2">
        <f t="shared" si="50"/>
        <v>0</v>
      </c>
      <c r="AU364" s="2" t="s">
        <v>1200</v>
      </c>
      <c r="AV364" s="4" t="s">
        <v>1200</v>
      </c>
      <c r="AW364" s="2" t="s">
        <v>1200</v>
      </c>
      <c r="AX364" s="2">
        <f t="shared" si="51"/>
        <v>3200</v>
      </c>
      <c r="AY364" s="2">
        <f t="shared" si="52"/>
        <v>0</v>
      </c>
      <c r="AZ364" s="2" t="str">
        <f t="shared" si="53"/>
        <v>Paid</v>
      </c>
      <c r="BA364" s="9" t="str" cm="1">
        <f t="array" ref="BA364">_xlfn.IFS(AZ364="Paid","R",AZ364="Unpaid","Q")</f>
        <v>R</v>
      </c>
      <c r="BB364" s="8" t="s">
        <v>2815</v>
      </c>
    </row>
    <row r="365" spans="1:54" x14ac:dyDescent="0.25">
      <c r="A365" s="2">
        <v>364</v>
      </c>
      <c r="B365" s="2">
        <v>364</v>
      </c>
      <c r="C365" s="2" t="s">
        <v>752</v>
      </c>
      <c r="D365" s="2" t="s">
        <v>2004</v>
      </c>
      <c r="E365" s="2" t="s">
        <v>753</v>
      </c>
      <c r="F365" s="4">
        <v>46004</v>
      </c>
      <c r="G365" s="8" t="s">
        <v>29</v>
      </c>
      <c r="H365" s="8" t="s">
        <v>1248</v>
      </c>
      <c r="I365" s="2" t="s">
        <v>14</v>
      </c>
      <c r="J365" s="2" t="s">
        <v>512</v>
      </c>
      <c r="K365" s="2" t="s">
        <v>791</v>
      </c>
      <c r="L365" s="2" t="s">
        <v>1258</v>
      </c>
      <c r="M365" s="2" t="s">
        <v>1264</v>
      </c>
      <c r="N365" s="2" t="s">
        <v>2379</v>
      </c>
      <c r="O365" s="4">
        <v>38775</v>
      </c>
      <c r="P365" s="2" t="s">
        <v>2795</v>
      </c>
      <c r="Q365" s="2" t="s">
        <v>2403</v>
      </c>
      <c r="R365" s="2" t="s">
        <v>2393</v>
      </c>
      <c r="S365" s="2" t="s">
        <v>820</v>
      </c>
      <c r="T365" s="2" t="s">
        <v>1650</v>
      </c>
      <c r="U365" s="2" t="s">
        <v>1282</v>
      </c>
      <c r="V365" s="2">
        <v>9009166784</v>
      </c>
      <c r="W365" s="2" t="s">
        <v>1167</v>
      </c>
      <c r="X365" s="2" t="s">
        <v>837</v>
      </c>
      <c r="Y365" s="2" t="s">
        <v>1184</v>
      </c>
      <c r="Z365" s="2" t="s">
        <v>1185</v>
      </c>
      <c r="AA365" s="2">
        <v>2500</v>
      </c>
      <c r="AB365" s="2">
        <v>200</v>
      </c>
      <c r="AC365" s="2">
        <v>400</v>
      </c>
      <c r="AD365" s="2">
        <v>0</v>
      </c>
      <c r="AE365" s="2">
        <f t="shared" si="45"/>
        <v>3100</v>
      </c>
      <c r="AF365" s="2">
        <v>1000</v>
      </c>
      <c r="AG365" s="4">
        <v>46014</v>
      </c>
      <c r="AH365" s="2">
        <f t="shared" si="46"/>
        <v>2100</v>
      </c>
      <c r="AI365" s="2">
        <v>1000</v>
      </c>
      <c r="AJ365" s="4">
        <v>46045</v>
      </c>
      <c r="AK365" s="2">
        <f t="shared" si="47"/>
        <v>1100</v>
      </c>
      <c r="AL365" s="2">
        <v>500</v>
      </c>
      <c r="AM365" s="4">
        <v>46076</v>
      </c>
      <c r="AN365" s="2">
        <f t="shared" si="48"/>
        <v>600</v>
      </c>
      <c r="AO365" s="2" cm="1">
        <f t="array" ref="AO365">_xlfn.IFS(AN365&gt;=5000,3000,AN365&gt;=2000,1000,AN365&gt;=500,500,AN365&lt;500,AN365)</f>
        <v>500</v>
      </c>
      <c r="AP365" s="4">
        <v>46104</v>
      </c>
      <c r="AQ365" s="2">
        <f t="shared" si="49"/>
        <v>100</v>
      </c>
      <c r="AR365" s="2">
        <v>100</v>
      </c>
      <c r="AS365" s="4">
        <v>46135</v>
      </c>
      <c r="AT365" s="2">
        <f t="shared" si="50"/>
        <v>0</v>
      </c>
      <c r="AU365" s="2" t="s">
        <v>1200</v>
      </c>
      <c r="AV365" s="4" t="s">
        <v>1200</v>
      </c>
      <c r="AW365" s="2" t="s">
        <v>1200</v>
      </c>
      <c r="AX365" s="2">
        <f t="shared" si="51"/>
        <v>3100</v>
      </c>
      <c r="AY365" s="2">
        <f t="shared" si="52"/>
        <v>0</v>
      </c>
      <c r="AZ365" s="2" t="str">
        <f t="shared" si="53"/>
        <v>Paid</v>
      </c>
      <c r="BA365" s="9" t="str" cm="1">
        <f t="array" ref="BA365">_xlfn.IFS(AZ365="Paid","R",AZ365="Unpaid","Q")</f>
        <v>R</v>
      </c>
      <c r="BB365" s="8" t="s">
        <v>2815</v>
      </c>
    </row>
    <row r="366" spans="1:54" x14ac:dyDescent="0.25">
      <c r="A366" s="2">
        <v>365</v>
      </c>
      <c r="B366" s="2">
        <v>365</v>
      </c>
      <c r="C366" s="2" t="s">
        <v>754</v>
      </c>
      <c r="D366" s="2" t="s">
        <v>2005</v>
      </c>
      <c r="E366" s="2" t="s">
        <v>755</v>
      </c>
      <c r="F366" s="4">
        <v>46005</v>
      </c>
      <c r="G366" s="8" t="s">
        <v>26</v>
      </c>
      <c r="H366" s="8" t="s">
        <v>1243</v>
      </c>
      <c r="I366" s="2" t="s">
        <v>9</v>
      </c>
      <c r="J366" s="2" t="s">
        <v>551</v>
      </c>
      <c r="K366" s="2" t="s">
        <v>787</v>
      </c>
      <c r="L366" s="2" t="s">
        <v>1257</v>
      </c>
      <c r="M366" s="2" t="s">
        <v>1261</v>
      </c>
      <c r="N366" s="2" t="s">
        <v>2380</v>
      </c>
      <c r="O366" s="4">
        <v>33859</v>
      </c>
      <c r="P366" s="2" t="s">
        <v>2476</v>
      </c>
      <c r="Q366" s="2" t="s">
        <v>2640</v>
      </c>
      <c r="R366" s="2" t="s">
        <v>2393</v>
      </c>
      <c r="S366" s="2" t="s">
        <v>788</v>
      </c>
      <c r="T366" s="2" t="s">
        <v>1651</v>
      </c>
      <c r="U366" s="2" t="s">
        <v>1284</v>
      </c>
      <c r="V366" s="2">
        <v>7503790902</v>
      </c>
      <c r="W366" s="2" t="s">
        <v>1168</v>
      </c>
      <c r="X366" s="2" t="s">
        <v>1183</v>
      </c>
      <c r="Y366" s="2" t="s">
        <v>1184</v>
      </c>
      <c r="Z366" s="2" t="s">
        <v>1185</v>
      </c>
      <c r="AA366" s="2">
        <v>15000</v>
      </c>
      <c r="AB366" s="2">
        <v>200</v>
      </c>
      <c r="AC366" s="2">
        <v>1200</v>
      </c>
      <c r="AD366" s="2">
        <v>500</v>
      </c>
      <c r="AE366" s="2">
        <f t="shared" si="45"/>
        <v>15900</v>
      </c>
      <c r="AF366" s="2">
        <v>5000</v>
      </c>
      <c r="AG366" s="4">
        <v>46015</v>
      </c>
      <c r="AH366" s="2">
        <f t="shared" si="46"/>
        <v>10900</v>
      </c>
      <c r="AI366" s="2">
        <v>3000</v>
      </c>
      <c r="AJ366" s="4">
        <v>46046</v>
      </c>
      <c r="AK366" s="2">
        <f t="shared" si="47"/>
        <v>7900</v>
      </c>
      <c r="AL366" s="2">
        <v>3000</v>
      </c>
      <c r="AM366" s="4">
        <v>46077</v>
      </c>
      <c r="AN366" s="2">
        <f t="shared" si="48"/>
        <v>4900</v>
      </c>
      <c r="AO366" s="2" cm="1">
        <f t="array" ref="AO366">_xlfn.IFS(AN366&gt;=5000,3000,AN366&gt;=2000,1000,AN366&gt;=500,500,AN366&lt;500,AN366)</f>
        <v>1000</v>
      </c>
      <c r="AP366" s="4">
        <v>46105</v>
      </c>
      <c r="AQ366" s="2">
        <f t="shared" si="49"/>
        <v>3900</v>
      </c>
      <c r="AR366" s="2">
        <v>2000</v>
      </c>
      <c r="AS366" s="4">
        <v>46136</v>
      </c>
      <c r="AT366" s="2">
        <f t="shared" si="50"/>
        <v>1900</v>
      </c>
      <c r="AU366" s="2">
        <v>1900</v>
      </c>
      <c r="AV366" s="4">
        <v>46166</v>
      </c>
      <c r="AW366" s="2">
        <v>0</v>
      </c>
      <c r="AX366" s="2">
        <f t="shared" si="51"/>
        <v>15900</v>
      </c>
      <c r="AY366" s="2">
        <f t="shared" si="52"/>
        <v>0</v>
      </c>
      <c r="AZ366" s="2" t="str">
        <f t="shared" si="53"/>
        <v>Paid</v>
      </c>
      <c r="BA366" s="9" t="str" cm="1">
        <f t="array" ref="BA366">_xlfn.IFS(AZ366="Paid","R",AZ366="Unpaid","Q")</f>
        <v>R</v>
      </c>
      <c r="BB366" s="8" t="s">
        <v>2815</v>
      </c>
    </row>
    <row r="367" spans="1:54" x14ac:dyDescent="0.25">
      <c r="A367" s="2">
        <v>366</v>
      </c>
      <c r="B367" s="2">
        <v>366</v>
      </c>
      <c r="C367" s="2" t="s">
        <v>756</v>
      </c>
      <c r="D367" s="2" t="s">
        <v>2006</v>
      </c>
      <c r="E367" s="2" t="s">
        <v>757</v>
      </c>
      <c r="F367" s="4">
        <v>46006</v>
      </c>
      <c r="G367" s="8" t="s">
        <v>38</v>
      </c>
      <c r="H367" s="8" t="s">
        <v>1246</v>
      </c>
      <c r="I367" s="2" t="s">
        <v>9</v>
      </c>
      <c r="J367" s="2" t="s">
        <v>512</v>
      </c>
      <c r="K367" s="2" t="s">
        <v>795</v>
      </c>
      <c r="L367" s="2" t="s">
        <v>1260</v>
      </c>
      <c r="M367" s="2" t="s">
        <v>1261</v>
      </c>
      <c r="N367" s="2" t="s">
        <v>2381</v>
      </c>
      <c r="O367" s="4">
        <v>33104</v>
      </c>
      <c r="P367" s="2" t="s">
        <v>2796</v>
      </c>
      <c r="Q367" s="2" t="s">
        <v>2418</v>
      </c>
      <c r="R367" s="2" t="s">
        <v>2393</v>
      </c>
      <c r="S367" s="2" t="s">
        <v>788</v>
      </c>
      <c r="T367" s="2" t="s">
        <v>1652</v>
      </c>
      <c r="U367" s="2" t="s">
        <v>1279</v>
      </c>
      <c r="V367" s="2">
        <v>7837586771</v>
      </c>
      <c r="W367" s="2" t="s">
        <v>1169</v>
      </c>
      <c r="X367" s="2" t="s">
        <v>1183</v>
      </c>
      <c r="Y367" s="2" t="s">
        <v>1184</v>
      </c>
      <c r="Z367" s="2" t="s">
        <v>1185</v>
      </c>
      <c r="AA367" s="2">
        <v>6000</v>
      </c>
      <c r="AB367" s="2">
        <v>200</v>
      </c>
      <c r="AC367" s="2">
        <v>800</v>
      </c>
      <c r="AD367" s="2">
        <v>0</v>
      </c>
      <c r="AE367" s="2">
        <f t="shared" si="45"/>
        <v>7000</v>
      </c>
      <c r="AF367" s="2">
        <v>2500</v>
      </c>
      <c r="AG367" s="4">
        <v>46016</v>
      </c>
      <c r="AH367" s="2">
        <f t="shared" si="46"/>
        <v>4500</v>
      </c>
      <c r="AI367" s="2">
        <v>1000</v>
      </c>
      <c r="AJ367" s="4">
        <v>46047</v>
      </c>
      <c r="AK367" s="2">
        <f t="shared" si="47"/>
        <v>3500</v>
      </c>
      <c r="AL367" s="2">
        <v>1000</v>
      </c>
      <c r="AM367" s="4">
        <v>46078</v>
      </c>
      <c r="AN367" s="2">
        <f t="shared" si="48"/>
        <v>2500</v>
      </c>
      <c r="AO367" s="2" cm="1">
        <f t="array" ref="AO367">_xlfn.IFS(AN367&gt;=5000,3000,AN367&gt;=2000,1000,AN367&gt;=500,500,AN367&lt;500,AN367)</f>
        <v>1000</v>
      </c>
      <c r="AP367" s="4">
        <v>46106</v>
      </c>
      <c r="AQ367" s="2">
        <f t="shared" si="49"/>
        <v>1500</v>
      </c>
      <c r="AR367" s="2">
        <v>1000</v>
      </c>
      <c r="AS367" s="4">
        <v>46137</v>
      </c>
      <c r="AT367" s="2">
        <f t="shared" si="50"/>
        <v>500</v>
      </c>
      <c r="AU367" s="2">
        <v>500</v>
      </c>
      <c r="AV367" s="4">
        <v>46167</v>
      </c>
      <c r="AW367" s="2">
        <v>0</v>
      </c>
      <c r="AX367" s="2">
        <f t="shared" si="51"/>
        <v>7000</v>
      </c>
      <c r="AY367" s="2">
        <f t="shared" si="52"/>
        <v>0</v>
      </c>
      <c r="AZ367" s="2" t="str">
        <f t="shared" si="53"/>
        <v>Paid</v>
      </c>
      <c r="BA367" s="9" t="str" cm="1">
        <f t="array" ref="BA367">_xlfn.IFS(AZ367="Paid","R",AZ367="Unpaid","Q")</f>
        <v>R</v>
      </c>
      <c r="BB367" s="8" t="s">
        <v>2815</v>
      </c>
    </row>
    <row r="368" spans="1:54" x14ac:dyDescent="0.25">
      <c r="A368" s="2">
        <v>367</v>
      </c>
      <c r="B368" s="2">
        <v>367</v>
      </c>
      <c r="C368" s="2" t="s">
        <v>758</v>
      </c>
      <c r="D368" s="2" t="s">
        <v>2007</v>
      </c>
      <c r="E368" s="2" t="s">
        <v>759</v>
      </c>
      <c r="F368" s="4">
        <v>46007</v>
      </c>
      <c r="G368" s="8" t="s">
        <v>32</v>
      </c>
      <c r="H368" s="8" t="s">
        <v>1249</v>
      </c>
      <c r="I368" s="2" t="s">
        <v>14</v>
      </c>
      <c r="J368" s="2" t="s">
        <v>512</v>
      </c>
      <c r="K368" s="2" t="s">
        <v>791</v>
      </c>
      <c r="L368" s="2" t="s">
        <v>1259</v>
      </c>
      <c r="M368" s="2" t="s">
        <v>1262</v>
      </c>
      <c r="N368" s="2" t="s">
        <v>2382</v>
      </c>
      <c r="O368" s="4">
        <v>33629</v>
      </c>
      <c r="P368" s="2" t="s">
        <v>2797</v>
      </c>
      <c r="Q368" s="2" t="s">
        <v>2485</v>
      </c>
      <c r="R368" s="2" t="s">
        <v>2396</v>
      </c>
      <c r="S368" s="2" t="s">
        <v>792</v>
      </c>
      <c r="T368" s="2" t="s">
        <v>1653</v>
      </c>
      <c r="U368" s="2" t="s">
        <v>1281</v>
      </c>
      <c r="V368" s="2">
        <v>8559322395</v>
      </c>
      <c r="W368" s="2" t="s">
        <v>1170</v>
      </c>
      <c r="X368" s="2" t="s">
        <v>1183</v>
      </c>
      <c r="Y368" s="2" t="s">
        <v>1184</v>
      </c>
      <c r="Z368" s="2" t="s">
        <v>1185</v>
      </c>
      <c r="AA368" s="2">
        <v>2000</v>
      </c>
      <c r="AB368" s="2">
        <v>200</v>
      </c>
      <c r="AC368" s="2">
        <v>300</v>
      </c>
      <c r="AD368" s="2">
        <v>500</v>
      </c>
      <c r="AE368" s="2">
        <f t="shared" si="45"/>
        <v>2000</v>
      </c>
      <c r="AF368" s="2">
        <v>500</v>
      </c>
      <c r="AG368" s="4">
        <v>46017</v>
      </c>
      <c r="AH368" s="2">
        <f t="shared" si="46"/>
        <v>1500</v>
      </c>
      <c r="AI368" s="2">
        <v>500</v>
      </c>
      <c r="AJ368" s="4">
        <v>46048</v>
      </c>
      <c r="AK368" s="2">
        <f t="shared" si="47"/>
        <v>1000</v>
      </c>
      <c r="AL368" s="2">
        <v>500</v>
      </c>
      <c r="AM368" s="4">
        <v>46079</v>
      </c>
      <c r="AN368" s="2">
        <f t="shared" si="48"/>
        <v>500</v>
      </c>
      <c r="AO368" s="2" cm="1">
        <f t="array" ref="AO368">_xlfn.IFS(AN368&gt;=5000,3000,AN368&gt;=2000,1000,AN368&gt;=500,500,AN368&lt;500,AN368)</f>
        <v>500</v>
      </c>
      <c r="AP368" s="4">
        <v>46107</v>
      </c>
      <c r="AQ368" s="2">
        <f t="shared" si="49"/>
        <v>0</v>
      </c>
      <c r="AR368" s="2" t="s">
        <v>1200</v>
      </c>
      <c r="AS368" s="4" t="s">
        <v>1200</v>
      </c>
      <c r="AT368" s="2" t="str">
        <f t="shared" si="50"/>
        <v/>
      </c>
      <c r="AU368" s="2" t="s">
        <v>1200</v>
      </c>
      <c r="AV368" s="4" t="s">
        <v>1200</v>
      </c>
      <c r="AW368" s="2" t="s">
        <v>1200</v>
      </c>
      <c r="AX368" s="2">
        <f t="shared" si="51"/>
        <v>2000</v>
      </c>
      <c r="AY368" s="2">
        <f t="shared" si="52"/>
        <v>0</v>
      </c>
      <c r="AZ368" s="2" t="str">
        <f t="shared" si="53"/>
        <v>Paid</v>
      </c>
      <c r="BA368" s="9" t="str" cm="1">
        <f t="array" ref="BA368">_xlfn.IFS(AZ368="Paid","R",AZ368="Unpaid","Q")</f>
        <v>R</v>
      </c>
      <c r="BB368" s="8" t="s">
        <v>2815</v>
      </c>
    </row>
    <row r="369" spans="1:54" x14ac:dyDescent="0.25">
      <c r="A369" s="2">
        <v>368</v>
      </c>
      <c r="B369" s="2">
        <v>368</v>
      </c>
      <c r="C369" s="2" t="s">
        <v>760</v>
      </c>
      <c r="D369" s="2" t="s">
        <v>2008</v>
      </c>
      <c r="E369" s="2" t="s">
        <v>761</v>
      </c>
      <c r="F369" s="4">
        <v>46008</v>
      </c>
      <c r="G369" s="8" t="s">
        <v>29</v>
      </c>
      <c r="H369" s="8" t="s">
        <v>1248</v>
      </c>
      <c r="I369" s="2" t="s">
        <v>14</v>
      </c>
      <c r="J369" s="2" t="s">
        <v>512</v>
      </c>
      <c r="K369" s="2" t="s">
        <v>791</v>
      </c>
      <c r="L369" s="2" t="s">
        <v>1256</v>
      </c>
      <c r="M369" s="2" t="s">
        <v>1263</v>
      </c>
      <c r="N369" s="2" t="s">
        <v>2383</v>
      </c>
      <c r="O369" s="4">
        <v>38569</v>
      </c>
      <c r="P369" s="2" t="s">
        <v>2798</v>
      </c>
      <c r="Q369" s="2" t="s">
        <v>2492</v>
      </c>
      <c r="R369" s="2" t="s">
        <v>2393</v>
      </c>
      <c r="S369" s="2" t="s">
        <v>788</v>
      </c>
      <c r="T369" s="2" t="s">
        <v>1654</v>
      </c>
      <c r="U369" s="2" t="s">
        <v>1270</v>
      </c>
      <c r="V369" s="2">
        <v>9050051880</v>
      </c>
      <c r="W369" s="2" t="s">
        <v>1171</v>
      </c>
      <c r="X369" s="2" t="s">
        <v>813</v>
      </c>
      <c r="Y369" s="2" t="s">
        <v>1184</v>
      </c>
      <c r="Z369" s="2" t="s">
        <v>1185</v>
      </c>
      <c r="AA369" s="2">
        <v>2500</v>
      </c>
      <c r="AB369" s="2">
        <v>200</v>
      </c>
      <c r="AC369" s="2">
        <v>400</v>
      </c>
      <c r="AD369" s="2">
        <v>300</v>
      </c>
      <c r="AE369" s="2">
        <f t="shared" si="45"/>
        <v>2800</v>
      </c>
      <c r="AF369" s="2">
        <v>1000</v>
      </c>
      <c r="AG369" s="4">
        <v>46018</v>
      </c>
      <c r="AH369" s="2">
        <f t="shared" si="46"/>
        <v>1800</v>
      </c>
      <c r="AI369" s="2">
        <v>500</v>
      </c>
      <c r="AJ369" s="4">
        <v>46049</v>
      </c>
      <c r="AK369" s="2">
        <f t="shared" si="47"/>
        <v>1300</v>
      </c>
      <c r="AL369" s="2">
        <v>500</v>
      </c>
      <c r="AM369" s="4">
        <v>46080</v>
      </c>
      <c r="AN369" s="2">
        <f t="shared" si="48"/>
        <v>800</v>
      </c>
      <c r="AO369" s="2" cm="1">
        <f t="array" ref="AO369">_xlfn.IFS(AN369&gt;=5000,3000,AN369&gt;=2000,1000,AN369&gt;=500,500,AN369&lt;500,AN369)</f>
        <v>500</v>
      </c>
      <c r="AP369" s="4">
        <v>46108</v>
      </c>
      <c r="AQ369" s="2">
        <f t="shared" si="49"/>
        <v>300</v>
      </c>
      <c r="AR369" s="2">
        <v>300</v>
      </c>
      <c r="AS369" s="4">
        <v>46139</v>
      </c>
      <c r="AT369" s="2">
        <f t="shared" si="50"/>
        <v>0</v>
      </c>
      <c r="AU369" s="2" t="s">
        <v>1200</v>
      </c>
      <c r="AV369" s="4" t="s">
        <v>1200</v>
      </c>
      <c r="AW369" s="2" t="s">
        <v>1200</v>
      </c>
      <c r="AX369" s="2">
        <f t="shared" si="51"/>
        <v>2800</v>
      </c>
      <c r="AY369" s="2">
        <f t="shared" si="52"/>
        <v>0</v>
      </c>
      <c r="AZ369" s="2" t="str">
        <f t="shared" si="53"/>
        <v>Paid</v>
      </c>
      <c r="BA369" s="9" t="str" cm="1">
        <f t="array" ref="BA369">_xlfn.IFS(AZ369="Paid","R",AZ369="Unpaid","Q")</f>
        <v>R</v>
      </c>
      <c r="BB369" s="8" t="s">
        <v>2815</v>
      </c>
    </row>
    <row r="370" spans="1:54" x14ac:dyDescent="0.25">
      <c r="A370" s="2">
        <v>369</v>
      </c>
      <c r="B370" s="2">
        <v>369</v>
      </c>
      <c r="C370" s="2" t="s">
        <v>762</v>
      </c>
      <c r="D370" s="2" t="s">
        <v>2009</v>
      </c>
      <c r="E370" s="2" t="s">
        <v>763</v>
      </c>
      <c r="F370" s="4">
        <v>46009</v>
      </c>
      <c r="G370" s="8" t="s">
        <v>65</v>
      </c>
      <c r="H370" s="8" t="s">
        <v>65</v>
      </c>
      <c r="I370" s="2" t="s">
        <v>14</v>
      </c>
      <c r="J370" s="2" t="s">
        <v>512</v>
      </c>
      <c r="K370" s="2" t="s">
        <v>791</v>
      </c>
      <c r="L370" s="2" t="s">
        <v>1257</v>
      </c>
      <c r="M370" s="2" t="s">
        <v>1261</v>
      </c>
      <c r="N370" s="2" t="s">
        <v>2384</v>
      </c>
      <c r="O370" s="4">
        <v>36212</v>
      </c>
      <c r="P370" s="2" t="s">
        <v>2799</v>
      </c>
      <c r="Q370" s="2" t="s">
        <v>2441</v>
      </c>
      <c r="R370" s="2" t="s">
        <v>2393</v>
      </c>
      <c r="S370" s="2" t="s">
        <v>788</v>
      </c>
      <c r="T370" s="2" t="s">
        <v>1655</v>
      </c>
      <c r="U370" s="2" t="s">
        <v>1268</v>
      </c>
      <c r="V370" s="2">
        <v>7494202897</v>
      </c>
      <c r="W370" s="2" t="s">
        <v>1172</v>
      </c>
      <c r="X370" s="2" t="s">
        <v>809</v>
      </c>
      <c r="Y370" s="2" t="s">
        <v>1184</v>
      </c>
      <c r="Z370" s="2" t="s">
        <v>1185</v>
      </c>
      <c r="AA370" s="2">
        <v>2500</v>
      </c>
      <c r="AB370" s="2">
        <v>200</v>
      </c>
      <c r="AC370" s="2">
        <v>500</v>
      </c>
      <c r="AD370" s="2">
        <v>0</v>
      </c>
      <c r="AE370" s="2">
        <f t="shared" si="45"/>
        <v>3200</v>
      </c>
      <c r="AF370" s="2">
        <v>1000</v>
      </c>
      <c r="AG370" s="4">
        <v>46019</v>
      </c>
      <c r="AH370" s="2">
        <f t="shared" si="46"/>
        <v>2200</v>
      </c>
      <c r="AI370" s="2">
        <v>1000</v>
      </c>
      <c r="AJ370" s="4">
        <v>46050</v>
      </c>
      <c r="AK370" s="2">
        <f t="shared" si="47"/>
        <v>1200</v>
      </c>
      <c r="AL370" s="2">
        <v>500</v>
      </c>
      <c r="AM370" s="4">
        <v>46081</v>
      </c>
      <c r="AN370" s="2">
        <f t="shared" si="48"/>
        <v>700</v>
      </c>
      <c r="AO370" s="2" cm="1">
        <f t="array" ref="AO370">_xlfn.IFS(AN370&gt;=5000,3000,AN370&gt;=2000,1000,AN370&gt;=500,500,AN370&lt;500,AN370)</f>
        <v>500</v>
      </c>
      <c r="AP370" s="4">
        <v>46109</v>
      </c>
      <c r="AQ370" s="2">
        <f t="shared" si="49"/>
        <v>200</v>
      </c>
      <c r="AR370" s="2">
        <v>200</v>
      </c>
      <c r="AS370" s="4">
        <v>46140</v>
      </c>
      <c r="AT370" s="2">
        <f t="shared" si="50"/>
        <v>0</v>
      </c>
      <c r="AU370" s="2" t="s">
        <v>1200</v>
      </c>
      <c r="AV370" s="4" t="s">
        <v>1200</v>
      </c>
      <c r="AW370" s="2" t="s">
        <v>1200</v>
      </c>
      <c r="AX370" s="2">
        <f t="shared" si="51"/>
        <v>3200</v>
      </c>
      <c r="AY370" s="2">
        <f t="shared" si="52"/>
        <v>0</v>
      </c>
      <c r="AZ370" s="2" t="str">
        <f t="shared" si="53"/>
        <v>Paid</v>
      </c>
      <c r="BA370" s="9" t="str" cm="1">
        <f t="array" ref="BA370">_xlfn.IFS(AZ370="Paid","R",AZ370="Unpaid","Q")</f>
        <v>R</v>
      </c>
      <c r="BB370" s="8" t="s">
        <v>2815</v>
      </c>
    </row>
    <row r="371" spans="1:54" x14ac:dyDescent="0.25">
      <c r="A371" s="2">
        <v>370</v>
      </c>
      <c r="B371" s="2">
        <v>370</v>
      </c>
      <c r="C371" s="2" t="s">
        <v>764</v>
      </c>
      <c r="D371" s="2" t="s">
        <v>2010</v>
      </c>
      <c r="E371" s="2" t="s">
        <v>765</v>
      </c>
      <c r="F371" s="4">
        <v>46009</v>
      </c>
      <c r="G371" s="8" t="s">
        <v>21</v>
      </c>
      <c r="H371" s="8" t="s">
        <v>1252</v>
      </c>
      <c r="I371" s="2" t="s">
        <v>14</v>
      </c>
      <c r="J371" s="2" t="s">
        <v>512</v>
      </c>
      <c r="K371" s="2" t="s">
        <v>791</v>
      </c>
      <c r="L371" s="2" t="s">
        <v>1260</v>
      </c>
      <c r="M371" s="2" t="s">
        <v>1261</v>
      </c>
      <c r="N371" s="2" t="s">
        <v>2385</v>
      </c>
      <c r="O371" s="4">
        <v>34953</v>
      </c>
      <c r="P371" s="2" t="s">
        <v>2800</v>
      </c>
      <c r="Q371" s="2" t="s">
        <v>2405</v>
      </c>
      <c r="R371" s="2" t="s">
        <v>2393</v>
      </c>
      <c r="S371" s="2" t="s">
        <v>788</v>
      </c>
      <c r="T371" s="2" t="s">
        <v>1656</v>
      </c>
      <c r="U371" s="2" t="s">
        <v>1272</v>
      </c>
      <c r="V371" s="2">
        <v>7860594527</v>
      </c>
      <c r="W371" s="2" t="s">
        <v>1173</v>
      </c>
      <c r="X371" s="2" t="s">
        <v>822</v>
      </c>
      <c r="Y371" s="2" t="s">
        <v>1184</v>
      </c>
      <c r="Z371" s="2" t="s">
        <v>1185</v>
      </c>
      <c r="AA371" s="2">
        <v>3000</v>
      </c>
      <c r="AB371" s="2">
        <v>200</v>
      </c>
      <c r="AC371" s="2">
        <v>300</v>
      </c>
      <c r="AD371" s="2">
        <v>200</v>
      </c>
      <c r="AE371" s="2">
        <f t="shared" si="45"/>
        <v>3300</v>
      </c>
      <c r="AF371" s="2">
        <v>1000</v>
      </c>
      <c r="AG371" s="4">
        <v>46019</v>
      </c>
      <c r="AH371" s="2">
        <f t="shared" si="46"/>
        <v>2300</v>
      </c>
      <c r="AI371" s="2">
        <v>1000</v>
      </c>
      <c r="AJ371" s="4">
        <v>46050</v>
      </c>
      <c r="AK371" s="2">
        <f t="shared" si="47"/>
        <v>1300</v>
      </c>
      <c r="AL371" s="2">
        <v>500</v>
      </c>
      <c r="AM371" s="4">
        <v>46081</v>
      </c>
      <c r="AN371" s="2">
        <f t="shared" si="48"/>
        <v>800</v>
      </c>
      <c r="AO371" s="2" cm="1">
        <f t="array" ref="AO371">_xlfn.IFS(AN371&gt;=5000,3000,AN371&gt;=2000,1000,AN371&gt;=500,500,AN371&lt;500,AN371)</f>
        <v>500</v>
      </c>
      <c r="AP371" s="4">
        <v>46109</v>
      </c>
      <c r="AQ371" s="2">
        <f t="shared" si="49"/>
        <v>300</v>
      </c>
      <c r="AR371" s="2">
        <v>300</v>
      </c>
      <c r="AS371" s="4">
        <v>46140</v>
      </c>
      <c r="AT371" s="2">
        <f t="shared" si="50"/>
        <v>0</v>
      </c>
      <c r="AU371" s="2" t="s">
        <v>1200</v>
      </c>
      <c r="AV371" s="4" t="s">
        <v>1200</v>
      </c>
      <c r="AW371" s="2" t="s">
        <v>1200</v>
      </c>
      <c r="AX371" s="2">
        <f t="shared" si="51"/>
        <v>3300</v>
      </c>
      <c r="AY371" s="2">
        <f t="shared" si="52"/>
        <v>0</v>
      </c>
      <c r="AZ371" s="2" t="str">
        <f t="shared" si="53"/>
        <v>Paid</v>
      </c>
      <c r="BA371" s="9" t="str" cm="1">
        <f t="array" ref="BA371">_xlfn.IFS(AZ371="Paid","R",AZ371="Unpaid","Q")</f>
        <v>R</v>
      </c>
      <c r="BB371" s="8" t="s">
        <v>2815</v>
      </c>
    </row>
    <row r="372" spans="1:54" x14ac:dyDescent="0.25">
      <c r="A372" s="2">
        <v>371</v>
      </c>
      <c r="B372" s="2">
        <v>371</v>
      </c>
      <c r="C372" s="2" t="s">
        <v>766</v>
      </c>
      <c r="D372" s="2" t="s">
        <v>2011</v>
      </c>
      <c r="E372" s="2" t="s">
        <v>767</v>
      </c>
      <c r="F372" s="4">
        <v>46010</v>
      </c>
      <c r="G372" s="8" t="s">
        <v>38</v>
      </c>
      <c r="H372" s="8" t="s">
        <v>1246</v>
      </c>
      <c r="I372" s="2" t="s">
        <v>9</v>
      </c>
      <c r="J372" s="2" t="s">
        <v>512</v>
      </c>
      <c r="K372" s="2" t="s">
        <v>795</v>
      </c>
      <c r="L372" s="2" t="s">
        <v>1257</v>
      </c>
      <c r="M372" s="2" t="s">
        <v>1261</v>
      </c>
      <c r="N372" s="2" t="s">
        <v>2386</v>
      </c>
      <c r="O372" s="4">
        <v>33475</v>
      </c>
      <c r="P372" s="2" t="s">
        <v>2801</v>
      </c>
      <c r="Q372" s="2" t="s">
        <v>2478</v>
      </c>
      <c r="R372" s="2" t="s">
        <v>2393</v>
      </c>
      <c r="S372" s="2" t="s">
        <v>796</v>
      </c>
      <c r="T372" s="2" t="s">
        <v>1657</v>
      </c>
      <c r="U372" s="2" t="s">
        <v>1286</v>
      </c>
      <c r="V372" s="2">
        <v>8625837890</v>
      </c>
      <c r="W372" s="2" t="s">
        <v>1174</v>
      </c>
      <c r="X372" s="2" t="s">
        <v>809</v>
      </c>
      <c r="Y372" s="2" t="s">
        <v>1184</v>
      </c>
      <c r="Z372" s="2" t="s">
        <v>1185</v>
      </c>
      <c r="AA372" s="2">
        <v>6000</v>
      </c>
      <c r="AB372" s="2">
        <v>200</v>
      </c>
      <c r="AC372" s="2">
        <v>800</v>
      </c>
      <c r="AD372" s="2">
        <v>500</v>
      </c>
      <c r="AE372" s="2">
        <f t="shared" si="45"/>
        <v>6500</v>
      </c>
      <c r="AF372" s="2">
        <v>2500</v>
      </c>
      <c r="AG372" s="4">
        <v>46020</v>
      </c>
      <c r="AH372" s="2">
        <f t="shared" si="46"/>
        <v>4000</v>
      </c>
      <c r="AI372" s="2">
        <v>1000</v>
      </c>
      <c r="AJ372" s="4">
        <v>46051</v>
      </c>
      <c r="AK372" s="2">
        <f t="shared" si="47"/>
        <v>3000</v>
      </c>
      <c r="AL372" s="2">
        <v>1000</v>
      </c>
      <c r="AM372" s="4">
        <v>46081</v>
      </c>
      <c r="AN372" s="2">
        <f t="shared" si="48"/>
        <v>2000</v>
      </c>
      <c r="AO372" s="2" cm="1">
        <f t="array" ref="AO372">_xlfn.IFS(AN372&gt;=5000,3000,AN372&gt;=2000,1000,AN372&gt;=500,500,AN372&lt;500,AN372)</f>
        <v>1000</v>
      </c>
      <c r="AP372" s="4">
        <v>46109</v>
      </c>
      <c r="AQ372" s="2">
        <f t="shared" si="49"/>
        <v>1000</v>
      </c>
      <c r="AR372" s="2">
        <v>1000</v>
      </c>
      <c r="AS372" s="4">
        <v>46140</v>
      </c>
      <c r="AT372" s="2">
        <f t="shared" si="50"/>
        <v>0</v>
      </c>
      <c r="AU372" s="2" t="s">
        <v>1200</v>
      </c>
      <c r="AV372" s="4" t="s">
        <v>1200</v>
      </c>
      <c r="AW372" s="2" t="s">
        <v>1200</v>
      </c>
      <c r="AX372" s="2">
        <f t="shared" si="51"/>
        <v>6500</v>
      </c>
      <c r="AY372" s="2">
        <f t="shared" si="52"/>
        <v>0</v>
      </c>
      <c r="AZ372" s="2" t="str">
        <f t="shared" si="53"/>
        <v>Paid</v>
      </c>
      <c r="BA372" s="9" t="str" cm="1">
        <f t="array" ref="BA372">_xlfn.IFS(AZ372="Paid","R",AZ372="Unpaid","Q")</f>
        <v>R</v>
      </c>
      <c r="BB372" s="8" t="s">
        <v>2815</v>
      </c>
    </row>
    <row r="373" spans="1:54" x14ac:dyDescent="0.25">
      <c r="A373" s="2">
        <v>372</v>
      </c>
      <c r="B373" s="2">
        <v>372</v>
      </c>
      <c r="C373" s="2" t="s">
        <v>768</v>
      </c>
      <c r="D373" s="2" t="s">
        <v>2012</v>
      </c>
      <c r="E373" s="2" t="s">
        <v>769</v>
      </c>
      <c r="F373" s="4">
        <v>46012</v>
      </c>
      <c r="G373" s="8" t="s">
        <v>26</v>
      </c>
      <c r="H373" s="8" t="s">
        <v>1243</v>
      </c>
      <c r="I373" s="2" t="s">
        <v>9</v>
      </c>
      <c r="J373" s="2" t="s">
        <v>551</v>
      </c>
      <c r="K373" s="2" t="s">
        <v>787</v>
      </c>
      <c r="L373" s="2" t="s">
        <v>1256</v>
      </c>
      <c r="M373" s="2" t="s">
        <v>1263</v>
      </c>
      <c r="N373" s="2" t="s">
        <v>2387</v>
      </c>
      <c r="O373" s="4">
        <v>34346</v>
      </c>
      <c r="P373" s="2" t="s">
        <v>2802</v>
      </c>
      <c r="Q373" s="2" t="s">
        <v>2398</v>
      </c>
      <c r="R373" s="2" t="s">
        <v>2393</v>
      </c>
      <c r="S373" s="2" t="s">
        <v>792</v>
      </c>
      <c r="T373" s="2" t="s">
        <v>1658</v>
      </c>
      <c r="U373" s="2" t="s">
        <v>1282</v>
      </c>
      <c r="V373" s="2">
        <v>7607493497</v>
      </c>
      <c r="W373" s="2" t="s">
        <v>1175</v>
      </c>
      <c r="X373" s="2" t="s">
        <v>809</v>
      </c>
      <c r="Y373" s="2" t="s">
        <v>1184</v>
      </c>
      <c r="Z373" s="2" t="s">
        <v>1185</v>
      </c>
      <c r="AA373" s="2">
        <v>15000</v>
      </c>
      <c r="AB373" s="2">
        <v>200</v>
      </c>
      <c r="AC373" s="2">
        <v>1200</v>
      </c>
      <c r="AD373" s="2">
        <v>0</v>
      </c>
      <c r="AE373" s="2">
        <f t="shared" si="45"/>
        <v>16400</v>
      </c>
      <c r="AF373" s="2">
        <v>5000</v>
      </c>
      <c r="AG373" s="4">
        <v>46022</v>
      </c>
      <c r="AH373" s="2">
        <f t="shared" si="46"/>
        <v>11400</v>
      </c>
      <c r="AI373" s="2">
        <v>3000</v>
      </c>
      <c r="AJ373" s="4">
        <v>46053</v>
      </c>
      <c r="AK373" s="2">
        <f t="shared" si="47"/>
        <v>8400</v>
      </c>
      <c r="AL373" s="2">
        <v>3000</v>
      </c>
      <c r="AM373" s="4">
        <v>46081</v>
      </c>
      <c r="AN373" s="2">
        <f t="shared" si="48"/>
        <v>5400</v>
      </c>
      <c r="AO373" s="2" cm="1">
        <f t="array" ref="AO373">_xlfn.IFS(AN373&gt;=5000,3000,AN373&gt;=2000,1000,AN373&gt;=500,500,AN373&lt;500,AN373)</f>
        <v>3000</v>
      </c>
      <c r="AP373" s="4">
        <v>46109</v>
      </c>
      <c r="AQ373" s="2">
        <f t="shared" si="49"/>
        <v>2400</v>
      </c>
      <c r="AR373" s="2">
        <v>2000</v>
      </c>
      <c r="AS373" s="4">
        <v>46140</v>
      </c>
      <c r="AT373" s="2">
        <f t="shared" si="50"/>
        <v>400</v>
      </c>
      <c r="AU373" s="2">
        <v>400</v>
      </c>
      <c r="AV373" s="4">
        <v>46170</v>
      </c>
      <c r="AW373" s="2">
        <v>0</v>
      </c>
      <c r="AX373" s="2">
        <f t="shared" si="51"/>
        <v>16400</v>
      </c>
      <c r="AY373" s="2">
        <f t="shared" si="52"/>
        <v>0</v>
      </c>
      <c r="AZ373" s="2" t="str">
        <f t="shared" si="53"/>
        <v>Paid</v>
      </c>
      <c r="BA373" s="9" t="str" cm="1">
        <f t="array" ref="BA373">_xlfn.IFS(AZ373="Paid","R",AZ373="Unpaid","Q")</f>
        <v>R</v>
      </c>
      <c r="BB373" s="8" t="s">
        <v>2815</v>
      </c>
    </row>
    <row r="374" spans="1:54" x14ac:dyDescent="0.25">
      <c r="A374" s="2">
        <v>373</v>
      </c>
      <c r="B374" s="2">
        <v>373</v>
      </c>
      <c r="C374" s="2" t="s">
        <v>770</v>
      </c>
      <c r="D374" s="2" t="s">
        <v>2013</v>
      </c>
      <c r="E374" s="2" t="s">
        <v>771</v>
      </c>
      <c r="F374" s="4">
        <v>46016</v>
      </c>
      <c r="G374" s="8" t="s">
        <v>26</v>
      </c>
      <c r="H374" s="8" t="s">
        <v>1243</v>
      </c>
      <c r="I374" s="2" t="s">
        <v>9</v>
      </c>
      <c r="J374" s="2" t="s">
        <v>551</v>
      </c>
      <c r="K374" s="2" t="s">
        <v>787</v>
      </c>
      <c r="L374" s="2" t="s">
        <v>1256</v>
      </c>
      <c r="M374" s="2" t="s">
        <v>1263</v>
      </c>
      <c r="N374" s="2" t="s">
        <v>2388</v>
      </c>
      <c r="O374" s="4">
        <v>39497</v>
      </c>
      <c r="P374" s="2" t="s">
        <v>2803</v>
      </c>
      <c r="Q374" s="2" t="s">
        <v>2444</v>
      </c>
      <c r="R374" s="2" t="s">
        <v>2393</v>
      </c>
      <c r="S374" s="2" t="s">
        <v>820</v>
      </c>
      <c r="T374" s="2" t="s">
        <v>1659</v>
      </c>
      <c r="U374" s="2" t="s">
        <v>1276</v>
      </c>
      <c r="V374" s="2">
        <v>7092951273</v>
      </c>
      <c r="W374" s="2" t="s">
        <v>1176</v>
      </c>
      <c r="X374" s="2" t="s">
        <v>790</v>
      </c>
      <c r="Y374" s="2" t="s">
        <v>1184</v>
      </c>
      <c r="Z374" s="2" t="s">
        <v>1185</v>
      </c>
      <c r="AA374" s="2">
        <v>15000</v>
      </c>
      <c r="AB374" s="2">
        <v>200</v>
      </c>
      <c r="AC374" s="2">
        <v>1200</v>
      </c>
      <c r="AD374" s="2">
        <v>200</v>
      </c>
      <c r="AE374" s="2">
        <f t="shared" si="45"/>
        <v>16200</v>
      </c>
      <c r="AF374" s="2">
        <v>5000</v>
      </c>
      <c r="AG374" s="4">
        <v>46026</v>
      </c>
      <c r="AH374" s="2">
        <f t="shared" si="46"/>
        <v>11200</v>
      </c>
      <c r="AI374" s="2">
        <v>3000</v>
      </c>
      <c r="AJ374" s="4">
        <v>46057</v>
      </c>
      <c r="AK374" s="2">
        <f t="shared" si="47"/>
        <v>8200</v>
      </c>
      <c r="AL374" s="2">
        <v>3000</v>
      </c>
      <c r="AM374" s="4">
        <v>46085</v>
      </c>
      <c r="AN374" s="2">
        <f t="shared" si="48"/>
        <v>5200</v>
      </c>
      <c r="AO374" s="2" cm="1">
        <f t="array" ref="AO374">_xlfn.IFS(AN374&gt;=5000,3000,AN374&gt;=2000,1000,AN374&gt;=500,500,AN374&lt;500,AN374)</f>
        <v>3000</v>
      </c>
      <c r="AP374" s="4">
        <v>46116</v>
      </c>
      <c r="AQ374" s="2">
        <f t="shared" si="49"/>
        <v>2200</v>
      </c>
      <c r="AR374" s="2">
        <v>2000</v>
      </c>
      <c r="AS374" s="4">
        <v>46146</v>
      </c>
      <c r="AT374" s="2">
        <f t="shared" si="50"/>
        <v>200</v>
      </c>
      <c r="AU374" s="2">
        <v>200</v>
      </c>
      <c r="AV374" s="4">
        <v>46177</v>
      </c>
      <c r="AW374" s="2">
        <v>0</v>
      </c>
      <c r="AX374" s="2">
        <f t="shared" si="51"/>
        <v>16200</v>
      </c>
      <c r="AY374" s="2">
        <f t="shared" si="52"/>
        <v>0</v>
      </c>
      <c r="AZ374" s="2" t="str">
        <f t="shared" si="53"/>
        <v>Paid</v>
      </c>
      <c r="BA374" s="9" t="str" cm="1">
        <f t="array" ref="BA374">_xlfn.IFS(AZ374="Paid","R",AZ374="Unpaid","Q")</f>
        <v>R</v>
      </c>
      <c r="BB374" s="8" t="s">
        <v>2815</v>
      </c>
    </row>
    <row r="375" spans="1:54" x14ac:dyDescent="0.25">
      <c r="A375" s="2">
        <v>374</v>
      </c>
      <c r="B375" s="2">
        <v>374</v>
      </c>
      <c r="C375" s="2" t="s">
        <v>772</v>
      </c>
      <c r="D375" s="2" t="s">
        <v>2014</v>
      </c>
      <c r="E375" s="2" t="s">
        <v>773</v>
      </c>
      <c r="F375" s="4">
        <v>46018</v>
      </c>
      <c r="G375" s="8" t="s">
        <v>38</v>
      </c>
      <c r="H375" s="8" t="s">
        <v>1246</v>
      </c>
      <c r="I375" s="2" t="s">
        <v>9</v>
      </c>
      <c r="J375" s="2" t="s">
        <v>512</v>
      </c>
      <c r="K375" s="2" t="s">
        <v>795</v>
      </c>
      <c r="L375" s="2" t="s">
        <v>1257</v>
      </c>
      <c r="M375" s="2" t="s">
        <v>1261</v>
      </c>
      <c r="N375" s="2" t="s">
        <v>2389</v>
      </c>
      <c r="O375" s="4">
        <v>37139</v>
      </c>
      <c r="P375" s="2" t="s">
        <v>2804</v>
      </c>
      <c r="Q375" s="2" t="s">
        <v>2640</v>
      </c>
      <c r="R375" s="2" t="s">
        <v>2393</v>
      </c>
      <c r="S375" s="2" t="s">
        <v>792</v>
      </c>
      <c r="T375" s="2" t="s">
        <v>1660</v>
      </c>
      <c r="U375" s="2" t="s">
        <v>1271</v>
      </c>
      <c r="V375" s="2">
        <v>8578601105</v>
      </c>
      <c r="W375" s="2" t="s">
        <v>1177</v>
      </c>
      <c r="X375" s="2" t="s">
        <v>1183</v>
      </c>
      <c r="Y375" s="2" t="s">
        <v>1184</v>
      </c>
      <c r="Z375" s="2" t="s">
        <v>1185</v>
      </c>
      <c r="AA375" s="2">
        <v>6000</v>
      </c>
      <c r="AB375" s="2">
        <v>200</v>
      </c>
      <c r="AC375" s="2">
        <v>800</v>
      </c>
      <c r="AD375" s="2">
        <v>500</v>
      </c>
      <c r="AE375" s="2">
        <f t="shared" si="45"/>
        <v>6500</v>
      </c>
      <c r="AF375" s="2">
        <v>2500</v>
      </c>
      <c r="AG375" s="4">
        <v>46028</v>
      </c>
      <c r="AH375" s="2">
        <f t="shared" si="46"/>
        <v>4000</v>
      </c>
      <c r="AI375" s="2">
        <v>1000</v>
      </c>
      <c r="AJ375" s="4">
        <v>46059</v>
      </c>
      <c r="AK375" s="2">
        <f t="shared" si="47"/>
        <v>3000</v>
      </c>
      <c r="AL375" s="2">
        <v>1000</v>
      </c>
      <c r="AM375" s="4">
        <v>46087</v>
      </c>
      <c r="AN375" s="2">
        <f t="shared" si="48"/>
        <v>2000</v>
      </c>
      <c r="AO375" s="2" cm="1">
        <f t="array" ref="AO375">_xlfn.IFS(AN375&gt;=5000,3000,AN375&gt;=2000,1000,AN375&gt;=500,500,AN375&lt;500,AN375)</f>
        <v>1000</v>
      </c>
      <c r="AP375" s="4">
        <v>46118</v>
      </c>
      <c r="AQ375" s="2">
        <f t="shared" si="49"/>
        <v>1000</v>
      </c>
      <c r="AR375" s="2">
        <v>1000</v>
      </c>
      <c r="AS375" s="4">
        <v>46148</v>
      </c>
      <c r="AT375" s="2">
        <f t="shared" si="50"/>
        <v>0</v>
      </c>
      <c r="AU375" s="2" t="s">
        <v>1200</v>
      </c>
      <c r="AV375" s="4" t="s">
        <v>1200</v>
      </c>
      <c r="AW375" s="2" t="s">
        <v>1200</v>
      </c>
      <c r="AX375" s="2">
        <f t="shared" si="51"/>
        <v>6500</v>
      </c>
      <c r="AY375" s="2">
        <f t="shared" si="52"/>
        <v>0</v>
      </c>
      <c r="AZ375" s="2" t="str">
        <f t="shared" si="53"/>
        <v>Paid</v>
      </c>
      <c r="BA375" s="9" t="str" cm="1">
        <f t="array" ref="BA375">_xlfn.IFS(AZ375="Paid","R",AZ375="Unpaid","Q")</f>
        <v>R</v>
      </c>
      <c r="BB375" s="8" t="s">
        <v>2815</v>
      </c>
    </row>
    <row r="376" spans="1:54" x14ac:dyDescent="0.25">
      <c r="A376" s="12">
        <v>375</v>
      </c>
      <c r="B376" s="12">
        <v>375</v>
      </c>
      <c r="C376" s="12" t="s">
        <v>774</v>
      </c>
      <c r="D376" s="12" t="s">
        <v>2015</v>
      </c>
      <c r="E376" s="12" t="s">
        <v>775</v>
      </c>
      <c r="F376" s="13">
        <v>46018</v>
      </c>
      <c r="G376" s="14" t="s">
        <v>18</v>
      </c>
      <c r="H376" s="14" t="s">
        <v>1253</v>
      </c>
      <c r="I376" s="12" t="s">
        <v>9</v>
      </c>
      <c r="J376" s="12" t="s">
        <v>512</v>
      </c>
      <c r="K376" s="12" t="s">
        <v>795</v>
      </c>
      <c r="L376" s="12" t="s">
        <v>1257</v>
      </c>
      <c r="M376" s="12" t="s">
        <v>1261</v>
      </c>
      <c r="N376" s="12" t="s">
        <v>2390</v>
      </c>
      <c r="O376" s="13">
        <v>33280</v>
      </c>
      <c r="P376" s="12" t="s">
        <v>2692</v>
      </c>
      <c r="Q376" s="12" t="s">
        <v>2457</v>
      </c>
      <c r="R376" s="12" t="s">
        <v>2393</v>
      </c>
      <c r="S376" s="12" t="s">
        <v>788</v>
      </c>
      <c r="T376" s="12" t="s">
        <v>1661</v>
      </c>
      <c r="U376" s="12" t="s">
        <v>1273</v>
      </c>
      <c r="V376" s="12">
        <v>9855526213</v>
      </c>
      <c r="W376" s="12" t="s">
        <v>1178</v>
      </c>
      <c r="X376" s="12" t="s">
        <v>837</v>
      </c>
      <c r="Y376" s="12" t="s">
        <v>1184</v>
      </c>
      <c r="Z376" s="12" t="s">
        <v>1185</v>
      </c>
      <c r="AA376" s="12">
        <v>7000</v>
      </c>
      <c r="AB376" s="12">
        <v>200</v>
      </c>
      <c r="AC376" s="12">
        <v>800</v>
      </c>
      <c r="AD376" s="12">
        <v>0</v>
      </c>
      <c r="AE376" s="12">
        <f t="shared" si="45"/>
        <v>8000</v>
      </c>
      <c r="AF376" s="12">
        <v>2500</v>
      </c>
      <c r="AG376" s="13">
        <v>46028</v>
      </c>
      <c r="AH376" s="12">
        <f t="shared" si="46"/>
        <v>5500</v>
      </c>
      <c r="AI376" s="12">
        <v>3000</v>
      </c>
      <c r="AJ376" s="13">
        <v>46059</v>
      </c>
      <c r="AK376" s="12">
        <f t="shared" si="47"/>
        <v>2500</v>
      </c>
      <c r="AL376" s="12">
        <v>1000</v>
      </c>
      <c r="AM376" s="13">
        <v>46087</v>
      </c>
      <c r="AN376" s="12">
        <f t="shared" si="48"/>
        <v>1500</v>
      </c>
      <c r="AO376" s="12" cm="1">
        <f t="array" ref="AO376">_xlfn.IFS(AN376&gt;=5000,3000,AN376&gt;=2000,1000,AN376&gt;=500,500,AN376&lt;500,AN376)</f>
        <v>500</v>
      </c>
      <c r="AP376" s="13">
        <v>46118</v>
      </c>
      <c r="AQ376" s="12">
        <f t="shared" si="49"/>
        <v>1000</v>
      </c>
      <c r="AR376" s="12">
        <v>1000</v>
      </c>
      <c r="AS376" s="13">
        <v>46148</v>
      </c>
      <c r="AT376" s="12">
        <f t="shared" si="50"/>
        <v>0</v>
      </c>
      <c r="AU376" s="12" t="s">
        <v>1200</v>
      </c>
      <c r="AV376" s="13" t="s">
        <v>1200</v>
      </c>
      <c r="AW376" s="12" t="s">
        <v>1200</v>
      </c>
      <c r="AX376" s="12">
        <f t="shared" si="51"/>
        <v>8000</v>
      </c>
      <c r="AY376" s="12">
        <f t="shared" si="52"/>
        <v>0</v>
      </c>
      <c r="AZ376" s="12" t="str">
        <f t="shared" si="53"/>
        <v>Paid</v>
      </c>
      <c r="BA376" s="15" t="str" cm="1">
        <f t="array" ref="BA376">_xlfn.IFS(AZ376="Paid","R",AZ376="Unpaid","Q")</f>
        <v>R</v>
      </c>
      <c r="BB376" s="8" t="s">
        <v>2815</v>
      </c>
    </row>
    <row r="377" spans="1:54" x14ac:dyDescent="0.25">
      <c r="AZ377"/>
    </row>
  </sheetData>
  <conditionalFormatting sqref="AZ378:AZ1048576">
    <cfRule type="expression" dxfId="9" priority="1">
      <formula>$AZ378="R"</formula>
    </cfRule>
    <cfRule type="expression" dxfId="8" priority="2">
      <formula>$AZ378="Q"</formula>
    </cfRule>
  </conditionalFormatting>
  <conditionalFormatting sqref="BA2:BA376">
    <cfRule type="expression" dxfId="7" priority="3">
      <formula>$BA2="R"</formula>
    </cfRule>
    <cfRule type="expression" dxfId="6" priority="4">
      <formula>$BA2="Q"</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30EFF-2C01-467A-A1BC-EA76CAD23955}">
  <dimension ref="A1:I42"/>
  <sheetViews>
    <sheetView showGridLines="0" topLeftCell="A22" workbookViewId="0">
      <selection activeCell="H10" sqref="H10"/>
    </sheetView>
  </sheetViews>
  <sheetFormatPr defaultColWidth="17.42578125" defaultRowHeight="15" x14ac:dyDescent="0.25"/>
  <cols>
    <col min="1" max="1" width="19.7109375" bestFit="1" customWidth="1"/>
    <col min="2" max="2" width="14.5703125" bestFit="1" customWidth="1"/>
    <col min="3" max="3" width="23" customWidth="1"/>
    <col min="4" max="4" width="18.28515625" customWidth="1"/>
    <col min="5" max="5" width="5.85546875" customWidth="1"/>
    <col min="6" max="6" width="9" customWidth="1"/>
    <col min="7" max="7" width="18.7109375" customWidth="1"/>
    <col min="8" max="8" width="25.5703125" bestFit="1" customWidth="1"/>
    <col min="9" max="9" width="24.85546875" customWidth="1"/>
  </cols>
  <sheetData>
    <row r="1" spans="1:9" ht="15" customHeight="1" x14ac:dyDescent="0.25">
      <c r="A1" s="133" t="s">
        <v>1211</v>
      </c>
      <c r="B1" s="134"/>
      <c r="C1" s="134"/>
      <c r="D1" s="134"/>
      <c r="E1" s="135"/>
      <c r="H1" s="42" t="s">
        <v>2810</v>
      </c>
      <c r="I1" s="51" t="s">
        <v>2818</v>
      </c>
    </row>
    <row r="2" spans="1:9" ht="15" customHeight="1" x14ac:dyDescent="0.25">
      <c r="A2" s="136"/>
      <c r="B2" s="137"/>
      <c r="C2" s="137"/>
      <c r="D2" s="137"/>
      <c r="E2" s="138"/>
      <c r="H2" s="42" t="s">
        <v>2822</v>
      </c>
      <c r="I2" s="51">
        <f>_xlfn.XLOOKUP(I4,tbl_mainsheet[Student Roll No.],tbl_mainsheet[S. No],"")</f>
        <v>49</v>
      </c>
    </row>
    <row r="3" spans="1:9" ht="15" customHeight="1" x14ac:dyDescent="0.25">
      <c r="A3" s="139" t="s">
        <v>1212</v>
      </c>
      <c r="B3" s="140"/>
      <c r="C3" s="140"/>
      <c r="D3" s="140"/>
      <c r="E3" s="141"/>
      <c r="H3" s="42" t="s">
        <v>1</v>
      </c>
      <c r="I3" s="51">
        <f>_xlfn.XLOOKUP(I4,tbl_mainsheet[Student Roll No.],tbl_mainsheet[Form No.],"")</f>
        <v>49</v>
      </c>
    </row>
    <row r="4" spans="1:9" ht="18.75" x14ac:dyDescent="0.25">
      <c r="A4" s="139"/>
      <c r="B4" s="140"/>
      <c r="C4" s="140"/>
      <c r="D4" s="140"/>
      <c r="E4" s="141"/>
      <c r="H4" s="42" t="s">
        <v>2811</v>
      </c>
      <c r="I4" s="51" t="str" cm="1">
        <f t="array" ref="I4">_xlfn.LET(_xlpm.x,_xlfn._xlws.FILTER('Main Sheet'!$E$2:$E$376,ISNUMBER(SEARCH(I1,'Main Sheet'!$N$2:$N$376,1))),IF(I1="","",_xlpm.x))</f>
        <v>EMCE839630</v>
      </c>
    </row>
    <row r="5" spans="1:9" x14ac:dyDescent="0.25">
      <c r="A5" s="139"/>
      <c r="B5" s="140"/>
      <c r="C5" s="140"/>
      <c r="D5" s="140"/>
      <c r="E5" s="141"/>
    </row>
    <row r="6" spans="1:9" ht="15.75" customHeight="1" x14ac:dyDescent="0.25">
      <c r="A6" s="142" t="s">
        <v>1213</v>
      </c>
      <c r="B6" s="143"/>
      <c r="C6" s="143"/>
      <c r="D6" s="143"/>
      <c r="E6" s="144"/>
    </row>
    <row r="7" spans="1:9" x14ac:dyDescent="0.25">
      <c r="A7" s="16"/>
      <c r="B7" s="28"/>
      <c r="C7" s="28"/>
      <c r="D7" s="28"/>
      <c r="E7" s="17"/>
    </row>
    <row r="8" spans="1:9" ht="23.25" x14ac:dyDescent="0.25">
      <c r="A8" s="145" t="s">
        <v>1214</v>
      </c>
      <c r="B8" s="146"/>
      <c r="C8" s="146"/>
      <c r="D8" s="146"/>
      <c r="E8" s="147"/>
    </row>
    <row r="9" spans="1:9" ht="15.75" thickBot="1" x14ac:dyDescent="0.3">
      <c r="A9" s="148"/>
      <c r="B9" s="149"/>
      <c r="C9" s="149"/>
      <c r="D9" s="149"/>
      <c r="E9" s="150"/>
    </row>
    <row r="10" spans="1:9" ht="21.75" thickBot="1" x14ac:dyDescent="0.3">
      <c r="A10" s="18" t="s">
        <v>1215</v>
      </c>
      <c r="B10" s="19" t="s">
        <v>1216</v>
      </c>
      <c r="C10" s="129" t="str">
        <f>I4</f>
        <v>EMCE839630</v>
      </c>
      <c r="D10" s="129"/>
      <c r="E10" s="130"/>
    </row>
    <row r="11" spans="1:9" ht="17.25" x14ac:dyDescent="0.3">
      <c r="A11" s="20" t="s">
        <v>1217</v>
      </c>
      <c r="B11" s="29" t="s">
        <v>1216</v>
      </c>
      <c r="C11" s="125">
        <f>_xlfn.XLOOKUP(C10,tbl_mainsheet[Student Roll No.],tbl_mainsheet[DATE OF ADMISSION],"")</f>
        <v>45350</v>
      </c>
      <c r="D11" s="125"/>
      <c r="E11" s="126"/>
    </row>
    <row r="12" spans="1:9" ht="17.25" x14ac:dyDescent="0.25">
      <c r="A12" s="21" t="s">
        <v>1218</v>
      </c>
      <c r="B12" s="30" t="s">
        <v>1216</v>
      </c>
      <c r="C12" s="131" t="str">
        <f>_xlfn.XLOOKUP(C10,tbl_mainsheet[Student Roll No.],tbl_mainsheet[STUDENT NAME],"")</f>
        <v>Sanjay Thakur</v>
      </c>
      <c r="D12" s="131"/>
      <c r="E12" s="132"/>
    </row>
    <row r="13" spans="1:9" ht="17.25" x14ac:dyDescent="0.25">
      <c r="A13" s="20" t="s">
        <v>1219</v>
      </c>
      <c r="B13" s="31" t="s">
        <v>1216</v>
      </c>
      <c r="C13" s="125" t="str">
        <f>_xlfn.XLOOKUP(C10,tbl_mainsheet[Student Roll No.],tbl_mainsheet[FATHER''S NAME],"")</f>
        <v>Kedarnath Thakur</v>
      </c>
      <c r="D13" s="125"/>
      <c r="E13" s="126"/>
    </row>
    <row r="14" spans="1:9" ht="17.25" x14ac:dyDescent="0.25">
      <c r="A14" s="21" t="s">
        <v>1220</v>
      </c>
      <c r="B14" s="30" t="s">
        <v>1216</v>
      </c>
      <c r="C14" s="131" t="str">
        <f>_xlfn.XLOOKUP(C10,tbl_mainsheet[Student Roll No.],tbl_mainsheet[MOTHER''S NAME],"")</f>
        <v>Yamuna Bai</v>
      </c>
      <c r="D14" s="131"/>
      <c r="E14" s="132"/>
    </row>
    <row r="15" spans="1:9" ht="17.25" x14ac:dyDescent="0.25">
      <c r="A15" s="20" t="s">
        <v>1221</v>
      </c>
      <c r="B15" s="31" t="s">
        <v>1216</v>
      </c>
      <c r="C15" s="125">
        <f>_xlfn.XLOOKUP(C10,tbl_mainsheet[Student Roll No.],tbl_mainsheet[DATE OF BIRTH],"")</f>
        <v>32505</v>
      </c>
      <c r="D15" s="125"/>
      <c r="E15" s="126"/>
    </row>
    <row r="16" spans="1:9" ht="17.25" x14ac:dyDescent="0.25">
      <c r="A16" s="21" t="s">
        <v>1222</v>
      </c>
      <c r="B16" s="30" t="s">
        <v>1216</v>
      </c>
      <c r="C16" s="131" t="str">
        <f>_xlfn.XLOOKUP(C10,tbl_mainsheet[Student Roll No.],tbl_mainsheet[STUDENT GMAIL ID],"")</f>
        <v>sanjaythak9146@gmail.com</v>
      </c>
      <c r="D16" s="131"/>
      <c r="E16" s="132"/>
    </row>
    <row r="17" spans="1:5" ht="17.25" x14ac:dyDescent="0.25">
      <c r="A17" s="20" t="s">
        <v>1223</v>
      </c>
      <c r="B17" s="31" t="s">
        <v>1216</v>
      </c>
      <c r="C17" s="127">
        <f>_xlfn.XLOOKUP(C10,tbl_mainsheet[Student Roll No.],tbl_mainsheet[CONTACT NO.],"")</f>
        <v>6341439462</v>
      </c>
      <c r="D17" s="127"/>
      <c r="E17" s="128"/>
    </row>
    <row r="18" spans="1:5" ht="17.25" x14ac:dyDescent="0.25">
      <c r="A18" s="21" t="s">
        <v>1224</v>
      </c>
      <c r="B18" s="30" t="s">
        <v>1216</v>
      </c>
      <c r="C18" s="173" t="str">
        <f>_xlfn.XLOOKUP(C10,tbl_mainsheet[Student Roll No.],tbl_mainsheet[STUDENT FULL ADDRESS],"")</f>
        <v>Quarter No. - 17/C, Street - 19, Sector - 09, Bhilai, Dist - Durg, Chhattisgarh, Pin - 490001</v>
      </c>
      <c r="D18" s="173"/>
      <c r="E18" s="174"/>
    </row>
    <row r="19" spans="1:5" ht="17.25" x14ac:dyDescent="0.25">
      <c r="A19" s="21"/>
      <c r="B19" s="30"/>
      <c r="C19" s="173"/>
      <c r="D19" s="173"/>
      <c r="E19" s="174"/>
    </row>
    <row r="20" spans="1:5" ht="17.25" x14ac:dyDescent="0.25">
      <c r="A20" s="20" t="s">
        <v>1225</v>
      </c>
      <c r="B20" s="31" t="s">
        <v>1216</v>
      </c>
      <c r="C20" s="171" t="str">
        <f>_xlfn.XLOOKUP(C10,tbl_mainsheet[Student Roll No.],tbl_mainsheet[COURSE CODE],"")</f>
        <v>Web</v>
      </c>
      <c r="D20" s="171"/>
      <c r="E20" s="172"/>
    </row>
    <row r="21" spans="1:5" ht="17.25" x14ac:dyDescent="0.25">
      <c r="A21" s="21" t="s">
        <v>779</v>
      </c>
      <c r="B21" s="30" t="s">
        <v>1216</v>
      </c>
      <c r="C21" s="131" t="str">
        <f>_xlfn.XLOOKUP(C10,tbl_mainsheet[Student Roll No.],tbl_mainsheet[Course Duration],"")</f>
        <v>6 Month</v>
      </c>
      <c r="D21" s="131"/>
      <c r="E21" s="132"/>
    </row>
    <row r="22" spans="1:5" ht="17.25" x14ac:dyDescent="0.25">
      <c r="A22" s="20" t="s">
        <v>1226</v>
      </c>
      <c r="B22" s="31" t="s">
        <v>1216</v>
      </c>
      <c r="C22" s="127" t="str">
        <f>_xlfn.XLOOKUP(C10,tbl_mainsheet[Student Roll No.],tbl_mainsheet[CERTIFICATION TYPE],"")</f>
        <v>Diploma Course</v>
      </c>
      <c r="D22" s="127"/>
      <c r="E22" s="128"/>
    </row>
    <row r="23" spans="1:5" ht="17.25" x14ac:dyDescent="0.25">
      <c r="A23" s="21" t="s">
        <v>778</v>
      </c>
      <c r="B23" s="30" t="s">
        <v>1216</v>
      </c>
      <c r="C23" s="131" t="str">
        <f>_xlfn.XLOOKUP(C10,tbl_mainsheet[Student Roll No.],tbl_mainsheet[Session],"")</f>
        <v>2024</v>
      </c>
      <c r="D23" s="131"/>
      <c r="E23" s="132"/>
    </row>
    <row r="24" spans="1:5" ht="17.25" x14ac:dyDescent="0.25">
      <c r="A24" s="20" t="s">
        <v>2812</v>
      </c>
      <c r="B24" s="31" t="s">
        <v>1216</v>
      </c>
      <c r="C24" s="153">
        <f>_xlfn.XLOOKUP(C10,tbl_mainsheet[Student Roll No.],tbl_mainsheet[COURSE FESS],"")</f>
        <v>7000</v>
      </c>
      <c r="D24" s="153"/>
      <c r="E24" s="154"/>
    </row>
    <row r="25" spans="1:5" ht="17.25" x14ac:dyDescent="0.25">
      <c r="A25" s="21" t="s">
        <v>1227</v>
      </c>
      <c r="B25" s="30" t="s">
        <v>1216</v>
      </c>
      <c r="C25" s="155">
        <f>_xlfn.XLOOKUP(C10,tbl_mainsheet[Student Roll No.],tbl_mainsheet[ADMISSION AMOUNT],"")</f>
        <v>200</v>
      </c>
      <c r="D25" s="155"/>
      <c r="E25" s="156"/>
    </row>
    <row r="26" spans="1:5" ht="17.25" x14ac:dyDescent="0.25">
      <c r="A26" s="20" t="s">
        <v>2813</v>
      </c>
      <c r="B26" s="31" t="s">
        <v>1216</v>
      </c>
      <c r="C26" s="153">
        <f>_xlfn.XLOOKUP(C10,tbl_mainsheet[Student Roll No.],tbl_mainsheet[EXAM FESS],"")</f>
        <v>800</v>
      </c>
      <c r="D26" s="153"/>
      <c r="E26" s="154"/>
    </row>
    <row r="27" spans="1:5" ht="17.25" x14ac:dyDescent="0.25">
      <c r="A27" s="21" t="s">
        <v>1228</v>
      </c>
      <c r="B27" s="30" t="s">
        <v>1216</v>
      </c>
      <c r="C27" s="155">
        <f>_xlfn.XLOOKUP(C10,tbl_mainsheet[Student Roll No.],tbl_mainsheet[DISCOUNT AMOUNT],"")</f>
        <v>300</v>
      </c>
      <c r="D27" s="155"/>
      <c r="E27" s="156"/>
    </row>
    <row r="28" spans="1:5" ht="18" thickBot="1" x14ac:dyDescent="0.3">
      <c r="A28" s="20" t="s">
        <v>2814</v>
      </c>
      <c r="B28" s="31" t="s">
        <v>1216</v>
      </c>
      <c r="C28" s="153">
        <f>_xlfn.XLOOKUP(C10,tbl_mainsheet[Student Roll No.],tbl_mainsheet[TOTAL PAYBLE AMOUNT],"")</f>
        <v>7700</v>
      </c>
      <c r="D28" s="153"/>
      <c r="E28" s="154"/>
    </row>
    <row r="29" spans="1:5" ht="18" thickBot="1" x14ac:dyDescent="0.3">
      <c r="A29" s="36" t="s">
        <v>1229</v>
      </c>
      <c r="B29" s="36" t="s">
        <v>1230</v>
      </c>
      <c r="C29" s="37" t="s">
        <v>1231</v>
      </c>
      <c r="D29" s="161" t="s">
        <v>1232</v>
      </c>
      <c r="E29" s="162"/>
    </row>
    <row r="30" spans="1:5" ht="19.5" x14ac:dyDescent="0.25">
      <c r="A30" s="38" t="s">
        <v>1233</v>
      </c>
      <c r="B30" s="34">
        <f>_xlfn.XLOOKUP(C10,tbl_mainsheet[Student Roll No.],tbl_mainsheet[DATE],"")</f>
        <v>45360</v>
      </c>
      <c r="C30" s="35">
        <f>_xlfn.XLOOKUP(C10,tbl_mainsheet[Student Roll No.],tbl_mainsheet[1ST PAYMENT],"")</f>
        <v>2500</v>
      </c>
      <c r="D30" s="163">
        <f>_xlfn.XLOOKUP(C10,tbl_mainsheet[Student Roll No.],tbl_mainsheet[REMAINING],"")</f>
        <v>5200</v>
      </c>
      <c r="E30" s="164"/>
    </row>
    <row r="31" spans="1:5" ht="19.5" x14ac:dyDescent="0.25">
      <c r="A31" s="39" t="s">
        <v>1234</v>
      </c>
      <c r="B31" s="43">
        <f>_xlfn.XLOOKUP(C10,tbl_mainsheet[Student Roll No.],tbl_mainsheet[DATE2],"")</f>
        <v>45391</v>
      </c>
      <c r="C31" s="47">
        <f>_xlfn.XLOOKUP(C10,tbl_mainsheet[Student Roll No.],tbl_mainsheet[2ND PAYMENT],"")</f>
        <v>3000</v>
      </c>
      <c r="D31" s="165">
        <f>_xlfn.XLOOKUP(C10,tbl_mainsheet[Student Roll No.],tbl_mainsheet[REMAINING2],"")</f>
        <v>2200</v>
      </c>
      <c r="E31" s="166"/>
    </row>
    <row r="32" spans="1:5" ht="19.5" x14ac:dyDescent="0.25">
      <c r="A32" s="40" t="s">
        <v>1235</v>
      </c>
      <c r="B32" s="27">
        <f>_xlfn.XLOOKUP(C10,tbl_mainsheet[Student Roll No.],tbl_mainsheet[DATE3],"")</f>
        <v>45421</v>
      </c>
      <c r="C32" s="33">
        <f>_xlfn.XLOOKUP(C10,tbl_mainsheet[Student Roll No.],tbl_mainsheet[3RD PAYMENT],"")</f>
        <v>1000</v>
      </c>
      <c r="D32" s="167">
        <f>_xlfn.XLOOKUP(C10,tbl_mainsheet[Student Roll No.],tbl_mainsheet[REMAINING3],"")</f>
        <v>1200</v>
      </c>
      <c r="E32" s="168"/>
    </row>
    <row r="33" spans="1:5" ht="18.75" x14ac:dyDescent="0.25">
      <c r="A33" s="39" t="s">
        <v>1236</v>
      </c>
      <c r="B33" s="43">
        <f>_xlfn.XLOOKUP(C10,tbl_mainsheet[Student Roll No.],tbl_mainsheet[DATE4],"")</f>
        <v>45452</v>
      </c>
      <c r="C33" s="45">
        <f>_xlfn.XLOOKUP(C10,tbl_mainsheet[Student Roll No.],tbl_mainsheet[4TH PAYMENT],"")</f>
        <v>500</v>
      </c>
      <c r="D33" s="165">
        <f>_xlfn.XLOOKUP(C10,tbl_mainsheet[Student Roll No.],tbl_mainsheet[REMAINING4],"")</f>
        <v>700</v>
      </c>
      <c r="E33" s="166"/>
    </row>
    <row r="34" spans="1:5" ht="19.5" x14ac:dyDescent="0.25">
      <c r="A34" s="40" t="s">
        <v>1237</v>
      </c>
      <c r="B34" s="27">
        <f>_xlfn.XLOOKUP(C10,tbl_mainsheet[Student Roll No.],tbl_mainsheet[DATE5],"")</f>
        <v>45482</v>
      </c>
      <c r="C34" s="33">
        <f>_xlfn.XLOOKUP(C10,tbl_mainsheet[Student Roll No.],tbl_mainsheet[5TH PAYMENT],"")</f>
        <v>500</v>
      </c>
      <c r="D34" s="167">
        <f>_xlfn.XLOOKUP(C10,tbl_mainsheet[Student Roll No.],tbl_mainsheet[REMAINING5],"")</f>
        <v>200</v>
      </c>
      <c r="E34" s="168"/>
    </row>
    <row r="35" spans="1:5" ht="19.5" thickBot="1" x14ac:dyDescent="0.3">
      <c r="A35" s="41" t="s">
        <v>1238</v>
      </c>
      <c r="B35" s="44">
        <f>_xlfn.XLOOKUP(C10,tbl_mainsheet[Student Roll No.],tbl_mainsheet[DATE6],"")</f>
        <v>45513</v>
      </c>
      <c r="C35" s="46">
        <f>_xlfn.XLOOKUP(C10,tbl_mainsheet[Student Roll No.],tbl_mainsheet[6TH PAYMENT],"")</f>
        <v>200</v>
      </c>
      <c r="D35" s="169">
        <f>_xlfn.XLOOKUP(C10,tbl_mainsheet[Student Roll No.],tbl_mainsheet[REMAINING6],"")</f>
        <v>0</v>
      </c>
      <c r="E35" s="170"/>
    </row>
    <row r="36" spans="1:5" ht="18" thickBot="1" x14ac:dyDescent="0.35">
      <c r="A36" s="157" t="str">
        <f>_xlfn.XLOOKUP(C10,tbl_mainsheet[Student Roll No.],tbl_mainsheet[PAYMENT STATUS],"")</f>
        <v>Paid</v>
      </c>
      <c r="B36" s="158"/>
      <c r="C36" s="158"/>
      <c r="D36" s="159" t="str">
        <f>_xlfn.XLOOKUP(C10,tbl_mainsheet[Student Roll No.],tbl_mainsheet[PAYMENT],"")</f>
        <v>R</v>
      </c>
      <c r="E36" s="160"/>
    </row>
    <row r="37" spans="1:5" x14ac:dyDescent="0.25">
      <c r="A37" s="16"/>
      <c r="B37" s="28"/>
      <c r="C37" s="28"/>
      <c r="D37" s="28"/>
      <c r="E37" s="17"/>
    </row>
    <row r="38" spans="1:5" x14ac:dyDescent="0.25">
      <c r="A38" s="16"/>
      <c r="B38" s="28"/>
      <c r="C38" s="28"/>
      <c r="D38" s="28"/>
      <c r="E38" s="17"/>
    </row>
    <row r="39" spans="1:5" x14ac:dyDescent="0.25">
      <c r="A39" s="16"/>
      <c r="B39" s="28"/>
      <c r="C39" s="28"/>
      <c r="D39" s="28"/>
      <c r="E39" s="17"/>
    </row>
    <row r="40" spans="1:5" x14ac:dyDescent="0.25">
      <c r="A40" s="16"/>
      <c r="B40" s="28"/>
      <c r="C40" s="28"/>
      <c r="D40" s="28"/>
      <c r="E40" s="17"/>
    </row>
    <row r="41" spans="1:5" ht="17.25" x14ac:dyDescent="0.3">
      <c r="A41" s="22"/>
      <c r="B41" s="32"/>
      <c r="C41" s="32"/>
      <c r="D41" s="32"/>
      <c r="E41" s="23"/>
    </row>
    <row r="42" spans="1:5" ht="34.5" customHeight="1" thickBot="1" x14ac:dyDescent="0.35">
      <c r="A42" s="24" t="s">
        <v>1239</v>
      </c>
      <c r="B42" s="25"/>
      <c r="C42" s="26" t="s">
        <v>1240</v>
      </c>
      <c r="D42" s="151" t="s">
        <v>1241</v>
      </c>
      <c r="E42" s="152"/>
    </row>
  </sheetData>
  <mergeCells count="33">
    <mergeCell ref="C21:E21"/>
    <mergeCell ref="C22:E22"/>
    <mergeCell ref="C20:E20"/>
    <mergeCell ref="C23:E23"/>
    <mergeCell ref="C18:E19"/>
    <mergeCell ref="D42:E42"/>
    <mergeCell ref="C24:E24"/>
    <mergeCell ref="C25:E25"/>
    <mergeCell ref="C26:E26"/>
    <mergeCell ref="C27:E27"/>
    <mergeCell ref="C28:E28"/>
    <mergeCell ref="A36:C36"/>
    <mergeCell ref="D36:E36"/>
    <mergeCell ref="D29:E29"/>
    <mergeCell ref="D30:E30"/>
    <mergeCell ref="D31:E31"/>
    <mergeCell ref="D32:E32"/>
    <mergeCell ref="D34:E34"/>
    <mergeCell ref="D33:E33"/>
    <mergeCell ref="D35:E35"/>
    <mergeCell ref="A1:E2"/>
    <mergeCell ref="A3:E5"/>
    <mergeCell ref="A6:E6"/>
    <mergeCell ref="A8:E8"/>
    <mergeCell ref="A9:E9"/>
    <mergeCell ref="C15:E15"/>
    <mergeCell ref="C17:E17"/>
    <mergeCell ref="C10:E10"/>
    <mergeCell ref="C11:E11"/>
    <mergeCell ref="C12:E12"/>
    <mergeCell ref="C13:E13"/>
    <mergeCell ref="C14:E14"/>
    <mergeCell ref="C16:E16"/>
  </mergeCells>
  <conditionalFormatting sqref="D36:E36">
    <cfRule type="expression" dxfId="5" priority="1">
      <formula>$D$36="Q"</formula>
    </cfRule>
    <cfRule type="expression" dxfId="4" priority="2">
      <formula>$D$36&lt;&gt;""</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B6C1E2-B10A-46CB-9EEB-7A15C622DD6E}">
  <dimension ref="A1:T12"/>
  <sheetViews>
    <sheetView showGridLines="0" workbookViewId="0">
      <selection activeCell="G43" sqref="G43"/>
    </sheetView>
  </sheetViews>
  <sheetFormatPr defaultRowHeight="15" x14ac:dyDescent="0.25"/>
  <cols>
    <col min="1" max="1" width="8.42578125" bestFit="1" customWidth="1"/>
    <col min="3" max="3" width="25.85546875" bestFit="1" customWidth="1"/>
    <col min="4" max="4" width="16" bestFit="1" customWidth="1"/>
    <col min="5" max="5" width="15.5703125" bestFit="1" customWidth="1"/>
    <col min="6" max="6" width="19.5703125" style="5" bestFit="1" customWidth="1"/>
    <col min="7" max="7" width="36.85546875" bestFit="1" customWidth="1"/>
    <col min="8" max="8" width="13.7109375" bestFit="1" customWidth="1"/>
    <col min="9" max="9" width="22.7109375" bestFit="1" customWidth="1"/>
    <col min="10" max="10" width="14.140625" style="5" bestFit="1" customWidth="1"/>
    <col min="11" max="11" width="84.7109375" bestFit="1" customWidth="1"/>
    <col min="12" max="12" width="12" bestFit="1" customWidth="1"/>
    <col min="13" max="13" width="13.42578125" bestFit="1" customWidth="1"/>
    <col min="14" max="14" width="32.7109375" bestFit="1" customWidth="1"/>
    <col min="15" max="15" width="22.85546875" bestFit="1" customWidth="1"/>
    <col min="16" max="16" width="12.42578125" bestFit="1" customWidth="1"/>
    <col min="17" max="17" width="18.28515625" bestFit="1" customWidth="1"/>
    <col min="18" max="18" width="17.28515625" bestFit="1" customWidth="1"/>
    <col min="19" max="19" width="9.85546875" bestFit="1" customWidth="1"/>
    <col min="20" max="20" width="18.28515625" bestFit="1" customWidth="1"/>
  </cols>
  <sheetData>
    <row r="1" spans="1:20" s="58" customFormat="1" ht="15" customHeight="1" x14ac:dyDescent="0.25">
      <c r="D1" s="175" t="s">
        <v>2826</v>
      </c>
      <c r="E1" s="175"/>
      <c r="F1" s="175"/>
      <c r="G1" s="175"/>
      <c r="H1" s="60"/>
      <c r="J1" s="59"/>
    </row>
    <row r="2" spans="1:20" s="58" customFormat="1" ht="15" customHeight="1" x14ac:dyDescent="0.25">
      <c r="C2" s="60"/>
      <c r="D2" s="175"/>
      <c r="E2" s="175"/>
      <c r="F2" s="175"/>
      <c r="G2" s="175"/>
      <c r="H2" s="60"/>
      <c r="J2" s="59"/>
    </row>
    <row r="3" spans="1:20" s="58" customFormat="1" ht="15" customHeight="1" x14ac:dyDescent="0.25">
      <c r="C3" s="60"/>
      <c r="D3" s="175"/>
      <c r="E3" s="175"/>
      <c r="F3" s="175"/>
      <c r="G3" s="175"/>
      <c r="H3" s="60"/>
      <c r="J3" s="59"/>
    </row>
    <row r="4" spans="1:20" s="58" customFormat="1" ht="15" customHeight="1" x14ac:dyDescent="0.25">
      <c r="C4" s="60"/>
      <c r="D4" s="175"/>
      <c r="E4" s="175"/>
      <c r="F4" s="175"/>
      <c r="G4" s="175"/>
      <c r="H4" s="60"/>
      <c r="J4" s="59"/>
    </row>
    <row r="5" spans="1:20" x14ac:dyDescent="0.25">
      <c r="F5"/>
      <c r="J5"/>
    </row>
    <row r="6" spans="1:20" x14ac:dyDescent="0.25">
      <c r="A6" s="1" t="s">
        <v>0</v>
      </c>
      <c r="B6" s="1" t="s">
        <v>1</v>
      </c>
      <c r="C6" s="1" t="s">
        <v>2</v>
      </c>
      <c r="D6" s="1" t="s">
        <v>3</v>
      </c>
      <c r="E6" s="1" t="s">
        <v>4</v>
      </c>
      <c r="F6" s="3" t="s">
        <v>5</v>
      </c>
      <c r="G6" s="1" t="s">
        <v>776</v>
      </c>
      <c r="H6" s="1" t="s">
        <v>1255</v>
      </c>
      <c r="I6" s="6" t="s">
        <v>781</v>
      </c>
      <c r="J6" s="7" t="s">
        <v>782</v>
      </c>
      <c r="K6" s="6" t="s">
        <v>1179</v>
      </c>
      <c r="L6" s="6" t="s">
        <v>1266</v>
      </c>
      <c r="M6" s="6" t="s">
        <v>1180</v>
      </c>
      <c r="N6" s="6" t="s">
        <v>1181</v>
      </c>
      <c r="O6" s="6" t="s">
        <v>1192</v>
      </c>
      <c r="P6" s="6" t="s">
        <v>1201</v>
      </c>
      <c r="Q6" s="6" t="s">
        <v>1202</v>
      </c>
      <c r="R6" s="6" t="s">
        <v>1203</v>
      </c>
      <c r="S6" s="6" t="s">
        <v>1204</v>
      </c>
      <c r="T6" s="6" t="s">
        <v>2815</v>
      </c>
    </row>
    <row r="7" spans="1:20" x14ac:dyDescent="0.25">
      <c r="A7" cm="1">
        <f t="array" ref="A7:T12">_xlfn.LET(_xlpm.x,_xlfn.HSTACK(tbl_mainsheet[[S. No]:[COURSE CODE]],tbl_mainsheet[[STUDENT NAME]:[DATE OF BIRTH]],tbl_mainsheet[[STUDENT FULL ADDRESS]:[STUDENT GMAIL ID]],tbl_mainsheet[TOTAL PAYBLE AMOUNT],tbl_mainsheet[[Paid Amount]:[Course Completion]]),_xlfn._xlws.FILTER(_xlpm.x,tbl_mainsheet[Course Completion]="Course Discontinued"))</f>
        <v>2</v>
      </c>
      <c r="B7">
        <v>2</v>
      </c>
      <c r="C7" t="str">
        <v>EMCE841967@emaxindia.in</v>
      </c>
      <c r="D7" t="str">
        <v>ramkumar@1996</v>
      </c>
      <c r="E7" t="str">
        <v>EMCE841967</v>
      </c>
      <c r="F7" s="5">
        <v>45295</v>
      </c>
      <c r="G7" t="str">
        <v>Advanced Excel &amp; MIS</v>
      </c>
      <c r="H7" t="str">
        <v>MIS</v>
      </c>
      <c r="I7" t="str">
        <v>Ramkumar Yadav</v>
      </c>
      <c r="J7" s="5">
        <v>35292</v>
      </c>
      <c r="K7" t="str">
        <v>Qr. No. 13/E, Street No. - 14, Sector - 04, Bhilai, Dist - Durg, Chhattisgarh, Pin - 490001</v>
      </c>
      <c r="L7" t="str">
        <v>Sector - 04</v>
      </c>
      <c r="M7">
        <v>6064038841</v>
      </c>
      <c r="N7" t="str">
        <v>ramkumaryada5457@gmail.com</v>
      </c>
      <c r="O7">
        <v>3700</v>
      </c>
      <c r="P7">
        <v>1000</v>
      </c>
      <c r="Q7">
        <v>2700</v>
      </c>
      <c r="R7" t="str">
        <v>Unpaid</v>
      </c>
      <c r="S7" t="str">
        <v>Q</v>
      </c>
      <c r="T7" t="str">
        <v>Course Discontinued</v>
      </c>
    </row>
    <row r="8" spans="1:20" x14ac:dyDescent="0.25">
      <c r="A8">
        <v>40</v>
      </c>
      <c r="B8">
        <v>40</v>
      </c>
      <c r="C8" t="str">
        <v>EMCE852847@emaxindia.in</v>
      </c>
      <c r="D8" t="str">
        <v>vivek@1996</v>
      </c>
      <c r="E8" t="str">
        <v>EMCE852847</v>
      </c>
      <c r="F8" s="5">
        <v>45341</v>
      </c>
      <c r="G8" t="str">
        <v>Hardware &amp; Networking</v>
      </c>
      <c r="H8" t="str">
        <v>Hardware</v>
      </c>
      <c r="I8" t="str">
        <v>Vivek Rajput</v>
      </c>
      <c r="J8" s="5">
        <v>35285</v>
      </c>
      <c r="K8" t="str">
        <v>Quarter No. 21/F, Street - 18, Sector - 10, Bhilai, Dist - Durg, Chhattisgarh, Pin - 490006</v>
      </c>
      <c r="L8" t="str">
        <v>Sector - 10</v>
      </c>
      <c r="M8">
        <v>8912405474</v>
      </c>
      <c r="N8" t="str">
        <v>vivekrajp367@gmail.com</v>
      </c>
      <c r="O8">
        <v>9200</v>
      </c>
      <c r="P8">
        <v>5500</v>
      </c>
      <c r="Q8">
        <v>3700</v>
      </c>
      <c r="R8" t="str">
        <v>Unpaid</v>
      </c>
      <c r="S8" t="str">
        <v>Q</v>
      </c>
      <c r="T8" t="str">
        <v>Course Discontinued</v>
      </c>
    </row>
    <row r="9" spans="1:20" x14ac:dyDescent="0.25">
      <c r="A9">
        <v>124</v>
      </c>
      <c r="B9">
        <v>124</v>
      </c>
      <c r="C9" t="str">
        <v>EMCE841264@emaxindia.in</v>
      </c>
      <c r="D9" t="str">
        <v>harish@1998</v>
      </c>
      <c r="E9" t="str">
        <v>EMCE841264</v>
      </c>
      <c r="F9" s="5">
        <v>45464</v>
      </c>
      <c r="G9" t="str">
        <v>Diploma in Computer Application (DCA)</v>
      </c>
      <c r="H9" t="str">
        <v>DCA</v>
      </c>
      <c r="I9" t="str">
        <v>Harish Hemrom</v>
      </c>
      <c r="J9" s="5">
        <v>35906</v>
      </c>
      <c r="K9" t="str">
        <v>Quarter No. - 3/B, Street - 06, Sector - 09, Bhilai, Dist - Durg, Chhattisgarh, Pin - 490001</v>
      </c>
      <c r="L9" t="str">
        <v>Sector - 09</v>
      </c>
      <c r="M9">
        <v>7670015248</v>
      </c>
      <c r="N9" t="str">
        <v>harishhemr253@gmail.com</v>
      </c>
      <c r="O9">
        <v>13700</v>
      </c>
      <c r="P9">
        <v>8000</v>
      </c>
      <c r="Q9">
        <v>5700</v>
      </c>
      <c r="R9" t="str">
        <v>Unpaid</v>
      </c>
      <c r="S9" t="str">
        <v>Q</v>
      </c>
      <c r="T9" t="str">
        <v>Course Discontinued</v>
      </c>
    </row>
    <row r="10" spans="1:20" x14ac:dyDescent="0.25">
      <c r="A10">
        <v>182</v>
      </c>
      <c r="B10">
        <v>182</v>
      </c>
      <c r="C10" t="str">
        <v>EMCE854840@emaxindia.in</v>
      </c>
      <c r="D10" t="str">
        <v>laxman@2010</v>
      </c>
      <c r="E10" t="str">
        <v>EMCE854840</v>
      </c>
      <c r="F10" s="5">
        <v>45569</v>
      </c>
      <c r="G10" t="str">
        <v>MS-CIT</v>
      </c>
      <c r="H10" t="str">
        <v>MS-CIT</v>
      </c>
      <c r="I10" t="str">
        <v>Laxman Banjare</v>
      </c>
      <c r="J10" s="5">
        <v>40289</v>
      </c>
      <c r="K10" t="str">
        <v>House No. - 825, Ward - 04, Camp - 02, Bhilai, Dist - Durg, Chhattisgarh, Pin - 490001</v>
      </c>
      <c r="L10" t="str">
        <v>Camp - 02</v>
      </c>
      <c r="M10">
        <v>9883438683</v>
      </c>
      <c r="N10" t="str">
        <v>laxmanbanj117@gmail.com</v>
      </c>
      <c r="O10">
        <v>2900</v>
      </c>
      <c r="P10">
        <v>1500</v>
      </c>
      <c r="Q10">
        <v>1400</v>
      </c>
      <c r="R10" t="str">
        <v>Unpaid</v>
      </c>
      <c r="S10" t="str">
        <v>Q</v>
      </c>
      <c r="T10" t="str">
        <v>Course Discontinued</v>
      </c>
    </row>
    <row r="11" spans="1:20" x14ac:dyDescent="0.25">
      <c r="A11">
        <v>260</v>
      </c>
      <c r="B11">
        <v>260</v>
      </c>
      <c r="C11" t="str">
        <v>EMCE844391@emaxindia.in</v>
      </c>
      <c r="D11" t="str">
        <v>ashish@2009</v>
      </c>
      <c r="E11" t="str">
        <v>EMCE844391</v>
      </c>
      <c r="F11" s="5">
        <v>45709</v>
      </c>
      <c r="G11" t="str">
        <v>MS-CIT</v>
      </c>
      <c r="H11" t="str">
        <v>MS-CIT</v>
      </c>
      <c r="I11" t="str">
        <v>Ashish Patel</v>
      </c>
      <c r="J11" s="5">
        <v>39954</v>
      </c>
      <c r="K11" t="str">
        <v>House No. - 124, Ward - 29, Kosa Nagar, Bhilai, Dist - Durg, Chhattisgarh, Pin - 490020</v>
      </c>
      <c r="L11" t="str">
        <v>Kosa Nagar</v>
      </c>
      <c r="M11">
        <v>6049352808</v>
      </c>
      <c r="N11" t="str">
        <v>ashishpate4953@gmail.com</v>
      </c>
      <c r="O11">
        <v>2700</v>
      </c>
      <c r="P11">
        <v>1000</v>
      </c>
      <c r="Q11">
        <v>1700</v>
      </c>
      <c r="R11" t="str">
        <v>Unpaid</v>
      </c>
      <c r="S11" t="str">
        <v>Q</v>
      </c>
      <c r="T11" t="str">
        <v>Course Discontinued</v>
      </c>
    </row>
    <row r="12" spans="1:20" x14ac:dyDescent="0.25">
      <c r="A12">
        <v>261</v>
      </c>
      <c r="B12">
        <v>261</v>
      </c>
      <c r="C12" t="str">
        <v>EMCE836314@emaxindia.in</v>
      </c>
      <c r="D12" t="str">
        <v>phulwati@1996</v>
      </c>
      <c r="E12" t="str">
        <v>EMCE836314</v>
      </c>
      <c r="F12" s="5">
        <v>45717</v>
      </c>
      <c r="G12" t="str">
        <v>MS-CIT</v>
      </c>
      <c r="H12" t="str">
        <v>MS-CIT</v>
      </c>
      <c r="I12" t="str">
        <v>Phulwati Lakra</v>
      </c>
      <c r="J12" s="5">
        <v>35415</v>
      </c>
      <c r="K12" t="str">
        <v>Qr. No. 13/B, Street No. - 16, Sector - 04, Bhilai, Dist - Durg, Chhattisgarh, Pin - 490001</v>
      </c>
      <c r="L12" t="str">
        <v>Sector - 04</v>
      </c>
      <c r="M12">
        <v>6854312189</v>
      </c>
      <c r="N12" t="str">
        <v>phulwatilakr654@gmail.com</v>
      </c>
      <c r="O12">
        <v>3200</v>
      </c>
      <c r="P12">
        <v>1000</v>
      </c>
      <c r="Q12">
        <v>2200</v>
      </c>
      <c r="R12" t="str">
        <v>Unpaid</v>
      </c>
      <c r="S12" t="str">
        <v>Q</v>
      </c>
      <c r="T12" t="str">
        <v>Course Discontinued</v>
      </c>
    </row>
  </sheetData>
  <mergeCells count="1">
    <mergeCell ref="D1:G4"/>
  </mergeCells>
  <conditionalFormatting sqref="A6:T1001">
    <cfRule type="expression" dxfId="3" priority="1">
      <formula>$A6&lt;&gt;""</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B67DF-4E3C-491C-8575-C54839A3634F}">
  <dimension ref="A1:T13"/>
  <sheetViews>
    <sheetView showGridLines="0" workbookViewId="0">
      <selection activeCell="G43" sqref="G43"/>
    </sheetView>
  </sheetViews>
  <sheetFormatPr defaultRowHeight="15" x14ac:dyDescent="0.25"/>
  <cols>
    <col min="1" max="1" width="8.42578125" bestFit="1" customWidth="1"/>
    <col min="3" max="3" width="25.85546875" bestFit="1" customWidth="1"/>
    <col min="4" max="4" width="16" bestFit="1" customWidth="1"/>
    <col min="5" max="5" width="15.5703125" bestFit="1" customWidth="1"/>
    <col min="6" max="6" width="19.5703125" style="5" bestFit="1" customWidth="1"/>
    <col min="7" max="7" width="54.5703125" bestFit="1" customWidth="1"/>
    <col min="8" max="8" width="13.7109375" bestFit="1" customWidth="1"/>
    <col min="9" max="9" width="22.7109375" bestFit="1" customWidth="1"/>
    <col min="10" max="10" width="14.140625" style="5" bestFit="1" customWidth="1"/>
    <col min="11" max="11" width="84.7109375" bestFit="1" customWidth="1"/>
    <col min="12" max="12" width="12" bestFit="1" customWidth="1"/>
    <col min="13" max="13" width="13.42578125" bestFit="1" customWidth="1"/>
    <col min="14" max="14" width="32.7109375" bestFit="1" customWidth="1"/>
    <col min="15" max="15" width="22.85546875" bestFit="1" customWidth="1"/>
    <col min="16" max="16" width="12.42578125" bestFit="1" customWidth="1"/>
    <col min="17" max="17" width="18.28515625" bestFit="1" customWidth="1"/>
    <col min="18" max="18" width="17.28515625" bestFit="1" customWidth="1"/>
    <col min="19" max="19" width="9.85546875" bestFit="1" customWidth="1"/>
    <col min="20" max="20" width="18.28515625" bestFit="1" customWidth="1"/>
  </cols>
  <sheetData>
    <row r="1" spans="1:20" s="58" customFormat="1" ht="15" customHeight="1" x14ac:dyDescent="0.25">
      <c r="D1" s="175" t="s">
        <v>2827</v>
      </c>
      <c r="E1" s="175"/>
      <c r="F1" s="175"/>
      <c r="G1" s="175"/>
      <c r="H1" s="61"/>
      <c r="J1" s="59"/>
    </row>
    <row r="2" spans="1:20" s="58" customFormat="1" ht="15" customHeight="1" x14ac:dyDescent="0.25">
      <c r="C2" s="61"/>
      <c r="D2" s="175"/>
      <c r="E2" s="175"/>
      <c r="F2" s="175"/>
      <c r="G2" s="175"/>
      <c r="H2" s="61"/>
      <c r="J2" s="59"/>
    </row>
    <row r="3" spans="1:20" s="58" customFormat="1" ht="15" customHeight="1" x14ac:dyDescent="0.25">
      <c r="C3" s="61"/>
      <c r="D3" s="175"/>
      <c r="E3" s="175"/>
      <c r="F3" s="175"/>
      <c r="G3" s="175"/>
      <c r="H3" s="61"/>
      <c r="J3" s="59"/>
    </row>
    <row r="4" spans="1:20" s="58" customFormat="1" ht="15" customHeight="1" x14ac:dyDescent="0.25">
      <c r="C4" s="61"/>
      <c r="D4" s="175"/>
      <c r="E4" s="175"/>
      <c r="F4" s="175"/>
      <c r="G4" s="175"/>
      <c r="H4" s="61"/>
      <c r="J4" s="59"/>
    </row>
    <row r="5" spans="1:20" x14ac:dyDescent="0.25">
      <c r="F5"/>
      <c r="J5"/>
    </row>
    <row r="6" spans="1:20" x14ac:dyDescent="0.25">
      <c r="A6" s="1" t="s">
        <v>0</v>
      </c>
      <c r="B6" s="1" t="s">
        <v>1</v>
      </c>
      <c r="C6" s="1" t="s">
        <v>2</v>
      </c>
      <c r="D6" s="1" t="s">
        <v>3</v>
      </c>
      <c r="E6" s="1" t="s">
        <v>4</v>
      </c>
      <c r="F6" s="3" t="s">
        <v>5</v>
      </c>
      <c r="G6" s="1" t="s">
        <v>776</v>
      </c>
      <c r="H6" s="1" t="s">
        <v>1255</v>
      </c>
      <c r="I6" s="6" t="s">
        <v>781</v>
      </c>
      <c r="J6" s="7" t="s">
        <v>782</v>
      </c>
      <c r="K6" s="6" t="s">
        <v>1179</v>
      </c>
      <c r="L6" s="6" t="s">
        <v>1266</v>
      </c>
      <c r="M6" s="6" t="s">
        <v>1180</v>
      </c>
      <c r="N6" s="6" t="s">
        <v>1181</v>
      </c>
      <c r="O6" s="6" t="s">
        <v>1192</v>
      </c>
      <c r="P6" s="6" t="s">
        <v>1201</v>
      </c>
      <c r="Q6" s="6" t="s">
        <v>1202</v>
      </c>
      <c r="R6" s="6" t="s">
        <v>1203</v>
      </c>
      <c r="S6" s="55" t="s">
        <v>1204</v>
      </c>
      <c r="T6" s="6" t="s">
        <v>2815</v>
      </c>
    </row>
    <row r="7" spans="1:20" x14ac:dyDescent="0.25">
      <c r="A7" cm="1">
        <f t="array" ref="A7:T13">_xlfn.LET(_xlpm.x,_xlfn.HSTACK(tbl_mainsheet[[S. No]:[COURSE CODE]],tbl_mainsheet[[STUDENT NAME]:[DATE OF BIRTH]],tbl_mainsheet[[STUDENT FULL ADDRESS]:[STUDENT GMAIL ID]],tbl_mainsheet[TOTAL PAYBLE AMOUNT],tbl_mainsheet[[Paid Amount]:[Course Completion]]),_xlfn._xlws.FILTER(_xlpm.x,tbl_mainsheet[Course Completion]="Course Ongoing"))</f>
        <v>284</v>
      </c>
      <c r="B7">
        <v>284</v>
      </c>
      <c r="C7" t="str">
        <v>EMCE886166@emaxindia.in</v>
      </c>
      <c r="D7" t="str">
        <v>brijlal@1989</v>
      </c>
      <c r="E7" t="str">
        <v>EMCE886166</v>
      </c>
      <c r="F7" s="5">
        <v>45779</v>
      </c>
      <c r="G7" t="str">
        <v>Post Graduation Diploma in Computer Application (PGDCA)</v>
      </c>
      <c r="H7" t="str">
        <v>PGDCA</v>
      </c>
      <c r="I7" t="str">
        <v>Brijlal Nayak</v>
      </c>
      <c r="J7" s="5">
        <v>32692</v>
      </c>
      <c r="K7" t="str">
        <v>House No. - 673, Ward - 07, Nehru Nagar, Bhilai, Dist - Durg, Chhattisgarh, Pin - 490020</v>
      </c>
      <c r="L7" t="str">
        <v>Nehru Nagar</v>
      </c>
      <c r="M7">
        <v>6648847208</v>
      </c>
      <c r="N7" t="str">
        <v>brijlalnaya9238@gmail.com</v>
      </c>
      <c r="O7">
        <v>16400</v>
      </c>
      <c r="P7">
        <v>16400</v>
      </c>
      <c r="Q7">
        <v>0</v>
      </c>
      <c r="R7" t="str">
        <v>Paid</v>
      </c>
      <c r="S7" s="56" t="str">
        <v>R</v>
      </c>
      <c r="T7" t="str">
        <v>Course Ongoing</v>
      </c>
    </row>
    <row r="8" spans="1:20" x14ac:dyDescent="0.25">
      <c r="A8">
        <v>288</v>
      </c>
      <c r="B8">
        <v>288</v>
      </c>
      <c r="C8" t="str">
        <v>EMCE856265@emaxindia.in</v>
      </c>
      <c r="D8" t="str">
        <v>alok@1993</v>
      </c>
      <c r="E8" t="str">
        <v>EMCE856265</v>
      </c>
      <c r="F8" s="5">
        <v>45782</v>
      </c>
      <c r="G8" t="str">
        <v>Diploma in Computer Application (DCA)</v>
      </c>
      <c r="H8" t="str">
        <v>DCA</v>
      </c>
      <c r="I8" t="str">
        <v>Alok Goud</v>
      </c>
      <c r="J8" s="5">
        <v>34191</v>
      </c>
      <c r="K8" t="str">
        <v>Block - 4/F, Street - 02, Sector - 04, Bhilai, Dist - Durg, Chhattisgarh, Pin - 490001</v>
      </c>
      <c r="L8" t="str">
        <v>Sector - 04</v>
      </c>
      <c r="M8">
        <v>7048887689</v>
      </c>
      <c r="N8" t="str">
        <v>alokgoud1331@gmail.com</v>
      </c>
      <c r="O8">
        <v>13600</v>
      </c>
      <c r="P8">
        <v>13600</v>
      </c>
      <c r="Q8">
        <v>0</v>
      </c>
      <c r="R8" t="str">
        <v>Paid</v>
      </c>
      <c r="S8" s="56" t="str">
        <v>R</v>
      </c>
      <c r="T8" t="str">
        <v>Course Ongoing</v>
      </c>
    </row>
    <row r="9" spans="1:20" x14ac:dyDescent="0.25">
      <c r="A9">
        <v>317</v>
      </c>
      <c r="B9">
        <v>317</v>
      </c>
      <c r="C9" t="str">
        <v>EMCE834215@emaxindia.in</v>
      </c>
      <c r="D9" t="str">
        <v>bhavesh@1999</v>
      </c>
      <c r="E9" t="str">
        <v>EMCE834215</v>
      </c>
      <c r="F9" s="5">
        <v>45879</v>
      </c>
      <c r="G9" t="str">
        <v>Diploma in Computer Application (DCA)</v>
      </c>
      <c r="H9" t="str">
        <v>DCA</v>
      </c>
      <c r="I9" t="str">
        <v>Bhavesh Usendi</v>
      </c>
      <c r="J9" s="5">
        <v>36324</v>
      </c>
      <c r="K9" t="str">
        <v>House No. - 740, Ward - 19, Nehru Nagar, Bhilai, Bhilai, Dist - Durg, Chhattisgarh, Pin - 490020</v>
      </c>
      <c r="L9" t="str">
        <v>Nehru Nagar</v>
      </c>
      <c r="M9">
        <v>8308913681</v>
      </c>
      <c r="N9" t="str">
        <v>bhaveshusen9340@gmail.com</v>
      </c>
      <c r="O9">
        <v>13400</v>
      </c>
      <c r="P9">
        <v>13400</v>
      </c>
      <c r="Q9">
        <v>0</v>
      </c>
      <c r="R9" t="str">
        <v>Paid</v>
      </c>
      <c r="S9" s="56" t="str">
        <v>R</v>
      </c>
      <c r="T9" t="str">
        <v>Course Ongoing</v>
      </c>
    </row>
    <row r="10" spans="1:20" x14ac:dyDescent="0.25">
      <c r="A10">
        <v>318</v>
      </c>
      <c r="B10">
        <v>318</v>
      </c>
      <c r="C10" t="str">
        <v>EMCE843928@emaxindia.in</v>
      </c>
      <c r="D10" t="str">
        <v>ajay@1990</v>
      </c>
      <c r="E10" t="str">
        <v>EMCE843928</v>
      </c>
      <c r="F10" s="5">
        <v>45881</v>
      </c>
      <c r="G10" t="str">
        <v>Post Graduation Diploma in Computer Application (PGDCA)</v>
      </c>
      <c r="H10" t="str">
        <v>PGDCA</v>
      </c>
      <c r="I10" t="str">
        <v>Ajay Ray</v>
      </c>
      <c r="J10" s="5">
        <v>33214</v>
      </c>
      <c r="K10" t="str">
        <v>Quarter No. - 11/B, Street - 06, Sector - 09, Bhilai, Dist - Durg, Chhattisgarh, Pin - 490001</v>
      </c>
      <c r="L10" t="str">
        <v>Sector - 09</v>
      </c>
      <c r="M10">
        <v>9025214372</v>
      </c>
      <c r="N10" t="str">
        <v>ajayray8769@gmail.com</v>
      </c>
      <c r="O10">
        <v>16100</v>
      </c>
      <c r="P10">
        <v>16100</v>
      </c>
      <c r="Q10">
        <v>0</v>
      </c>
      <c r="R10" t="str">
        <v>Paid</v>
      </c>
      <c r="S10" s="56" t="str">
        <v>R</v>
      </c>
      <c r="T10" t="str">
        <v>Course Ongoing</v>
      </c>
    </row>
    <row r="11" spans="1:20" x14ac:dyDescent="0.25">
      <c r="A11">
        <v>319</v>
      </c>
      <c r="B11">
        <v>319</v>
      </c>
      <c r="C11" t="str">
        <v>EMCE885507@emaxindia.in</v>
      </c>
      <c r="D11" t="str">
        <v>ragini@1988</v>
      </c>
      <c r="E11" t="str">
        <v>EMCE885507</v>
      </c>
      <c r="F11" s="5">
        <v>45886</v>
      </c>
      <c r="G11" t="str">
        <v>Diploma in Computer Application (DCA)</v>
      </c>
      <c r="H11" t="str">
        <v>DCA</v>
      </c>
      <c r="I11" t="str">
        <v>Ragini Bodley</v>
      </c>
      <c r="J11" s="5">
        <v>32381</v>
      </c>
      <c r="K11" t="str">
        <v>Block - 20/E, Street - 11, Sector - 04, Bhilai, Dist - Durg, Chhattisgarh, Pin - 490001</v>
      </c>
      <c r="L11" t="str">
        <v>Sector - 04</v>
      </c>
      <c r="M11">
        <v>8557433771</v>
      </c>
      <c r="N11" t="str">
        <v>raginibodl7066@gmail.com</v>
      </c>
      <c r="O11">
        <v>13700</v>
      </c>
      <c r="P11">
        <v>13700</v>
      </c>
      <c r="Q11">
        <v>0</v>
      </c>
      <c r="R11" t="str">
        <v>Paid</v>
      </c>
      <c r="S11" s="56" t="str">
        <v>R</v>
      </c>
      <c r="T11" t="str">
        <v>Course Ongoing</v>
      </c>
    </row>
    <row r="12" spans="1:20" x14ac:dyDescent="0.25">
      <c r="A12">
        <v>325</v>
      </c>
      <c r="B12">
        <v>325</v>
      </c>
      <c r="C12" t="str">
        <v>EMCE885341@emaxindia.in</v>
      </c>
      <c r="D12" t="str">
        <v>shalini@1997</v>
      </c>
      <c r="E12" t="str">
        <v>EMCE885341</v>
      </c>
      <c r="F12" s="5">
        <v>45903</v>
      </c>
      <c r="G12" t="str">
        <v>Post Graduation Diploma in Computer Application (PGDCA)</v>
      </c>
      <c r="H12" t="str">
        <v>PGDCA</v>
      </c>
      <c r="I12" t="str">
        <v>Shalini Kashyap</v>
      </c>
      <c r="J12" s="5">
        <v>35500</v>
      </c>
      <c r="K12" t="str">
        <v>House No. - 444, Vaishali Nagar, Bhilai, Dist - Durg, Chhattisgarh, Pin - 490020</v>
      </c>
      <c r="L12" t="str">
        <v>Vaishali Nagar</v>
      </c>
      <c r="M12">
        <v>8011634331</v>
      </c>
      <c r="N12" t="str">
        <v>shalinikash5906@gmail.com</v>
      </c>
      <c r="O12">
        <v>16400</v>
      </c>
      <c r="P12">
        <v>16400</v>
      </c>
      <c r="Q12">
        <v>0</v>
      </c>
      <c r="R12" t="str">
        <v>Paid</v>
      </c>
      <c r="S12" s="56" t="str">
        <v>R</v>
      </c>
      <c r="T12" t="str">
        <v>Course Ongoing</v>
      </c>
    </row>
    <row r="13" spans="1:20" x14ac:dyDescent="0.25">
      <c r="A13">
        <v>326</v>
      </c>
      <c r="B13">
        <v>326</v>
      </c>
      <c r="C13" t="str">
        <v>EMCE848114@emaxindia.in</v>
      </c>
      <c r="D13" t="str">
        <v>brijesh@1993</v>
      </c>
      <c r="E13" t="str">
        <v>EMCE848114</v>
      </c>
      <c r="F13" s="5">
        <v>45904</v>
      </c>
      <c r="G13" t="str">
        <v>Diploma in Computer Application (DCA)</v>
      </c>
      <c r="H13" t="str">
        <v>DCA</v>
      </c>
      <c r="I13" t="str">
        <v>Brijesh Netam</v>
      </c>
      <c r="J13" s="5">
        <v>34113</v>
      </c>
      <c r="K13" t="str">
        <v>Qt. No. 9/E, Street No. - 16, Sector - 07, Bhilai, Dist - Durg, Chhattisgarh, Pin - 490006</v>
      </c>
      <c r="L13" t="str">
        <v>Sector - 07</v>
      </c>
      <c r="M13">
        <v>8984319834</v>
      </c>
      <c r="N13" t="str">
        <v>brijeshneta4741@gmail.com</v>
      </c>
      <c r="O13">
        <v>13600</v>
      </c>
      <c r="P13">
        <v>13600</v>
      </c>
      <c r="Q13">
        <v>0</v>
      </c>
      <c r="R13" t="str">
        <v>Paid</v>
      </c>
      <c r="S13" s="56" t="str">
        <v>R</v>
      </c>
      <c r="T13" t="str">
        <v>Course Ongoing</v>
      </c>
    </row>
  </sheetData>
  <mergeCells count="1">
    <mergeCell ref="D1:G4"/>
  </mergeCells>
  <conditionalFormatting sqref="A6:T1001">
    <cfRule type="expression" dxfId="2" priority="1">
      <formula>$A6&lt;&gt;""</formula>
    </cfRule>
  </conditionalFormatting>
  <conditionalFormatting sqref="S7:S13">
    <cfRule type="expression" dxfId="1" priority="4">
      <formula>$BA7="R"</formula>
    </cfRule>
    <cfRule type="expression" dxfId="0" priority="5">
      <formula>$BA7="Q"</formula>
    </cfRule>
  </conditionalFormatting>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C2BB7-A5CA-4E1C-8E2D-39263B717EE1}">
  <dimension ref="A1:AB28"/>
  <sheetViews>
    <sheetView showGridLines="0" workbookViewId="0">
      <selection sqref="A1:B3"/>
    </sheetView>
  </sheetViews>
  <sheetFormatPr defaultRowHeight="15" x14ac:dyDescent="0.25"/>
  <cols>
    <col min="1" max="2" width="19.28515625" bestFit="1" customWidth="1"/>
    <col min="3" max="3" width="2.28515625" style="52" customWidth="1"/>
    <col min="4" max="4" width="13.7109375" bestFit="1" customWidth="1"/>
    <col min="5" max="5" width="13.7109375" customWidth="1"/>
    <col min="6" max="6" width="2.28515625" style="52" customWidth="1"/>
    <col min="7" max="7" width="17" bestFit="1" customWidth="1"/>
    <col min="8" max="8" width="13.7109375" bestFit="1" customWidth="1"/>
    <col min="9" max="9" width="14.7109375" bestFit="1" customWidth="1"/>
    <col min="10" max="10" width="2.28515625" style="52" customWidth="1"/>
    <col min="11" max="11" width="13.140625" bestFit="1" customWidth="1"/>
    <col min="12" max="12" width="13.7109375" bestFit="1" customWidth="1"/>
    <col min="13" max="13" width="14.7109375" customWidth="1"/>
    <col min="14" max="14" width="2.28515625" style="52" customWidth="1"/>
    <col min="15" max="15" width="13.140625" bestFit="1" customWidth="1"/>
    <col min="16" max="16" width="13.7109375" bestFit="1" customWidth="1"/>
    <col min="17" max="17" width="14.7109375" bestFit="1" customWidth="1"/>
    <col min="19" max="19" width="2.28515625" style="52" customWidth="1"/>
    <col min="20" max="20" width="13.7109375" bestFit="1" customWidth="1"/>
    <col min="21" max="21" width="21" customWidth="1"/>
    <col min="22" max="22" width="2.28515625" style="52" customWidth="1"/>
    <col min="23" max="23" width="19.5703125" bestFit="1" customWidth="1"/>
    <col min="24" max="24" width="18.42578125" customWidth="1"/>
    <col min="25" max="25" width="2.28515625" style="52" customWidth="1"/>
    <col min="26" max="26" width="13.140625" bestFit="1" customWidth="1"/>
    <col min="27" max="27" width="40.7109375" customWidth="1"/>
    <col min="28" max="28" width="2.28515625" style="52" customWidth="1"/>
  </cols>
  <sheetData>
    <row r="1" spans="1:28" s="54" customFormat="1" ht="23.25" customHeight="1" x14ac:dyDescent="0.25">
      <c r="A1" s="177" t="s">
        <v>2825</v>
      </c>
      <c r="B1" s="177"/>
      <c r="C1" s="57"/>
      <c r="D1" s="176" t="s">
        <v>2845</v>
      </c>
      <c r="E1" s="176"/>
      <c r="F1" s="57"/>
      <c r="G1" s="176" t="s">
        <v>2846</v>
      </c>
      <c r="H1" s="176"/>
      <c r="I1" s="176"/>
      <c r="J1" s="57"/>
      <c r="K1" s="176" t="s">
        <v>2844</v>
      </c>
      <c r="L1" s="176"/>
      <c r="M1" s="176"/>
      <c r="N1" s="57"/>
      <c r="O1" s="176" t="s">
        <v>2843</v>
      </c>
      <c r="P1" s="176"/>
      <c r="Q1" s="176"/>
      <c r="R1" s="176"/>
      <c r="S1" s="57"/>
      <c r="T1" s="176" t="s">
        <v>2842</v>
      </c>
      <c r="U1" s="176"/>
      <c r="V1" s="57"/>
      <c r="W1" s="176" t="s">
        <v>2841</v>
      </c>
      <c r="X1" s="176"/>
      <c r="Y1" s="57"/>
      <c r="Z1" s="176" t="s">
        <v>2840</v>
      </c>
      <c r="AA1" s="176"/>
      <c r="AB1" s="57"/>
    </row>
    <row r="2" spans="1:28" ht="15" customHeight="1" x14ac:dyDescent="0.25">
      <c r="A2" s="177"/>
      <c r="B2" s="177"/>
      <c r="D2" s="176"/>
      <c r="E2" s="176"/>
      <c r="G2" s="176"/>
      <c r="H2" s="176"/>
      <c r="I2" s="176"/>
      <c r="K2" s="176"/>
      <c r="L2" s="176"/>
      <c r="M2" s="176"/>
      <c r="O2" s="176"/>
      <c r="P2" s="176"/>
      <c r="Q2" s="176"/>
      <c r="R2" s="176"/>
      <c r="T2" s="176"/>
      <c r="U2" s="176"/>
      <c r="W2" s="176"/>
      <c r="X2" s="176"/>
      <c r="Z2" s="176"/>
      <c r="AA2" s="176"/>
    </row>
    <row r="3" spans="1:28" x14ac:dyDescent="0.25">
      <c r="A3" s="177"/>
      <c r="B3" s="177"/>
      <c r="D3" s="176"/>
      <c r="E3" s="176"/>
      <c r="G3" s="176"/>
      <c r="H3" s="176"/>
      <c r="I3" s="176"/>
      <c r="K3" s="176"/>
      <c r="L3" s="176"/>
      <c r="M3" s="176"/>
      <c r="O3" s="176"/>
      <c r="P3" s="176"/>
      <c r="Q3" s="176"/>
      <c r="R3" s="176"/>
      <c r="T3" s="176"/>
      <c r="U3" s="176"/>
      <c r="W3" s="176"/>
      <c r="X3" s="176"/>
      <c r="Z3" s="176"/>
      <c r="AA3" s="176"/>
    </row>
    <row r="6" spans="1:28" x14ac:dyDescent="0.25">
      <c r="D6" s="48" t="s">
        <v>2819</v>
      </c>
      <c r="E6" t="s">
        <v>2821</v>
      </c>
      <c r="G6" s="48" t="s">
        <v>2819</v>
      </c>
      <c r="H6" t="s">
        <v>2821</v>
      </c>
      <c r="I6" t="s">
        <v>2823</v>
      </c>
      <c r="K6" s="48" t="s">
        <v>2819</v>
      </c>
      <c r="L6" t="s">
        <v>2821</v>
      </c>
      <c r="M6" t="s">
        <v>2823</v>
      </c>
      <c r="O6" s="48" t="s">
        <v>2819</v>
      </c>
      <c r="P6" t="s">
        <v>2821</v>
      </c>
      <c r="T6" s="48" t="s">
        <v>2819</v>
      </c>
      <c r="U6" t="s">
        <v>2821</v>
      </c>
      <c r="W6" s="48" t="s">
        <v>2819</v>
      </c>
      <c r="X6" t="s">
        <v>2821</v>
      </c>
      <c r="Z6" s="48" t="s">
        <v>2819</v>
      </c>
      <c r="AA6" t="s">
        <v>2821</v>
      </c>
    </row>
    <row r="7" spans="1:28" x14ac:dyDescent="0.25">
      <c r="D7" s="49" t="s">
        <v>1252</v>
      </c>
      <c r="E7" s="50">
        <v>34</v>
      </c>
      <c r="G7" s="49" t="s">
        <v>1261</v>
      </c>
      <c r="H7" s="50">
        <v>164</v>
      </c>
      <c r="I7" s="53">
        <v>0.43733333333333335</v>
      </c>
      <c r="K7" s="49" t="s">
        <v>791</v>
      </c>
      <c r="L7" s="50">
        <v>246</v>
      </c>
      <c r="M7" s="53">
        <v>0.65600000000000003</v>
      </c>
      <c r="O7" s="49" t="s">
        <v>15</v>
      </c>
      <c r="P7" s="50">
        <v>199</v>
      </c>
      <c r="T7" s="49" t="s">
        <v>1268</v>
      </c>
      <c r="U7" s="50">
        <v>56</v>
      </c>
      <c r="W7" s="49" t="s">
        <v>2815</v>
      </c>
      <c r="X7" s="50">
        <v>362</v>
      </c>
      <c r="Z7" s="49" t="s">
        <v>2828</v>
      </c>
      <c r="AA7" s="50">
        <v>34</v>
      </c>
    </row>
    <row r="8" spans="1:28" x14ac:dyDescent="0.25">
      <c r="A8" t="s">
        <v>2820</v>
      </c>
      <c r="D8" s="49" t="s">
        <v>1250</v>
      </c>
      <c r="E8" s="50">
        <v>33</v>
      </c>
      <c r="G8" s="49" t="s">
        <v>1263</v>
      </c>
      <c r="H8" s="50">
        <v>76</v>
      </c>
      <c r="I8" s="53">
        <v>0.20266666666666666</v>
      </c>
      <c r="K8" s="49" t="s">
        <v>795</v>
      </c>
      <c r="L8" s="50">
        <v>67</v>
      </c>
      <c r="M8" s="53">
        <v>0.17866666666666667</v>
      </c>
      <c r="O8" s="49" t="s">
        <v>10</v>
      </c>
      <c r="P8" s="50">
        <v>44</v>
      </c>
      <c r="T8" s="49" t="s">
        <v>1272</v>
      </c>
      <c r="U8" s="50">
        <v>25</v>
      </c>
      <c r="W8" s="49" t="s">
        <v>2816</v>
      </c>
      <c r="X8" s="50">
        <v>6</v>
      </c>
      <c r="Z8" s="49" t="s">
        <v>2829</v>
      </c>
      <c r="AA8" s="50">
        <v>32</v>
      </c>
    </row>
    <row r="9" spans="1:28" x14ac:dyDescent="0.25">
      <c r="A9" s="50">
        <v>2193400</v>
      </c>
      <c r="D9" s="49" t="s">
        <v>1243</v>
      </c>
      <c r="E9" s="50">
        <v>32</v>
      </c>
      <c r="G9" s="49" t="s">
        <v>1262</v>
      </c>
      <c r="H9" s="50">
        <v>74</v>
      </c>
      <c r="I9" s="53">
        <v>0.19733333333333333</v>
      </c>
      <c r="K9" s="49" t="s">
        <v>787</v>
      </c>
      <c r="L9" s="50">
        <v>62</v>
      </c>
      <c r="M9" s="53">
        <v>0.16533333333333333</v>
      </c>
      <c r="O9" s="49" t="s">
        <v>512</v>
      </c>
      <c r="P9" s="50">
        <v>114</v>
      </c>
      <c r="T9" s="49" t="s">
        <v>1279</v>
      </c>
      <c r="U9" s="50">
        <v>24</v>
      </c>
      <c r="W9" s="49" t="s">
        <v>2817</v>
      </c>
      <c r="X9" s="50">
        <v>7</v>
      </c>
      <c r="Z9" s="49" t="s">
        <v>2830</v>
      </c>
      <c r="AA9" s="50">
        <v>31</v>
      </c>
    </row>
    <row r="10" spans="1:28" x14ac:dyDescent="0.25">
      <c r="A10" s="63">
        <f>ROUND(A9/100000,1)</f>
        <v>21.9</v>
      </c>
      <c r="D10" s="49" t="s">
        <v>65</v>
      </c>
      <c r="E10" s="50">
        <v>32</v>
      </c>
      <c r="G10" s="49" t="s">
        <v>1264</v>
      </c>
      <c r="H10" s="50">
        <v>61</v>
      </c>
      <c r="I10" s="53">
        <v>0.16266666666666665</v>
      </c>
      <c r="O10" s="49" t="s">
        <v>551</v>
      </c>
      <c r="P10" s="50">
        <v>18</v>
      </c>
      <c r="T10" s="49" t="s">
        <v>1273</v>
      </c>
      <c r="U10" s="50">
        <v>20</v>
      </c>
      <c r="Z10" s="49" t="s">
        <v>2831</v>
      </c>
      <c r="AA10" s="50">
        <v>38</v>
      </c>
    </row>
    <row r="11" spans="1:28" x14ac:dyDescent="0.25">
      <c r="D11" s="49" t="s">
        <v>1242</v>
      </c>
      <c r="E11" s="50">
        <v>30</v>
      </c>
      <c r="T11" s="49" t="s">
        <v>1284</v>
      </c>
      <c r="U11" s="50">
        <v>20</v>
      </c>
      <c r="Z11" s="49" t="s">
        <v>2832</v>
      </c>
      <c r="AA11" s="50">
        <v>30</v>
      </c>
    </row>
    <row r="12" spans="1:28" x14ac:dyDescent="0.25">
      <c r="B12" s="53"/>
      <c r="D12" s="49" t="s">
        <v>1253</v>
      </c>
      <c r="E12" s="50">
        <v>30</v>
      </c>
      <c r="T12" s="49" t="s">
        <v>1270</v>
      </c>
      <c r="U12" s="50">
        <v>20</v>
      </c>
      <c r="Z12" s="49" t="s">
        <v>2833</v>
      </c>
      <c r="AA12" s="50">
        <v>32</v>
      </c>
    </row>
    <row r="13" spans="1:28" x14ac:dyDescent="0.25">
      <c r="D13" s="49" t="s">
        <v>1249</v>
      </c>
      <c r="E13" s="50">
        <v>29</v>
      </c>
      <c r="T13" s="49" t="s">
        <v>1286</v>
      </c>
      <c r="U13" s="50">
        <v>19</v>
      </c>
      <c r="W13" t="s">
        <v>2824</v>
      </c>
      <c r="X13" s="53">
        <f>X7/A15</f>
        <v>0.96533333333333338</v>
      </c>
      <c r="Z13" s="49" t="s">
        <v>2834</v>
      </c>
      <c r="AA13" s="50">
        <v>27</v>
      </c>
    </row>
    <row r="14" spans="1:28" x14ac:dyDescent="0.25">
      <c r="A14" t="s">
        <v>2821</v>
      </c>
      <c r="D14" s="49" t="s">
        <v>1244</v>
      </c>
      <c r="E14" s="50">
        <v>27</v>
      </c>
      <c r="T14" s="49" t="s">
        <v>1267</v>
      </c>
      <c r="U14" s="50">
        <v>18</v>
      </c>
      <c r="Z14" s="49" t="s">
        <v>2835</v>
      </c>
      <c r="AA14" s="50">
        <v>24</v>
      </c>
    </row>
    <row r="15" spans="1:28" x14ac:dyDescent="0.25">
      <c r="A15" s="50">
        <v>375</v>
      </c>
      <c r="D15" s="49" t="s">
        <v>1248</v>
      </c>
      <c r="E15" s="50">
        <v>24</v>
      </c>
      <c r="T15" s="49" t="s">
        <v>1274</v>
      </c>
      <c r="U15" s="50">
        <v>18</v>
      </c>
      <c r="Z15" s="49" t="s">
        <v>2836</v>
      </c>
      <c r="AA15" s="50">
        <v>26</v>
      </c>
    </row>
    <row r="16" spans="1:28" x14ac:dyDescent="0.25">
      <c r="D16" s="49" t="s">
        <v>1245</v>
      </c>
      <c r="E16" s="50">
        <v>24</v>
      </c>
      <c r="T16" s="49" t="s">
        <v>1280</v>
      </c>
      <c r="U16" s="50">
        <v>16</v>
      </c>
      <c r="Z16" s="49" t="s">
        <v>2837</v>
      </c>
      <c r="AA16" s="50">
        <v>32</v>
      </c>
    </row>
    <row r="17" spans="4:27" x14ac:dyDescent="0.25">
      <c r="D17" s="49" t="s">
        <v>1251</v>
      </c>
      <c r="E17" s="50">
        <v>22</v>
      </c>
      <c r="Z17" s="49" t="s">
        <v>2838</v>
      </c>
      <c r="AA17" s="50">
        <v>40</v>
      </c>
    </row>
    <row r="18" spans="4:27" x14ac:dyDescent="0.25">
      <c r="D18" s="49" t="s">
        <v>1246</v>
      </c>
      <c r="E18" s="50">
        <v>22</v>
      </c>
      <c r="Z18" s="49" t="s">
        <v>2839</v>
      </c>
      <c r="AA18" s="50">
        <v>29</v>
      </c>
    </row>
    <row r="19" spans="4:27" x14ac:dyDescent="0.25">
      <c r="D19" s="49" t="s">
        <v>1254</v>
      </c>
      <c r="E19" s="50">
        <v>21</v>
      </c>
    </row>
    <row r="20" spans="4:27" x14ac:dyDescent="0.25">
      <c r="D20" s="49" t="s">
        <v>1247</v>
      </c>
      <c r="E20" s="50">
        <v>15</v>
      </c>
    </row>
    <row r="25" spans="4:27" x14ac:dyDescent="0.25">
      <c r="G25" t="str" cm="1">
        <f t="array" ref="G25:H28">_xlfn.CHOOSECOLS(G7:I10,1,3)</f>
        <v>Morning Batch 1</v>
      </c>
      <c r="H25" s="62">
        <v>0.43733333333333335</v>
      </c>
      <c r="K25" t="str" cm="1">
        <f t="array" ref="K25:L27">_xlfn.CHOOSECOLS(K7:M9,1,2)</f>
        <v>3 Month</v>
      </c>
      <c r="L25">
        <v>246</v>
      </c>
      <c r="O25" t="str" cm="1">
        <f t="array" ref="O25:P28">O7:P10</f>
        <v>2024</v>
      </c>
      <c r="P25">
        <v>199</v>
      </c>
    </row>
    <row r="26" spans="4:27" x14ac:dyDescent="0.25">
      <c r="G26" t="str">
        <v>Evening Batch 1</v>
      </c>
      <c r="H26" s="62">
        <v>0.20266666666666666</v>
      </c>
      <c r="K26" t="str">
        <v>6 Month</v>
      </c>
      <c r="L26">
        <v>67</v>
      </c>
      <c r="O26" t="str">
        <v>2024-25</v>
      </c>
      <c r="P26">
        <v>44</v>
      </c>
    </row>
    <row r="27" spans="4:27" x14ac:dyDescent="0.25">
      <c r="G27" t="str">
        <v>Afternoon Batch 2</v>
      </c>
      <c r="H27" s="62">
        <v>0.19733333333333333</v>
      </c>
      <c r="K27" t="str">
        <v>1 Year</v>
      </c>
      <c r="L27">
        <v>62</v>
      </c>
      <c r="O27" t="str">
        <v>2025</v>
      </c>
      <c r="P27">
        <v>114</v>
      </c>
    </row>
    <row r="28" spans="4:27" x14ac:dyDescent="0.25">
      <c r="G28" t="str">
        <v>Afternoon Batch 1</v>
      </c>
      <c r="H28" s="62">
        <v>0.16266666666666665</v>
      </c>
      <c r="O28" t="str">
        <v>2025-26</v>
      </c>
      <c r="P28">
        <v>18</v>
      </c>
    </row>
  </sheetData>
  <mergeCells count="8">
    <mergeCell ref="Z1:AA3"/>
    <mergeCell ref="T1:U3"/>
    <mergeCell ref="W1:X3"/>
    <mergeCell ref="A1:B3"/>
    <mergeCell ref="D1:E3"/>
    <mergeCell ref="G1:I3"/>
    <mergeCell ref="K1:M3"/>
    <mergeCell ref="O1:R3"/>
  </mergeCells>
  <pageMargins left="0.7" right="0.7" top="0.75" bottom="0.75" header="0.3" footer="0.3"/>
  <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0BA50E-0134-475E-9C59-EF78A4A1FAFC}">
  <dimension ref="A45"/>
  <sheetViews>
    <sheetView showGridLines="0" zoomScale="90" zoomScaleNormal="90" workbookViewId="0">
      <selection activeCell="I50" sqref="I50"/>
    </sheetView>
  </sheetViews>
  <sheetFormatPr defaultRowHeight="15" x14ac:dyDescent="0.25"/>
  <cols>
    <col min="1" max="1" width="9.140625" style="58" customWidth="1"/>
    <col min="2" max="23" width="9.140625" style="58"/>
    <col min="24" max="24" width="9.140625" style="58" customWidth="1"/>
    <col min="25" max="25" width="4.42578125" style="58" customWidth="1"/>
    <col min="26" max="16384" width="9.140625" style="58"/>
  </cols>
  <sheetData>
    <row r="45" ht="16.5"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Home Page</vt:lpstr>
      <vt:lpstr>Main Sheet</vt:lpstr>
      <vt:lpstr>Admission Slip</vt:lpstr>
      <vt:lpstr>Course Discontinued</vt:lpstr>
      <vt:lpstr>Course Ongoing</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2026-05-03T18:28:42Z</dcterms:modified>
</cp:coreProperties>
</file>